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енерация (МВт·ч)" sheetId="1" state="visible" r:id="rId1"/>
    <sheet name="Потребление (МВт·ч)" sheetId="2" state="visible" r:id="rId2"/>
    <sheet name="Среднее ИБР (руб. за МВт·ч)" sheetId="3" state="visible" r:id="rId3"/>
  </sheets>
  <definedNames>
    <definedName name="_xlnm._FilterDatabase" localSheetId="0" hidden="1">'Генерация (МВт·ч)'!$A$4:$J$724</definedName>
    <definedName name="_xlnm.Print_Titles" localSheetId="0">'Генерация (МВт·ч)'!$1:$4</definedName>
    <definedName name="_xlnm.Print_Area" localSheetId="0">'Генерация (МВт·ч)'!$A$1:$J$725</definedName>
    <definedName name="_xlnm._FilterDatabase" localSheetId="1" hidden="1">'Потребление (МВт·ч)'!$A$4:$J$724</definedName>
    <definedName name="_xlnm.Print_Titles" localSheetId="1">'Потребление (МВт·ч)'!$1:$4</definedName>
    <definedName name="_xlnm.Print_Area" localSheetId="1">'Потребление (МВт·ч)'!$A$1:$J$725</definedName>
    <definedName name="_xlnm._FilterDatabase" localSheetId="2" hidden="1">'Среднее ИБР (руб. за МВт·ч)'!$A$4:$N$724</definedName>
    <definedName name="_xlnm.Print_Titles" localSheetId="2">'Среднее ИБР (руб. за МВт·ч)'!$1:$4</definedName>
    <definedName name="_xlnm.Print_Area" localSheetId="2">'Среднее ИБР (руб. за МВт·ч)'!$A$1:$N$725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(#,##0.00);0.00"/>
    <numFmt numFmtId="166" formatCode="0.0%"/>
  </numFmts>
  <fonts count="4">
    <font>
      <name val="Calibri"/>
      <family val="2"/>
      <color theme="1"/>
      <sz val="11"/>
      <scheme val="minor"/>
    </font>
    <font>
      <name val="Arial"/>
      <color rgb="00202C38"/>
      <sz val="10"/>
    </font>
    <font>
      <name val="Arial"/>
      <b val="1"/>
      <color rgb="00165B55"/>
      <sz val="14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65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165" fontId="3" fillId="2" borderId="0" applyAlignment="1" pivotButton="0" quotePrefix="0" xfId="0">
      <alignment horizontal="right" vertical="center"/>
    </xf>
    <xf numFmtId="1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1" fontId="3" fillId="2" borderId="0" applyAlignment="1" pivotButton="0" quotePrefix="0" xfId="0">
      <alignment horizontal="right" vertical="center"/>
    </xf>
    <xf numFmtId="166" fontId="3" fillId="2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FF1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Происхождение</author>
  </authors>
  <commentList>
    <comment ref="A1" authorId="0" shapeId="0">
      <text>
        <t>Источник: https://br.so-ups.ru/webapi/api/
SHA-256 снимка: e7f8ce5bd8b64040c7d9cd68f0e156fadb02070f241ff7dc175ab5a0b033a5be</t>
      </text>
    </comment>
  </commentList>
</comments>
</file>

<file path=xl/comments/comment2.xml><?xml version="1.0" encoding="utf-8"?>
<comments xmlns="http://schemas.openxmlformats.org/spreadsheetml/2006/main">
  <authors>
    <author>Происхождение</author>
  </authors>
  <commentList>
    <comment ref="A1" authorId="0" shapeId="0">
      <text>
        <t>Источник: https://br.so-ups.ru/webapi/api/
SHA-256 снимка: e7f8ce5bd8b64040c7d9cd68f0e156fadb02070f241ff7dc175ab5a0b033a5be</t>
      </text>
    </comment>
  </commentList>
</comments>
</file>

<file path=xl/comments/comment3.xml><?xml version="1.0" encoding="utf-8"?>
<comments xmlns="http://schemas.openxmlformats.org/spreadsheetml/2006/main">
  <authors>
    <author>Происхождение</author>
    <author>Методика</author>
    <author>Источник</author>
  </authors>
  <commentList>
    <comment ref="A1" authorId="0" shapeId="0">
      <text>
        <t>Источник: https://br.so-ups.ru/webapi/api/
SHA-256 снимка: e7f8ce5bd8b64040c7d9cd68f0e156fadb02070f241ff7dc175ab5a0b033a5be</t>
      </text>
    </comment>
    <comment ref="K4" authorId="1" shapeId="0">
      <text>
        <t>Только пары с опубликованной ценой и известным весом. Это не показатель всех 7 ОЭС.</t>
      </text>
    </comment>
    <comment ref="L4" authorId="1" shapeId="0">
      <text>
        <t>Простое среднее опубликованных цен. За месяц — по исходным парам час × ОЭС, не среднее месячных средних.</t>
      </text>
    </comment>
    <comment ref="N4" authorId="1" shapeId="0">
      <text>
        <t>Вес пар с опубликованной ценой / вес всех пар. При неизвестном общем весе значение пустое.</t>
      </text>
    </comment>
    <comment ref="I5" authorId="2" shapeId="0">
      <text>
        <t>Источник не опубликовал ИБР</t>
      </text>
    </comment>
    <comment ref="I6" authorId="2" shapeId="0">
      <text>
        <t>Источник не опубликовал ИБР</t>
      </text>
    </comment>
    <comment ref="I7" authorId="2" shapeId="0">
      <text>
        <t>Источник не опубликовал ИБР</t>
      </text>
    </comment>
    <comment ref="I8" authorId="2" shapeId="0">
      <text>
        <t>Источник не опубликовал ИБР</t>
      </text>
    </comment>
    <comment ref="I9" authorId="2" shapeId="0">
      <text>
        <t>Источник не опубликовал ИБР</t>
      </text>
    </comment>
    <comment ref="I10" authorId="2" shapeId="0">
      <text>
        <t>Источник не опубликовал ИБР</t>
      </text>
    </comment>
    <comment ref="I11" authorId="2" shapeId="0">
      <text>
        <t>Источник не опубликовал ИБР</t>
      </text>
    </comment>
    <comment ref="I12" authorId="2" shapeId="0">
      <text>
        <t>Источник не опубликовал ИБР</t>
      </text>
    </comment>
    <comment ref="I13" authorId="2" shapeId="0">
      <text>
        <t>Источник не опубликовал ИБР</t>
      </text>
    </comment>
    <comment ref="I14" authorId="2" shapeId="0">
      <text>
        <t>Источник не опубликовал ИБР</t>
      </text>
    </comment>
    <comment ref="I15" authorId="2" shapeId="0">
      <text>
        <t>Источник не опубликовал ИБР</t>
      </text>
    </comment>
    <comment ref="I16" authorId="2" shapeId="0">
      <text>
        <t>Источник не опубликовал ИБР</t>
      </text>
    </comment>
    <comment ref="I17" authorId="2" shapeId="0">
      <text>
        <t>Источник не опубликовал ИБР</t>
      </text>
    </comment>
    <comment ref="I18" authorId="2" shapeId="0">
      <text>
        <t>Источник не опубликовал ИБР</t>
      </text>
    </comment>
    <comment ref="I19" authorId="2" shapeId="0">
      <text>
        <t>Источник не опубликовал ИБР</t>
      </text>
    </comment>
    <comment ref="I20" authorId="2" shapeId="0">
      <text>
        <t>Источник не опубликовал ИБР</t>
      </text>
    </comment>
    <comment ref="I21" authorId="2" shapeId="0">
      <text>
        <t>Источник не опубликовал ИБР</t>
      </text>
    </comment>
    <comment ref="I22" authorId="2" shapeId="0">
      <text>
        <t>Источник не опубликовал ИБР</t>
      </text>
    </comment>
    <comment ref="I23" authorId="2" shapeId="0">
      <text>
        <t>Источник не опубликовал ИБР</t>
      </text>
    </comment>
    <comment ref="I24" authorId="2" shapeId="0">
      <text>
        <t>Источник не опубликовал ИБР</t>
      </text>
    </comment>
    <comment ref="I25" authorId="2" shapeId="0">
      <text>
        <t>Источник не опубликовал ИБР</t>
      </text>
    </comment>
    <comment ref="I26" authorId="2" shapeId="0">
      <text>
        <t>Источник не опубликовал ИБР</t>
      </text>
    </comment>
    <comment ref="I27" authorId="2" shapeId="0">
      <text>
        <t>Источник не опубликовал ИБР</t>
      </text>
    </comment>
    <comment ref="I28" authorId="2" shapeId="0">
      <text>
        <t>Источник не опубликовал ИБР</t>
      </text>
    </comment>
    <comment ref="I29" authorId="2" shapeId="0">
      <text>
        <t>Источник не опубликовал ИБР</t>
      </text>
    </comment>
    <comment ref="I30" authorId="2" shapeId="0">
      <text>
        <t>Источник не опубликовал ИБР</t>
      </text>
    </comment>
    <comment ref="I31" authorId="2" shapeId="0">
      <text>
        <t>Источник не опубликовал ИБР</t>
      </text>
    </comment>
    <comment ref="I32" authorId="2" shapeId="0">
      <text>
        <t>Источник не опубликовал ИБР</t>
      </text>
    </comment>
    <comment ref="I33" authorId="2" shapeId="0">
      <text>
        <t>Источник не опубликовал ИБР</t>
      </text>
    </comment>
    <comment ref="I34" authorId="2" shapeId="0">
      <text>
        <t>Источник не опубликовал ИБР</t>
      </text>
    </comment>
    <comment ref="I35" authorId="2" shapeId="0">
      <text>
        <t>Источник не опубликовал ИБР</t>
      </text>
    </comment>
    <comment ref="I36" authorId="2" shapeId="0">
      <text>
        <t>Источник не опубликовал ИБР</t>
      </text>
    </comment>
    <comment ref="I37" authorId="2" shapeId="0">
      <text>
        <t>Источник не опубликовал ИБР</t>
      </text>
    </comment>
    <comment ref="I38" authorId="2" shapeId="0">
      <text>
        <t>Источник не опубликовал ИБР</t>
      </text>
    </comment>
    <comment ref="I39" authorId="2" shapeId="0">
      <text>
        <t>Источник не опубликовал ИБР</t>
      </text>
    </comment>
    <comment ref="I40" authorId="2" shapeId="0">
      <text>
        <t>Источник не опубликовал ИБР</t>
      </text>
    </comment>
    <comment ref="I41" authorId="2" shapeId="0">
      <text>
        <t>Источник не опубликовал ИБР</t>
      </text>
    </comment>
    <comment ref="I42" authorId="2" shapeId="0">
      <text>
        <t>Источник не опубликовал ИБР</t>
      </text>
    </comment>
    <comment ref="I43" authorId="2" shapeId="0">
      <text>
        <t>Источник не опубликовал ИБР</t>
      </text>
    </comment>
    <comment ref="I44" authorId="2" shapeId="0">
      <text>
        <t>Источник не опубликовал ИБР</t>
      </text>
    </comment>
    <comment ref="I45" authorId="2" shapeId="0">
      <text>
        <t>Источник не опубликовал ИБР</t>
      </text>
    </comment>
    <comment ref="I46" authorId="2" shapeId="0">
      <text>
        <t>Источник не опубликовал ИБР</t>
      </text>
    </comment>
    <comment ref="I47" authorId="2" shapeId="0">
      <text>
        <t>Источник не опубликовал ИБР</t>
      </text>
    </comment>
    <comment ref="I48" authorId="2" shapeId="0">
      <text>
        <t>Источник не опубликовал ИБР</t>
      </text>
    </comment>
    <comment ref="I49" authorId="2" shapeId="0">
      <text>
        <t>Источник не опубликовал ИБР</t>
      </text>
    </comment>
    <comment ref="I50" authorId="2" shapeId="0">
      <text>
        <t>Источник не опубликовал ИБР</t>
      </text>
    </comment>
    <comment ref="I51" authorId="2" shapeId="0">
      <text>
        <t>Источник не опубликовал ИБР</t>
      </text>
    </comment>
    <comment ref="I52" authorId="2" shapeId="0">
      <text>
        <t>Источник не опубликовал ИБР</t>
      </text>
    </comment>
    <comment ref="I53" authorId="2" shapeId="0">
      <text>
        <t>Источник не опубликовал ИБР</t>
      </text>
    </comment>
    <comment ref="I54" authorId="2" shapeId="0">
      <text>
        <t>Источник не опубликовал ИБР</t>
      </text>
    </comment>
    <comment ref="I55" authorId="2" shapeId="0">
      <text>
        <t>Источник не опубликовал ИБР</t>
      </text>
    </comment>
    <comment ref="I56" authorId="2" shapeId="0">
      <text>
        <t>Источник не опубликовал ИБР</t>
      </text>
    </comment>
    <comment ref="I57" authorId="2" shapeId="0">
      <text>
        <t>Источник не опубликовал ИБР</t>
      </text>
    </comment>
    <comment ref="I58" authorId="2" shapeId="0">
      <text>
        <t>Источник не опубликовал ИБР</t>
      </text>
    </comment>
    <comment ref="I59" authorId="2" shapeId="0">
      <text>
        <t>Источник не опубликовал ИБР</t>
      </text>
    </comment>
    <comment ref="I60" authorId="2" shapeId="0">
      <text>
        <t>Источник не опубликовал ИБР</t>
      </text>
    </comment>
    <comment ref="I61" authorId="2" shapeId="0">
      <text>
        <t>Источник не опубликовал ИБР</t>
      </text>
    </comment>
    <comment ref="I62" authorId="2" shapeId="0">
      <text>
        <t>Источник не опубликовал ИБР</t>
      </text>
    </comment>
    <comment ref="I63" authorId="2" shapeId="0">
      <text>
        <t>Источник не опубликовал ИБР</t>
      </text>
    </comment>
    <comment ref="I64" authorId="2" shapeId="0">
      <text>
        <t>Источник не опубликовал ИБР</t>
      </text>
    </comment>
    <comment ref="I65" authorId="2" shapeId="0">
      <text>
        <t>Источник не опубликовал ИБР</t>
      </text>
    </comment>
    <comment ref="I66" authorId="2" shapeId="0">
      <text>
        <t>Источник не опубликовал ИБР</t>
      </text>
    </comment>
    <comment ref="I67" authorId="2" shapeId="0">
      <text>
        <t>Источник не опубликовал ИБР</t>
      </text>
    </comment>
    <comment ref="I68" authorId="2" shapeId="0">
      <text>
        <t>Источник не опубликовал ИБР</t>
      </text>
    </comment>
    <comment ref="I69" authorId="2" shapeId="0">
      <text>
        <t>Источник не опубликовал ИБР</t>
      </text>
    </comment>
    <comment ref="I70" authorId="2" shapeId="0">
      <text>
        <t>Источник не опубликовал ИБР</t>
      </text>
    </comment>
    <comment ref="I71" authorId="2" shapeId="0">
      <text>
        <t>Источник не опубликовал ИБР</t>
      </text>
    </comment>
    <comment ref="I72" authorId="2" shapeId="0">
      <text>
        <t>Источник не опубликовал ИБР</t>
      </text>
    </comment>
    <comment ref="I73" authorId="2" shapeId="0">
      <text>
        <t>Источник не опубликовал ИБР</t>
      </text>
    </comment>
    <comment ref="I74" authorId="2" shapeId="0">
      <text>
        <t>Источник не опубликовал ИБР</t>
      </text>
    </comment>
    <comment ref="I75" authorId="2" shapeId="0">
      <text>
        <t>Источник не опубликовал ИБР</t>
      </text>
    </comment>
    <comment ref="I76" authorId="2" shapeId="0">
      <text>
        <t>Источник не опубликовал ИБР</t>
      </text>
    </comment>
    <comment ref="I77" authorId="2" shapeId="0">
      <text>
        <t>Источник не опубликовал ИБР</t>
      </text>
    </comment>
    <comment ref="I78" authorId="2" shapeId="0">
      <text>
        <t>Источник не опубликовал ИБР</t>
      </text>
    </comment>
    <comment ref="I79" authorId="2" shapeId="0">
      <text>
        <t>Источник не опубликовал ИБР</t>
      </text>
    </comment>
    <comment ref="I80" authorId="2" shapeId="0">
      <text>
        <t>Источник не опубликовал ИБР</t>
      </text>
    </comment>
    <comment ref="I81" authorId="2" shapeId="0">
      <text>
        <t>Источник не опубликовал ИБР</t>
      </text>
    </comment>
    <comment ref="I82" authorId="2" shapeId="0">
      <text>
        <t>Источник не опубликовал ИБР</t>
      </text>
    </comment>
    <comment ref="I83" authorId="2" shapeId="0">
      <text>
        <t>Источник не опубликовал ИБР</t>
      </text>
    </comment>
    <comment ref="I84" authorId="2" shapeId="0">
      <text>
        <t>Источник не опубликовал ИБР</t>
      </text>
    </comment>
    <comment ref="I85" authorId="2" shapeId="0">
      <text>
        <t>Источник не опубликовал ИБР</t>
      </text>
    </comment>
    <comment ref="I86" authorId="2" shapeId="0">
      <text>
        <t>Источник не опубликовал ИБР</t>
      </text>
    </comment>
    <comment ref="I87" authorId="2" shapeId="0">
      <text>
        <t>Источник не опубликовал ИБР</t>
      </text>
    </comment>
    <comment ref="I88" authorId="2" shapeId="0">
      <text>
        <t>Источник не опубликовал ИБР</t>
      </text>
    </comment>
    <comment ref="I89" authorId="2" shapeId="0">
      <text>
        <t>Источник не опубликовал ИБР</t>
      </text>
    </comment>
    <comment ref="I90" authorId="2" shapeId="0">
      <text>
        <t>Источник не опубликовал ИБР</t>
      </text>
    </comment>
    <comment ref="I91" authorId="2" shapeId="0">
      <text>
        <t>Источник не опубликовал ИБР</t>
      </text>
    </comment>
    <comment ref="I92" authorId="2" shapeId="0">
      <text>
        <t>Источник не опубликовал ИБР</t>
      </text>
    </comment>
    <comment ref="I93" authorId="2" shapeId="0">
      <text>
        <t>Источник не опубликовал ИБР</t>
      </text>
    </comment>
    <comment ref="I94" authorId="2" shapeId="0">
      <text>
        <t>Источник не опубликовал ИБР</t>
      </text>
    </comment>
    <comment ref="I95" authorId="2" shapeId="0">
      <text>
        <t>Источник не опубликовал ИБР</t>
      </text>
    </comment>
    <comment ref="I96" authorId="2" shapeId="0">
      <text>
        <t>Источник не опубликовал ИБР</t>
      </text>
    </comment>
    <comment ref="I97" authorId="2" shapeId="0">
      <text>
        <t>Источник не опубликовал ИБР</t>
      </text>
    </comment>
    <comment ref="I98" authorId="2" shapeId="0">
      <text>
        <t>Источник не опубликовал ИБР</t>
      </text>
    </comment>
    <comment ref="I99" authorId="2" shapeId="0">
      <text>
        <t>Источник не опубликовал ИБР</t>
      </text>
    </comment>
    <comment ref="I100" authorId="2" shapeId="0">
      <text>
        <t>Источник не опубликовал ИБР</t>
      </text>
    </comment>
    <comment ref="I101" authorId="2" shapeId="0">
      <text>
        <t>Источник не опубликовал ИБР</t>
      </text>
    </comment>
    <comment ref="I102" authorId="2" shapeId="0">
      <text>
        <t>Источник не опубликовал ИБР</t>
      </text>
    </comment>
    <comment ref="I103" authorId="2" shapeId="0">
      <text>
        <t>Источник не опубликовал ИБР</t>
      </text>
    </comment>
    <comment ref="I104" authorId="2" shapeId="0">
      <text>
        <t>Источник не опубликовал ИБР</t>
      </text>
    </comment>
    <comment ref="I105" authorId="2" shapeId="0">
      <text>
        <t>Источник не опубликовал ИБР</t>
      </text>
    </comment>
    <comment ref="I106" authorId="2" shapeId="0">
      <text>
        <t>Источник не опубликовал ИБР</t>
      </text>
    </comment>
    <comment ref="I107" authorId="2" shapeId="0">
      <text>
        <t>Источник не опубликовал ИБР</t>
      </text>
    </comment>
    <comment ref="I108" authorId="2" shapeId="0">
      <text>
        <t>Источник не опубликовал ИБР</t>
      </text>
    </comment>
    <comment ref="I109" authorId="2" shapeId="0">
      <text>
        <t>Источник не опубликовал ИБР</t>
      </text>
    </comment>
    <comment ref="I110" authorId="2" shapeId="0">
      <text>
        <t>Источник не опубликовал ИБР</t>
      </text>
    </comment>
    <comment ref="I111" authorId="2" shapeId="0">
      <text>
        <t>Источник не опубликовал ИБР</t>
      </text>
    </comment>
    <comment ref="I112" authorId="2" shapeId="0">
      <text>
        <t>Источник не опубликовал ИБР</t>
      </text>
    </comment>
    <comment ref="I113" authorId="2" shapeId="0">
      <text>
        <t>Источник не опубликовал ИБР</t>
      </text>
    </comment>
    <comment ref="I114" authorId="2" shapeId="0">
      <text>
        <t>Источник не опубликовал ИБР</t>
      </text>
    </comment>
    <comment ref="I115" authorId="2" shapeId="0">
      <text>
        <t>Источник не опубликовал ИБР</t>
      </text>
    </comment>
    <comment ref="I116" authorId="2" shapeId="0">
      <text>
        <t>Источник не опубликовал ИБР</t>
      </text>
    </comment>
    <comment ref="I117" authorId="2" shapeId="0">
      <text>
        <t>Источник не опубликовал ИБР</t>
      </text>
    </comment>
    <comment ref="I118" authorId="2" shapeId="0">
      <text>
        <t>Источник не опубликовал ИБР</t>
      </text>
    </comment>
    <comment ref="I119" authorId="2" shapeId="0">
      <text>
        <t>Источник не опубликовал ИБР</t>
      </text>
    </comment>
    <comment ref="I120" authorId="2" shapeId="0">
      <text>
        <t>Источник не опубликовал ИБР</t>
      </text>
    </comment>
    <comment ref="I121" authorId="2" shapeId="0">
      <text>
        <t>Источник не опубликовал ИБР</t>
      </text>
    </comment>
    <comment ref="I122" authorId="2" shapeId="0">
      <text>
        <t>Источник не опубликовал ИБР</t>
      </text>
    </comment>
    <comment ref="I123" authorId="2" shapeId="0">
      <text>
        <t>Источник не опубликовал ИБР</t>
      </text>
    </comment>
    <comment ref="I124" authorId="2" shapeId="0">
      <text>
        <t>Источник не опубликовал ИБР</t>
      </text>
    </comment>
    <comment ref="I125" authorId="2" shapeId="0">
      <text>
        <t>Источник не опубликовал ИБР</t>
      </text>
    </comment>
    <comment ref="I126" authorId="2" shapeId="0">
      <text>
        <t>Источник не опубликовал ИБР</t>
      </text>
    </comment>
    <comment ref="I127" authorId="2" shapeId="0">
      <text>
        <t>Источник не опубликовал ИБР</t>
      </text>
    </comment>
    <comment ref="I128" authorId="2" shapeId="0">
      <text>
        <t>Источник не опубликовал ИБР</t>
      </text>
    </comment>
    <comment ref="I129" authorId="2" shapeId="0">
      <text>
        <t>Источник не опубликовал ИБР</t>
      </text>
    </comment>
    <comment ref="I130" authorId="2" shapeId="0">
      <text>
        <t>Источник не опубликовал ИБР</t>
      </text>
    </comment>
    <comment ref="I131" authorId="2" shapeId="0">
      <text>
        <t>Источник не опубликовал ИБР</t>
      </text>
    </comment>
    <comment ref="I132" authorId="2" shapeId="0">
      <text>
        <t>Источник не опубликовал ИБР</t>
      </text>
    </comment>
    <comment ref="I133" authorId="2" shapeId="0">
      <text>
        <t>Источник не опубликовал ИБР</t>
      </text>
    </comment>
    <comment ref="I134" authorId="2" shapeId="0">
      <text>
        <t>Источник не опубликовал ИБР</t>
      </text>
    </comment>
    <comment ref="I135" authorId="2" shapeId="0">
      <text>
        <t>Источник не опубликовал ИБР</t>
      </text>
    </comment>
    <comment ref="I136" authorId="2" shapeId="0">
      <text>
        <t>Источник не опубликовал ИБР</t>
      </text>
    </comment>
    <comment ref="I137" authorId="2" shapeId="0">
      <text>
        <t>Источник не опубликовал ИБР</t>
      </text>
    </comment>
    <comment ref="I138" authorId="2" shapeId="0">
      <text>
        <t>Источник не опубликовал ИБР</t>
      </text>
    </comment>
    <comment ref="I139" authorId="2" shapeId="0">
      <text>
        <t>Источник не опубликовал ИБР</t>
      </text>
    </comment>
    <comment ref="I140" authorId="2" shapeId="0">
      <text>
        <t>Источник не опубликовал ИБР</t>
      </text>
    </comment>
    <comment ref="I141" authorId="2" shapeId="0">
      <text>
        <t>Источник не опубликовал ИБР</t>
      </text>
    </comment>
    <comment ref="I142" authorId="2" shapeId="0">
      <text>
        <t>Источник не опубликовал ИБР</t>
      </text>
    </comment>
    <comment ref="I143" authorId="2" shapeId="0">
      <text>
        <t>Источник не опубликовал ИБР</t>
      </text>
    </comment>
    <comment ref="I144" authorId="2" shapeId="0">
      <text>
        <t>Источник не опубликовал ИБР</t>
      </text>
    </comment>
    <comment ref="I145" authorId="2" shapeId="0">
      <text>
        <t>Источник не опубликовал ИБР</t>
      </text>
    </comment>
    <comment ref="I146" authorId="2" shapeId="0">
      <text>
        <t>Источник не опубликовал ИБР</t>
      </text>
    </comment>
    <comment ref="I147" authorId="2" shapeId="0">
      <text>
        <t>Источник не опубликовал ИБР</t>
      </text>
    </comment>
    <comment ref="I148" authorId="2" shapeId="0">
      <text>
        <t>Источник не опубликовал ИБР</t>
      </text>
    </comment>
    <comment ref="I149" authorId="2" shapeId="0">
      <text>
        <t>Источник не опубликовал ИБР</t>
      </text>
    </comment>
    <comment ref="I150" authorId="2" shapeId="0">
      <text>
        <t>Источник не опубликовал ИБР</t>
      </text>
    </comment>
    <comment ref="I151" authorId="2" shapeId="0">
      <text>
        <t>Источник не опубликовал ИБР</t>
      </text>
    </comment>
    <comment ref="I152" authorId="2" shapeId="0">
      <text>
        <t>Источник не опубликовал ИБР</t>
      </text>
    </comment>
    <comment ref="I153" authorId="2" shapeId="0">
      <text>
        <t>Источник не опубликовал ИБР</t>
      </text>
    </comment>
    <comment ref="I154" authorId="2" shapeId="0">
      <text>
        <t>Источник не опубликовал ИБР</t>
      </text>
    </comment>
    <comment ref="I155" authorId="2" shapeId="0">
      <text>
        <t>Источник не опубликовал ИБР</t>
      </text>
    </comment>
    <comment ref="I156" authorId="2" shapeId="0">
      <text>
        <t>Источник не опубликовал ИБР</t>
      </text>
    </comment>
    <comment ref="I157" authorId="2" shapeId="0">
      <text>
        <t>Источник не опубликовал ИБР</t>
      </text>
    </comment>
    <comment ref="I158" authorId="2" shapeId="0">
      <text>
        <t>Источник не опубликовал ИБР</t>
      </text>
    </comment>
    <comment ref="I159" authorId="2" shapeId="0">
      <text>
        <t>Источник не опубликовал ИБР</t>
      </text>
    </comment>
    <comment ref="I160" authorId="2" shapeId="0">
      <text>
        <t>Источник не опубликовал ИБР</t>
      </text>
    </comment>
    <comment ref="I161" authorId="2" shapeId="0">
      <text>
        <t>Источник не опубликовал ИБР</t>
      </text>
    </comment>
    <comment ref="I162" authorId="2" shapeId="0">
      <text>
        <t>Источник не опубликовал ИБР</t>
      </text>
    </comment>
    <comment ref="I163" authorId="2" shapeId="0">
      <text>
        <t>Источник не опубликовал ИБР</t>
      </text>
    </comment>
    <comment ref="I164" authorId="2" shapeId="0">
      <text>
        <t>Источник не опубликовал ИБР</t>
      </text>
    </comment>
    <comment ref="I165" authorId="2" shapeId="0">
      <text>
        <t>Источник не опубликовал ИБР</t>
      </text>
    </comment>
    <comment ref="I166" authorId="2" shapeId="0">
      <text>
        <t>Источник не опубликовал ИБР</t>
      </text>
    </comment>
    <comment ref="I167" authorId="2" shapeId="0">
      <text>
        <t>Источник не опубликовал ИБР</t>
      </text>
    </comment>
    <comment ref="I168" authorId="2" shapeId="0">
      <text>
        <t>Источник не опубликовал ИБР</t>
      </text>
    </comment>
    <comment ref="I169" authorId="2" shapeId="0">
      <text>
        <t>Источник не опубликовал ИБР</t>
      </text>
    </comment>
    <comment ref="I170" authorId="2" shapeId="0">
      <text>
        <t>Источник не опубликовал ИБР</t>
      </text>
    </comment>
    <comment ref="I171" authorId="2" shapeId="0">
      <text>
        <t>Источник не опубликовал ИБР</t>
      </text>
    </comment>
    <comment ref="I172" authorId="2" shapeId="0">
      <text>
        <t>Источник не опубликовал ИБР</t>
      </text>
    </comment>
    <comment ref="I173" authorId="2" shapeId="0">
      <text>
        <t>Источник не опубликовал ИБР</t>
      </text>
    </comment>
    <comment ref="I174" authorId="2" shapeId="0">
      <text>
        <t>Источник не опубликовал ИБР</t>
      </text>
    </comment>
    <comment ref="I175" authorId="2" shapeId="0">
      <text>
        <t>Источник не опубликовал ИБР</t>
      </text>
    </comment>
    <comment ref="I176" authorId="2" shapeId="0">
      <text>
        <t>Источник не опубликовал ИБР</t>
      </text>
    </comment>
    <comment ref="I177" authorId="2" shapeId="0">
      <text>
        <t>Источник не опубликовал ИБР</t>
      </text>
    </comment>
    <comment ref="I178" authorId="2" shapeId="0">
      <text>
        <t>Источник не опубликовал ИБР</t>
      </text>
    </comment>
    <comment ref="I179" authorId="2" shapeId="0">
      <text>
        <t>Источник не опубликовал ИБР</t>
      </text>
    </comment>
    <comment ref="I180" authorId="2" shapeId="0">
      <text>
        <t>Источник не опубликовал ИБР</t>
      </text>
    </comment>
    <comment ref="I181" authorId="2" shapeId="0">
      <text>
        <t>Источник не опубликовал ИБР</t>
      </text>
    </comment>
    <comment ref="I182" authorId="2" shapeId="0">
      <text>
        <t>Источник не опубликовал ИБР</t>
      </text>
    </comment>
    <comment ref="I183" authorId="2" shapeId="0">
      <text>
        <t>Источник не опубликовал ИБР</t>
      </text>
    </comment>
    <comment ref="I184" authorId="2" shapeId="0">
      <text>
        <t>Источник не опубликовал ИБР</t>
      </text>
    </comment>
    <comment ref="I185" authorId="2" shapeId="0">
      <text>
        <t>Источник не опубликовал ИБР</t>
      </text>
    </comment>
    <comment ref="I186" authorId="2" shapeId="0">
      <text>
        <t>Источник не опубликовал ИБР</t>
      </text>
    </comment>
    <comment ref="I187" authorId="2" shapeId="0">
      <text>
        <t>Источник не опубликовал ИБР</t>
      </text>
    </comment>
    <comment ref="I188" authorId="2" shapeId="0">
      <text>
        <t>Источник не опубликовал ИБР</t>
      </text>
    </comment>
    <comment ref="I189" authorId="2" shapeId="0">
      <text>
        <t>Источник не опубликовал ИБР</t>
      </text>
    </comment>
    <comment ref="I190" authorId="2" shapeId="0">
      <text>
        <t>Источник не опубликовал ИБР</t>
      </text>
    </comment>
    <comment ref="I191" authorId="2" shapeId="0">
      <text>
        <t>Источник не опубликовал ИБР</t>
      </text>
    </comment>
    <comment ref="I192" authorId="2" shapeId="0">
      <text>
        <t>Источник не опубликовал ИБР</t>
      </text>
    </comment>
    <comment ref="I193" authorId="2" shapeId="0">
      <text>
        <t>Источник не опубликовал ИБР</t>
      </text>
    </comment>
    <comment ref="I194" authorId="2" shapeId="0">
      <text>
        <t>Источник не опубликовал ИБР</t>
      </text>
    </comment>
    <comment ref="I195" authorId="2" shapeId="0">
      <text>
        <t>Источник не опубликовал ИБР</t>
      </text>
    </comment>
    <comment ref="I196" authorId="2" shapeId="0">
      <text>
        <t>Источник не опубликовал ИБР</t>
      </text>
    </comment>
    <comment ref="I197" authorId="2" shapeId="0">
      <text>
        <t>Источник не опубликовал ИБР</t>
      </text>
    </comment>
    <comment ref="I198" authorId="2" shapeId="0">
      <text>
        <t>Источник не опубликовал ИБР</t>
      </text>
    </comment>
    <comment ref="I199" authorId="2" shapeId="0">
      <text>
        <t>Источник не опубликовал ИБР</t>
      </text>
    </comment>
    <comment ref="I200" authorId="2" shapeId="0">
      <text>
        <t>Источник не опубликовал ИБР</t>
      </text>
    </comment>
    <comment ref="I201" authorId="2" shapeId="0">
      <text>
        <t>Источник не опубликовал ИБР</t>
      </text>
    </comment>
    <comment ref="I202" authorId="2" shapeId="0">
      <text>
        <t>Источник не опубликовал ИБР</t>
      </text>
    </comment>
    <comment ref="I203" authorId="2" shapeId="0">
      <text>
        <t>Источник не опубликовал ИБР</t>
      </text>
    </comment>
    <comment ref="I204" authorId="2" shapeId="0">
      <text>
        <t>Источник не опубликовал ИБР</t>
      </text>
    </comment>
    <comment ref="I205" authorId="2" shapeId="0">
      <text>
        <t>Источник не опубликовал ИБР</t>
      </text>
    </comment>
    <comment ref="I206" authorId="2" shapeId="0">
      <text>
        <t>Источник не опубликовал ИБР</t>
      </text>
    </comment>
    <comment ref="I207" authorId="2" shapeId="0">
      <text>
        <t>Источник не опубликовал ИБР</t>
      </text>
    </comment>
    <comment ref="I208" authorId="2" shapeId="0">
      <text>
        <t>Источник не опубликовал ИБР</t>
      </text>
    </comment>
    <comment ref="I209" authorId="2" shapeId="0">
      <text>
        <t>Источник не опубликовал ИБР</t>
      </text>
    </comment>
    <comment ref="I210" authorId="2" shapeId="0">
      <text>
        <t>Источник не опубликовал ИБР</t>
      </text>
    </comment>
    <comment ref="I211" authorId="2" shapeId="0">
      <text>
        <t>Источник не опубликовал ИБР</t>
      </text>
    </comment>
    <comment ref="I212" authorId="2" shapeId="0">
      <text>
        <t>Источник не опубликовал ИБР</t>
      </text>
    </comment>
    <comment ref="I213" authorId="2" shapeId="0">
      <text>
        <t>Источник не опубликовал ИБР</t>
      </text>
    </comment>
    <comment ref="I214" authorId="2" shapeId="0">
      <text>
        <t>Источник не опубликовал ИБР</t>
      </text>
    </comment>
    <comment ref="I215" authorId="2" shapeId="0">
      <text>
        <t>Источник не опубликовал ИБР</t>
      </text>
    </comment>
    <comment ref="I216" authorId="2" shapeId="0">
      <text>
        <t>Источник не опубликовал ИБР</t>
      </text>
    </comment>
    <comment ref="I217" authorId="2" shapeId="0">
      <text>
        <t>Источник не опубликовал ИБР</t>
      </text>
    </comment>
    <comment ref="I218" authorId="2" shapeId="0">
      <text>
        <t>Источник не опубликовал ИБР</t>
      </text>
    </comment>
    <comment ref="I219" authorId="2" shapeId="0">
      <text>
        <t>Источник не опубликовал ИБР</t>
      </text>
    </comment>
    <comment ref="I220" authorId="2" shapeId="0">
      <text>
        <t>Источник не опубликовал ИБР</t>
      </text>
    </comment>
    <comment ref="I221" authorId="2" shapeId="0">
      <text>
        <t>Источник не опубликовал ИБР</t>
      </text>
    </comment>
    <comment ref="I222" authorId="2" shapeId="0">
      <text>
        <t>Источник не опубликовал ИБР</t>
      </text>
    </comment>
    <comment ref="I223" authorId="2" shapeId="0">
      <text>
        <t>Источник не опубликовал ИБР</t>
      </text>
    </comment>
    <comment ref="I224" authorId="2" shapeId="0">
      <text>
        <t>Источник не опубликовал ИБР</t>
      </text>
    </comment>
    <comment ref="I225" authorId="2" shapeId="0">
      <text>
        <t>Источник не опубликовал ИБР</t>
      </text>
    </comment>
    <comment ref="I226" authorId="2" shapeId="0">
      <text>
        <t>Источник не опубликовал ИБР</t>
      </text>
    </comment>
    <comment ref="I227" authorId="2" shapeId="0">
      <text>
        <t>Источник не опубликовал ИБР</t>
      </text>
    </comment>
    <comment ref="I228" authorId="2" shapeId="0">
      <text>
        <t>Источник не опубликовал ИБР</t>
      </text>
    </comment>
    <comment ref="I229" authorId="2" shapeId="0">
      <text>
        <t>Источник не опубликовал ИБР</t>
      </text>
    </comment>
    <comment ref="I230" authorId="2" shapeId="0">
      <text>
        <t>Источник не опубликовал ИБР</t>
      </text>
    </comment>
    <comment ref="I231" authorId="2" shapeId="0">
      <text>
        <t>Источник не опубликовал ИБР</t>
      </text>
    </comment>
    <comment ref="I232" authorId="2" shapeId="0">
      <text>
        <t>Источник не опубликовал ИБР</t>
      </text>
    </comment>
    <comment ref="I233" authorId="2" shapeId="0">
      <text>
        <t>Источник не опубликовал ИБР</t>
      </text>
    </comment>
    <comment ref="I234" authorId="2" shapeId="0">
      <text>
        <t>Источник не опубликовал ИБР</t>
      </text>
    </comment>
    <comment ref="I235" authorId="2" shapeId="0">
      <text>
        <t>Источник не опубликовал ИБР</t>
      </text>
    </comment>
    <comment ref="I236" authorId="2" shapeId="0">
      <text>
        <t>Источник не опубликовал ИБР</t>
      </text>
    </comment>
    <comment ref="I237" authorId="2" shapeId="0">
      <text>
        <t>Источник не опубликовал ИБР</t>
      </text>
    </comment>
    <comment ref="I238" authorId="2" shapeId="0">
      <text>
        <t>Источник не опубликовал ИБР</t>
      </text>
    </comment>
    <comment ref="I239" authorId="2" shapeId="0">
      <text>
        <t>Источник не опубликовал ИБР</t>
      </text>
    </comment>
    <comment ref="I240" authorId="2" shapeId="0">
      <text>
        <t>Источник не опубликовал ИБР</t>
      </text>
    </comment>
    <comment ref="I241" authorId="2" shapeId="0">
      <text>
        <t>Источник не опубликовал ИБР</t>
      </text>
    </comment>
    <comment ref="I242" authorId="2" shapeId="0">
      <text>
        <t>Источник не опубликовал ИБР</t>
      </text>
    </comment>
    <comment ref="I243" authorId="2" shapeId="0">
      <text>
        <t>Источник не опубликовал ИБР</t>
      </text>
    </comment>
    <comment ref="I244" authorId="2" shapeId="0">
      <text>
        <t>Источник не опубликовал ИБР</t>
      </text>
    </comment>
    <comment ref="I245" authorId="2" shapeId="0">
      <text>
        <t>Источник не опубликовал ИБР</t>
      </text>
    </comment>
    <comment ref="I246" authorId="2" shapeId="0">
      <text>
        <t>Источник не опубликовал ИБР</t>
      </text>
    </comment>
    <comment ref="I247" authorId="2" shapeId="0">
      <text>
        <t>Источник не опубликовал ИБР</t>
      </text>
    </comment>
    <comment ref="I248" authorId="2" shapeId="0">
      <text>
        <t>Источник не опубликовал ИБР</t>
      </text>
    </comment>
    <comment ref="I249" authorId="2" shapeId="0">
      <text>
        <t>Источник не опубликовал ИБР</t>
      </text>
    </comment>
    <comment ref="I250" authorId="2" shapeId="0">
      <text>
        <t>Источник не опубликовал ИБР</t>
      </text>
    </comment>
    <comment ref="I251" authorId="2" shapeId="0">
      <text>
        <t>Источник не опубликовал ИБР</t>
      </text>
    </comment>
    <comment ref="I252" authorId="2" shapeId="0">
      <text>
        <t>Источник не опубликовал ИБР</t>
      </text>
    </comment>
    <comment ref="I253" authorId="2" shapeId="0">
      <text>
        <t>Источник не опубликовал ИБР</t>
      </text>
    </comment>
    <comment ref="I254" authorId="2" shapeId="0">
      <text>
        <t>Источник не опубликовал ИБР</t>
      </text>
    </comment>
    <comment ref="I255" authorId="2" shapeId="0">
      <text>
        <t>Источник не опубликовал ИБР</t>
      </text>
    </comment>
    <comment ref="I256" authorId="2" shapeId="0">
      <text>
        <t>Источник не опубликовал ИБР</t>
      </text>
    </comment>
    <comment ref="I257" authorId="2" shapeId="0">
      <text>
        <t>Источник не опубликовал ИБР</t>
      </text>
    </comment>
    <comment ref="I258" authorId="2" shapeId="0">
      <text>
        <t>Источник не опубликовал ИБР</t>
      </text>
    </comment>
    <comment ref="I259" authorId="2" shapeId="0">
      <text>
        <t>Источник не опубликовал ИБР</t>
      </text>
    </comment>
    <comment ref="I260" authorId="2" shapeId="0">
      <text>
        <t>Источник не опубликовал ИБР</t>
      </text>
    </comment>
    <comment ref="I261" authorId="2" shapeId="0">
      <text>
        <t>Источник не опубликовал ИБР</t>
      </text>
    </comment>
    <comment ref="I262" authorId="2" shapeId="0">
      <text>
        <t>Источник не опубликовал ИБР</t>
      </text>
    </comment>
    <comment ref="I263" authorId="2" shapeId="0">
      <text>
        <t>Источник не опубликовал ИБР</t>
      </text>
    </comment>
    <comment ref="I264" authorId="2" shapeId="0">
      <text>
        <t>Источник не опубликовал ИБР</t>
      </text>
    </comment>
    <comment ref="I265" authorId="2" shapeId="0">
      <text>
        <t>Источник не опубликовал ИБР</t>
      </text>
    </comment>
    <comment ref="I266" authorId="2" shapeId="0">
      <text>
        <t>Источник не опубликовал ИБР</t>
      </text>
    </comment>
    <comment ref="I267" authorId="2" shapeId="0">
      <text>
        <t>Источник не опубликовал ИБР</t>
      </text>
    </comment>
    <comment ref="I268" authorId="2" shapeId="0">
      <text>
        <t>Источник не опубликовал ИБР</t>
      </text>
    </comment>
    <comment ref="I269" authorId="2" shapeId="0">
      <text>
        <t>Источник не опубликовал ИБР</t>
      </text>
    </comment>
    <comment ref="I270" authorId="2" shapeId="0">
      <text>
        <t>Источник не опубликовал ИБР</t>
      </text>
    </comment>
    <comment ref="I271" authorId="2" shapeId="0">
      <text>
        <t>Источник не опубликовал ИБР</t>
      </text>
    </comment>
    <comment ref="I272" authorId="2" shapeId="0">
      <text>
        <t>Источник не опубликовал ИБР</t>
      </text>
    </comment>
    <comment ref="I273" authorId="2" shapeId="0">
      <text>
        <t>Источник не опубликовал ИБР</t>
      </text>
    </comment>
    <comment ref="I274" authorId="2" shapeId="0">
      <text>
        <t>Источник не опубликовал ИБР</t>
      </text>
    </comment>
    <comment ref="I275" authorId="2" shapeId="0">
      <text>
        <t>Источник не опубликовал ИБР</t>
      </text>
    </comment>
    <comment ref="I276" authorId="2" shapeId="0">
      <text>
        <t>Источник не опубликовал ИБР</t>
      </text>
    </comment>
    <comment ref="I277" authorId="2" shapeId="0">
      <text>
        <t>Источник не опубликовал ИБР</t>
      </text>
    </comment>
    <comment ref="I278" authorId="2" shapeId="0">
      <text>
        <t>Источник не опубликовал ИБР</t>
      </text>
    </comment>
    <comment ref="I279" authorId="2" shapeId="0">
      <text>
        <t>Источник не опубликовал ИБР</t>
      </text>
    </comment>
    <comment ref="I280" authorId="2" shapeId="0">
      <text>
        <t>Источник не опубликовал ИБР</t>
      </text>
    </comment>
    <comment ref="I281" authorId="2" shapeId="0">
      <text>
        <t>Источник не опубликовал ИБР</t>
      </text>
    </comment>
    <comment ref="I282" authorId="2" shapeId="0">
      <text>
        <t>Источник не опубликовал ИБР</t>
      </text>
    </comment>
    <comment ref="I283" authorId="2" shapeId="0">
      <text>
        <t>Источник не опубликовал ИБР</t>
      </text>
    </comment>
    <comment ref="I284" authorId="2" shapeId="0">
      <text>
        <t>Источник не опубликовал ИБР</t>
      </text>
    </comment>
    <comment ref="I285" authorId="2" shapeId="0">
      <text>
        <t>Источник не опубликовал ИБР</t>
      </text>
    </comment>
    <comment ref="I286" authorId="2" shapeId="0">
      <text>
        <t>Источник не опубликовал ИБР</t>
      </text>
    </comment>
    <comment ref="I287" authorId="2" shapeId="0">
      <text>
        <t>Источник не опубликовал ИБР</t>
      </text>
    </comment>
    <comment ref="I288" authorId="2" shapeId="0">
      <text>
        <t>Источник не опубликовал ИБР</t>
      </text>
    </comment>
    <comment ref="I289" authorId="2" shapeId="0">
      <text>
        <t>Источник не опубликовал ИБР</t>
      </text>
    </comment>
    <comment ref="I290" authorId="2" shapeId="0">
      <text>
        <t>Источник не опубликовал ИБР</t>
      </text>
    </comment>
    <comment ref="I291" authorId="2" shapeId="0">
      <text>
        <t>Источник не опубликовал ИБР</t>
      </text>
    </comment>
    <comment ref="I292" authorId="2" shapeId="0">
      <text>
        <t>Источник не опубликовал ИБР</t>
      </text>
    </comment>
    <comment ref="I293" authorId="2" shapeId="0">
      <text>
        <t>Источник не опубликовал ИБР</t>
      </text>
    </comment>
    <comment ref="I294" authorId="2" shapeId="0">
      <text>
        <t>Источник не опубликовал ИБР</t>
      </text>
    </comment>
    <comment ref="I295" authorId="2" shapeId="0">
      <text>
        <t>Источник не опубликовал ИБР</t>
      </text>
    </comment>
    <comment ref="I296" authorId="2" shapeId="0">
      <text>
        <t>Источник не опубликовал ИБР</t>
      </text>
    </comment>
    <comment ref="I297" authorId="2" shapeId="0">
      <text>
        <t>Источник не опубликовал ИБР</t>
      </text>
    </comment>
    <comment ref="I298" authorId="2" shapeId="0">
      <text>
        <t>Источник не опубликовал ИБР</t>
      </text>
    </comment>
    <comment ref="I299" authorId="2" shapeId="0">
      <text>
        <t>Источник не опубликовал ИБР</t>
      </text>
    </comment>
    <comment ref="I300" authorId="2" shapeId="0">
      <text>
        <t>Источник не опубликовал ИБР</t>
      </text>
    </comment>
    <comment ref="I301" authorId="2" shapeId="0">
      <text>
        <t>Источник не опубликовал ИБР</t>
      </text>
    </comment>
    <comment ref="I302" authorId="2" shapeId="0">
      <text>
        <t>Источник не опубликовал ИБР</t>
      </text>
    </comment>
    <comment ref="I303" authorId="2" shapeId="0">
      <text>
        <t>Источник не опубликовал ИБР</t>
      </text>
    </comment>
    <comment ref="I304" authorId="2" shapeId="0">
      <text>
        <t>Источник не опубликовал ИБР</t>
      </text>
    </comment>
    <comment ref="I305" authorId="2" shapeId="0">
      <text>
        <t>Источник не опубликовал ИБР</t>
      </text>
    </comment>
    <comment ref="I306" authorId="2" shapeId="0">
      <text>
        <t>Источник не опубликовал ИБР</t>
      </text>
    </comment>
    <comment ref="I307" authorId="2" shapeId="0">
      <text>
        <t>Источник не опубликовал ИБР</t>
      </text>
    </comment>
    <comment ref="I308" authorId="2" shapeId="0">
      <text>
        <t>Источник не опубликовал ИБР</t>
      </text>
    </comment>
    <comment ref="I309" authorId="2" shapeId="0">
      <text>
        <t>Источник не опубликовал ИБР</t>
      </text>
    </comment>
    <comment ref="I310" authorId="2" shapeId="0">
      <text>
        <t>Источник не опубликовал ИБР</t>
      </text>
    </comment>
    <comment ref="I311" authorId="2" shapeId="0">
      <text>
        <t>Источник не опубликовал ИБР</t>
      </text>
    </comment>
    <comment ref="I312" authorId="2" shapeId="0">
      <text>
        <t>Источник не опубликовал ИБР</t>
      </text>
    </comment>
    <comment ref="I313" authorId="2" shapeId="0">
      <text>
        <t>Источник не опубликовал ИБР</t>
      </text>
    </comment>
    <comment ref="I314" authorId="2" shapeId="0">
      <text>
        <t>Источник не опубликовал ИБР</t>
      </text>
    </comment>
    <comment ref="I315" authorId="2" shapeId="0">
      <text>
        <t>Источник не опубликовал ИБР</t>
      </text>
    </comment>
    <comment ref="I316" authorId="2" shapeId="0">
      <text>
        <t>Источник не опубликовал ИБР</t>
      </text>
    </comment>
    <comment ref="I317" authorId="2" shapeId="0">
      <text>
        <t>Источник не опубликовал ИБР</t>
      </text>
    </comment>
    <comment ref="I318" authorId="2" shapeId="0">
      <text>
        <t>Источник не опубликовал ИБР</t>
      </text>
    </comment>
    <comment ref="I319" authorId="2" shapeId="0">
      <text>
        <t>Источник не опубликовал ИБР</t>
      </text>
    </comment>
    <comment ref="I320" authorId="2" shapeId="0">
      <text>
        <t>Источник не опубликовал ИБР</t>
      </text>
    </comment>
    <comment ref="I321" authorId="2" shapeId="0">
      <text>
        <t>Источник не опубликовал ИБР</t>
      </text>
    </comment>
    <comment ref="I322" authorId="2" shapeId="0">
      <text>
        <t>Источник не опубликовал ИБР</t>
      </text>
    </comment>
    <comment ref="I323" authorId="2" shapeId="0">
      <text>
        <t>Источник не опубликовал ИБР</t>
      </text>
    </comment>
    <comment ref="I324" authorId="2" shapeId="0">
      <text>
        <t>Источник не опубликовал ИБР</t>
      </text>
    </comment>
    <comment ref="I325" authorId="2" shapeId="0">
      <text>
        <t>Источник не опубликовал ИБР</t>
      </text>
    </comment>
    <comment ref="I326" authorId="2" shapeId="0">
      <text>
        <t>Источник не опубликовал ИБР</t>
      </text>
    </comment>
    <comment ref="I327" authorId="2" shapeId="0">
      <text>
        <t>Источник не опубликовал ИБР</t>
      </text>
    </comment>
    <comment ref="I328" authorId="2" shapeId="0">
      <text>
        <t>Источник не опубликовал ИБР</t>
      </text>
    </comment>
    <comment ref="I329" authorId="2" shapeId="0">
      <text>
        <t>Источник не опубликовал ИБР</t>
      </text>
    </comment>
    <comment ref="I330" authorId="2" shapeId="0">
      <text>
        <t>Источник не опубликовал ИБР</t>
      </text>
    </comment>
    <comment ref="I331" authorId="2" shapeId="0">
      <text>
        <t>Источник не опубликовал ИБР</t>
      </text>
    </comment>
    <comment ref="I332" authorId="2" shapeId="0">
      <text>
        <t>Источник не опубликовал ИБР</t>
      </text>
    </comment>
    <comment ref="I333" authorId="2" shapeId="0">
      <text>
        <t>Источник не опубликовал ИБР</t>
      </text>
    </comment>
    <comment ref="I334" authorId="2" shapeId="0">
      <text>
        <t>Источник не опубликовал ИБР</t>
      </text>
    </comment>
    <comment ref="I335" authorId="2" shapeId="0">
      <text>
        <t>Источник не опубликовал ИБР</t>
      </text>
    </comment>
    <comment ref="I336" authorId="2" shapeId="0">
      <text>
        <t>Источник не опубликовал ИБР</t>
      </text>
    </comment>
    <comment ref="I337" authorId="2" shapeId="0">
      <text>
        <t>Источник не опубликовал ИБР</t>
      </text>
    </comment>
    <comment ref="I338" authorId="2" shapeId="0">
      <text>
        <t>Источник не опубликовал ИБР</t>
      </text>
    </comment>
    <comment ref="I339" authorId="2" shapeId="0">
      <text>
        <t>Источник не опубликовал ИБР</t>
      </text>
    </comment>
    <comment ref="I340" authorId="2" shapeId="0">
      <text>
        <t>Источник не опубликовал ИБР</t>
      </text>
    </comment>
    <comment ref="I341" authorId="2" shapeId="0">
      <text>
        <t>Источник не опубликовал ИБР</t>
      </text>
    </comment>
    <comment ref="I342" authorId="2" shapeId="0">
      <text>
        <t>Источник не опубликовал ИБР</t>
      </text>
    </comment>
    <comment ref="I343" authorId="2" shapeId="0">
      <text>
        <t>Источник не опубликовал ИБР</t>
      </text>
    </comment>
    <comment ref="I344" authorId="2" shapeId="0">
      <text>
        <t>Источник не опубликовал ИБР</t>
      </text>
    </comment>
    <comment ref="I345" authorId="2" shapeId="0">
      <text>
        <t>Источник не опубликовал ИБР</t>
      </text>
    </comment>
    <comment ref="I346" authorId="2" shapeId="0">
      <text>
        <t>Источник не опубликовал ИБР</t>
      </text>
    </comment>
    <comment ref="I347" authorId="2" shapeId="0">
      <text>
        <t>Источник не опубликовал ИБР</t>
      </text>
    </comment>
    <comment ref="I348" authorId="2" shapeId="0">
      <text>
        <t>Источник не опубликовал ИБР</t>
      </text>
    </comment>
    <comment ref="I349" authorId="2" shapeId="0">
      <text>
        <t>Источник не опубликовал ИБР</t>
      </text>
    </comment>
    <comment ref="I350" authorId="2" shapeId="0">
      <text>
        <t>Источник не опубликовал ИБР</t>
      </text>
    </comment>
    <comment ref="I351" authorId="2" shapeId="0">
      <text>
        <t>Источник не опубликовал ИБР</t>
      </text>
    </comment>
    <comment ref="I352" authorId="2" shapeId="0">
      <text>
        <t>Источник не опубликовал ИБР</t>
      </text>
    </comment>
    <comment ref="I353" authorId="2" shapeId="0">
      <text>
        <t>Источник не опубликовал ИБР</t>
      </text>
    </comment>
    <comment ref="I354" authorId="2" shapeId="0">
      <text>
        <t>Источник не опубликовал ИБР</t>
      </text>
    </comment>
    <comment ref="I355" authorId="2" shapeId="0">
      <text>
        <t>Источник не опубликовал ИБР</t>
      </text>
    </comment>
    <comment ref="I356" authorId="2" shapeId="0">
      <text>
        <t>Источник не опубликовал ИБР</t>
      </text>
    </comment>
    <comment ref="I357" authorId="2" shapeId="0">
      <text>
        <t>Источник не опубликовал ИБР</t>
      </text>
    </comment>
    <comment ref="I358" authorId="2" shapeId="0">
      <text>
        <t>Источник не опубликовал ИБР</t>
      </text>
    </comment>
    <comment ref="I359" authorId="2" shapeId="0">
      <text>
        <t>Источник не опубликовал ИБР</t>
      </text>
    </comment>
    <comment ref="I360" authorId="2" shapeId="0">
      <text>
        <t>Источник не опубликовал ИБР</t>
      </text>
    </comment>
    <comment ref="I361" authorId="2" shapeId="0">
      <text>
        <t>Источник не опубликовал ИБР</t>
      </text>
    </comment>
    <comment ref="I362" authorId="2" shapeId="0">
      <text>
        <t>Источник не опубликовал ИБР</t>
      </text>
    </comment>
    <comment ref="I363" authorId="2" shapeId="0">
      <text>
        <t>Источник не опубликовал ИБР</t>
      </text>
    </comment>
    <comment ref="I364" authorId="2" shapeId="0">
      <text>
        <t>Источник не опубликовал ИБР</t>
      </text>
    </comment>
    <comment ref="I365" authorId="2" shapeId="0">
      <text>
        <t>Источник не опубликовал ИБР</t>
      </text>
    </comment>
    <comment ref="I366" authorId="2" shapeId="0">
      <text>
        <t>Источник не опубликовал ИБР</t>
      </text>
    </comment>
    <comment ref="I367" authorId="2" shapeId="0">
      <text>
        <t>Источник не опубликовал ИБР</t>
      </text>
    </comment>
    <comment ref="I368" authorId="2" shapeId="0">
      <text>
        <t>Источник не опубликовал ИБР</t>
      </text>
    </comment>
    <comment ref="I369" authorId="2" shapeId="0">
      <text>
        <t>Источник не опубликовал ИБР</t>
      </text>
    </comment>
    <comment ref="I370" authorId="2" shapeId="0">
      <text>
        <t>Источник не опубликовал ИБР</t>
      </text>
    </comment>
    <comment ref="I371" authorId="2" shapeId="0">
      <text>
        <t>Источник не опубликовал ИБР</t>
      </text>
    </comment>
    <comment ref="I372" authorId="2" shapeId="0">
      <text>
        <t>Источник не опубликовал ИБР</t>
      </text>
    </comment>
    <comment ref="I373" authorId="2" shapeId="0">
      <text>
        <t>Источник не опубликовал ИБР</t>
      </text>
    </comment>
    <comment ref="I374" authorId="2" shapeId="0">
      <text>
        <t>Источник не опубликовал ИБР</t>
      </text>
    </comment>
    <comment ref="I375" authorId="2" shapeId="0">
      <text>
        <t>Источник не опубликовал ИБР</t>
      </text>
    </comment>
    <comment ref="I376" authorId="2" shapeId="0">
      <text>
        <t>Источник не опубликовал ИБР</t>
      </text>
    </comment>
    <comment ref="I377" authorId="2" shapeId="0">
      <text>
        <t>Источник не опубликовал ИБР</t>
      </text>
    </comment>
    <comment ref="I378" authorId="2" shapeId="0">
      <text>
        <t>Источник не опубликовал ИБР</t>
      </text>
    </comment>
    <comment ref="I379" authorId="2" shapeId="0">
      <text>
        <t>Источник не опубликовал ИБР</t>
      </text>
    </comment>
    <comment ref="I380" authorId="2" shapeId="0">
      <text>
        <t>Источник не опубликовал ИБР</t>
      </text>
    </comment>
    <comment ref="I381" authorId="2" shapeId="0">
      <text>
        <t>Источник не опубликовал ИБР</t>
      </text>
    </comment>
    <comment ref="I382" authorId="2" shapeId="0">
      <text>
        <t>Источник не опубликовал ИБР</t>
      </text>
    </comment>
    <comment ref="I383" authorId="2" shapeId="0">
      <text>
        <t>Источник не опубликовал ИБР</t>
      </text>
    </comment>
    <comment ref="I384" authorId="2" shapeId="0">
      <text>
        <t>Источник не опубликовал ИБР</t>
      </text>
    </comment>
    <comment ref="I385" authorId="2" shapeId="0">
      <text>
        <t>Источник не опубликовал ИБР</t>
      </text>
    </comment>
    <comment ref="I386" authorId="2" shapeId="0">
      <text>
        <t>Источник не опубликовал ИБР</t>
      </text>
    </comment>
    <comment ref="I387" authorId="2" shapeId="0">
      <text>
        <t>Источник не опубликовал ИБР</t>
      </text>
    </comment>
    <comment ref="I388" authorId="2" shapeId="0">
      <text>
        <t>Источник не опубликовал ИБР</t>
      </text>
    </comment>
    <comment ref="I389" authorId="2" shapeId="0">
      <text>
        <t>Источник не опубликовал ИБР</t>
      </text>
    </comment>
    <comment ref="I390" authorId="2" shapeId="0">
      <text>
        <t>Источник не опубликовал ИБР</t>
      </text>
    </comment>
    <comment ref="I391" authorId="2" shapeId="0">
      <text>
        <t>Источник не опубликовал ИБР</t>
      </text>
    </comment>
    <comment ref="I392" authorId="2" shapeId="0">
      <text>
        <t>Источник не опубликовал ИБР</t>
      </text>
    </comment>
    <comment ref="I393" authorId="2" shapeId="0">
      <text>
        <t>Источник не опубликовал ИБР</t>
      </text>
    </comment>
    <comment ref="I394" authorId="2" shapeId="0">
      <text>
        <t>Источник не опубликовал ИБР</t>
      </text>
    </comment>
    <comment ref="I395" authorId="2" shapeId="0">
      <text>
        <t>Источник не опубликовал ИБР</t>
      </text>
    </comment>
    <comment ref="I396" authorId="2" shapeId="0">
      <text>
        <t>Источник не опубликовал ИБР</t>
      </text>
    </comment>
    <comment ref="I397" authorId="2" shapeId="0">
      <text>
        <t>Источник не опубликовал ИБР</t>
      </text>
    </comment>
    <comment ref="I398" authorId="2" shapeId="0">
      <text>
        <t>Источник не опубликовал ИБР</t>
      </text>
    </comment>
    <comment ref="I399" authorId="2" shapeId="0">
      <text>
        <t>Источник не опубликовал ИБР</t>
      </text>
    </comment>
    <comment ref="I400" authorId="2" shapeId="0">
      <text>
        <t>Источник не опубликовал ИБР</t>
      </text>
    </comment>
    <comment ref="I401" authorId="2" shapeId="0">
      <text>
        <t>Источник не опубликовал ИБР</t>
      </text>
    </comment>
    <comment ref="I402" authorId="2" shapeId="0">
      <text>
        <t>Источник не опубликовал ИБР</t>
      </text>
    </comment>
    <comment ref="I403" authorId="2" shapeId="0">
      <text>
        <t>Источник не опубликовал ИБР</t>
      </text>
    </comment>
    <comment ref="I404" authorId="2" shapeId="0">
      <text>
        <t>Источник не опубликовал ИБР</t>
      </text>
    </comment>
    <comment ref="I405" authorId="2" shapeId="0">
      <text>
        <t>Источник не опубликовал ИБР</t>
      </text>
    </comment>
    <comment ref="I406" authorId="2" shapeId="0">
      <text>
        <t>Источник не опубликовал ИБР</t>
      </text>
    </comment>
    <comment ref="I407" authorId="2" shapeId="0">
      <text>
        <t>Источник не опубликовал ИБР</t>
      </text>
    </comment>
    <comment ref="I408" authorId="2" shapeId="0">
      <text>
        <t>Источник не опубликовал ИБР</t>
      </text>
    </comment>
    <comment ref="I409" authorId="2" shapeId="0">
      <text>
        <t>Источник не опубликовал ИБР</t>
      </text>
    </comment>
    <comment ref="I410" authorId="2" shapeId="0">
      <text>
        <t>Источник не опубликовал ИБР</t>
      </text>
    </comment>
    <comment ref="I411" authorId="2" shapeId="0">
      <text>
        <t>Источник не опубликовал ИБР</t>
      </text>
    </comment>
    <comment ref="I412" authorId="2" shapeId="0">
      <text>
        <t>Источник не опубликовал ИБР</t>
      </text>
    </comment>
    <comment ref="I413" authorId="2" shapeId="0">
      <text>
        <t>Источник не опубликовал ИБР</t>
      </text>
    </comment>
    <comment ref="I414" authorId="2" shapeId="0">
      <text>
        <t>Источник не опубликовал ИБР</t>
      </text>
    </comment>
    <comment ref="I415" authorId="2" shapeId="0">
      <text>
        <t>Источник не опубликовал ИБР</t>
      </text>
    </comment>
    <comment ref="I416" authorId="2" shapeId="0">
      <text>
        <t>Источник не опубликовал ИБР</t>
      </text>
    </comment>
    <comment ref="I417" authorId="2" shapeId="0">
      <text>
        <t>Источник не опубликовал ИБР</t>
      </text>
    </comment>
    <comment ref="I418" authorId="2" shapeId="0">
      <text>
        <t>Источник не опубликовал ИБР</t>
      </text>
    </comment>
    <comment ref="I419" authorId="2" shapeId="0">
      <text>
        <t>Источник не опубликовал ИБР</t>
      </text>
    </comment>
    <comment ref="I420" authorId="2" shapeId="0">
      <text>
        <t>Источник не опубликовал ИБР</t>
      </text>
    </comment>
    <comment ref="I421" authorId="2" shapeId="0">
      <text>
        <t>Источник не опубликовал ИБР</t>
      </text>
    </comment>
    <comment ref="I422" authorId="2" shapeId="0">
      <text>
        <t>Источник не опубликовал ИБР</t>
      </text>
    </comment>
    <comment ref="I423" authorId="2" shapeId="0">
      <text>
        <t>Источник не опубликовал ИБР</t>
      </text>
    </comment>
    <comment ref="I424" authorId="2" shapeId="0">
      <text>
        <t>Источник не опубликовал ИБР</t>
      </text>
    </comment>
    <comment ref="I425" authorId="2" shapeId="0">
      <text>
        <t>Источник не опубликовал ИБР</t>
      </text>
    </comment>
    <comment ref="I426" authorId="2" shapeId="0">
      <text>
        <t>Источник не опубликовал ИБР</t>
      </text>
    </comment>
    <comment ref="I427" authorId="2" shapeId="0">
      <text>
        <t>Источник не опубликовал ИБР</t>
      </text>
    </comment>
    <comment ref="I428" authorId="2" shapeId="0">
      <text>
        <t>Источник не опубликовал ИБР</t>
      </text>
    </comment>
    <comment ref="I429" authorId="2" shapeId="0">
      <text>
        <t>Источник не опубликовал ИБР</t>
      </text>
    </comment>
    <comment ref="I430" authorId="2" shapeId="0">
      <text>
        <t>Источник не опубликовал ИБР</t>
      </text>
    </comment>
    <comment ref="I431" authorId="2" shapeId="0">
      <text>
        <t>Источник не опубликовал ИБР</t>
      </text>
    </comment>
    <comment ref="I432" authorId="2" shapeId="0">
      <text>
        <t>Источник не опубликовал ИБР</t>
      </text>
    </comment>
    <comment ref="I433" authorId="2" shapeId="0">
      <text>
        <t>Источник не опубликовал ИБР</t>
      </text>
    </comment>
    <comment ref="I434" authorId="2" shapeId="0">
      <text>
        <t>Источник не опубликовал ИБР</t>
      </text>
    </comment>
    <comment ref="I435" authorId="2" shapeId="0">
      <text>
        <t>Источник не опубликовал ИБР</t>
      </text>
    </comment>
    <comment ref="I436" authorId="2" shapeId="0">
      <text>
        <t>Источник не опубликовал ИБР</t>
      </text>
    </comment>
    <comment ref="I437" authorId="2" shapeId="0">
      <text>
        <t>Источник не опубликовал ИБР</t>
      </text>
    </comment>
    <comment ref="I438" authorId="2" shapeId="0">
      <text>
        <t>Источник не опубликовал ИБР</t>
      </text>
    </comment>
    <comment ref="I439" authorId="2" shapeId="0">
      <text>
        <t>Источник не опубликовал ИБР</t>
      </text>
    </comment>
    <comment ref="I440" authorId="2" shapeId="0">
      <text>
        <t>Источник не опубликовал ИБР</t>
      </text>
    </comment>
    <comment ref="I441" authorId="2" shapeId="0">
      <text>
        <t>Источник не опубликовал ИБР</t>
      </text>
    </comment>
    <comment ref="I442" authorId="2" shapeId="0">
      <text>
        <t>Источник не опубликовал ИБР</t>
      </text>
    </comment>
    <comment ref="I443" authorId="2" shapeId="0">
      <text>
        <t>Источник не опубликовал ИБР</t>
      </text>
    </comment>
    <comment ref="I444" authorId="2" shapeId="0">
      <text>
        <t>Источник не опубликовал ИБР</t>
      </text>
    </comment>
    <comment ref="I445" authorId="2" shapeId="0">
      <text>
        <t>Источник не опубликовал ИБР</t>
      </text>
    </comment>
    <comment ref="I446" authorId="2" shapeId="0">
      <text>
        <t>Источник не опубликовал ИБР</t>
      </text>
    </comment>
    <comment ref="I447" authorId="2" shapeId="0">
      <text>
        <t>Источник не опубликовал ИБР</t>
      </text>
    </comment>
    <comment ref="I448" authorId="2" shapeId="0">
      <text>
        <t>Источник не опубликовал ИБР</t>
      </text>
    </comment>
    <comment ref="I449" authorId="2" shapeId="0">
      <text>
        <t>Источник не опубликовал ИБР</t>
      </text>
    </comment>
    <comment ref="I450" authorId="2" shapeId="0">
      <text>
        <t>Источник не опубликовал ИБР</t>
      </text>
    </comment>
    <comment ref="I451" authorId="2" shapeId="0">
      <text>
        <t>Источник не опубликовал ИБР</t>
      </text>
    </comment>
    <comment ref="I452" authorId="2" shapeId="0">
      <text>
        <t>Источник не опубликовал ИБР</t>
      </text>
    </comment>
    <comment ref="I453" authorId="2" shapeId="0">
      <text>
        <t>Источник не опубликовал ИБР</t>
      </text>
    </comment>
    <comment ref="I454" authorId="2" shapeId="0">
      <text>
        <t>Источник не опубликовал ИБР</t>
      </text>
    </comment>
    <comment ref="I455" authorId="2" shapeId="0">
      <text>
        <t>Источник не опубликовал ИБР</t>
      </text>
    </comment>
    <comment ref="I456" authorId="2" shapeId="0">
      <text>
        <t>Источник не опубликовал ИБР</t>
      </text>
    </comment>
    <comment ref="I457" authorId="2" shapeId="0">
      <text>
        <t>Источник не опубликовал ИБР</t>
      </text>
    </comment>
    <comment ref="I458" authorId="2" shapeId="0">
      <text>
        <t>Источник не опубликовал ИБР</t>
      </text>
    </comment>
    <comment ref="I459" authorId="2" shapeId="0">
      <text>
        <t>Источник не опубликовал ИБР</t>
      </text>
    </comment>
    <comment ref="I460" authorId="2" shapeId="0">
      <text>
        <t>Источник не опубликовал ИБР</t>
      </text>
    </comment>
    <comment ref="I461" authorId="2" shapeId="0">
      <text>
        <t>Источник не опубликовал ИБР</t>
      </text>
    </comment>
    <comment ref="I462" authorId="2" shapeId="0">
      <text>
        <t>Источник не опубликовал ИБР</t>
      </text>
    </comment>
    <comment ref="I463" authorId="2" shapeId="0">
      <text>
        <t>Источник не опубликовал ИБР</t>
      </text>
    </comment>
    <comment ref="I464" authorId="2" shapeId="0">
      <text>
        <t>Источник не опубликовал ИБР</t>
      </text>
    </comment>
    <comment ref="I465" authorId="2" shapeId="0">
      <text>
        <t>Источник не опубликовал ИБР</t>
      </text>
    </comment>
    <comment ref="I466" authorId="2" shapeId="0">
      <text>
        <t>Источник не опубликовал ИБР</t>
      </text>
    </comment>
    <comment ref="I467" authorId="2" shapeId="0">
      <text>
        <t>Источник не опубликовал ИБР</t>
      </text>
    </comment>
    <comment ref="I468" authorId="2" shapeId="0">
      <text>
        <t>Источник не опубликовал ИБР</t>
      </text>
    </comment>
    <comment ref="I469" authorId="2" shapeId="0">
      <text>
        <t>Источник не опубликовал ИБР</t>
      </text>
    </comment>
    <comment ref="I470" authorId="2" shapeId="0">
      <text>
        <t>Источник не опубликовал ИБР</t>
      </text>
    </comment>
    <comment ref="I471" authorId="2" shapeId="0">
      <text>
        <t>Источник не опубликовал ИБР</t>
      </text>
    </comment>
    <comment ref="I472" authorId="2" shapeId="0">
      <text>
        <t>Источник не опубликовал ИБР</t>
      </text>
    </comment>
    <comment ref="I473" authorId="2" shapeId="0">
      <text>
        <t>Источник не опубликовал ИБР</t>
      </text>
    </comment>
    <comment ref="I474" authorId="2" shapeId="0">
      <text>
        <t>Источник не опубликовал ИБР</t>
      </text>
    </comment>
    <comment ref="I475" authorId="2" shapeId="0">
      <text>
        <t>Источник не опубликовал ИБР</t>
      </text>
    </comment>
    <comment ref="I476" authorId="2" shapeId="0">
      <text>
        <t>Источник не опубликовал ИБР</t>
      </text>
    </comment>
    <comment ref="I477" authorId="2" shapeId="0">
      <text>
        <t>Источник не опубликовал ИБР</t>
      </text>
    </comment>
    <comment ref="I478" authorId="2" shapeId="0">
      <text>
        <t>Источник не опубликовал ИБР</t>
      </text>
    </comment>
    <comment ref="I479" authorId="2" shapeId="0">
      <text>
        <t>Источник не опубликовал ИБР</t>
      </text>
    </comment>
    <comment ref="I480" authorId="2" shapeId="0">
      <text>
        <t>Источник не опубликовал ИБР</t>
      </text>
    </comment>
    <comment ref="I481" authorId="2" shapeId="0">
      <text>
        <t>Источник не опубликовал ИБР</t>
      </text>
    </comment>
    <comment ref="I482" authorId="2" shapeId="0">
      <text>
        <t>Источник не опубликовал ИБР</t>
      </text>
    </comment>
    <comment ref="I483" authorId="2" shapeId="0">
      <text>
        <t>Источник не опубликовал ИБР</t>
      </text>
    </comment>
    <comment ref="I484" authorId="2" shapeId="0">
      <text>
        <t>Источник не опубликовал ИБР</t>
      </text>
    </comment>
    <comment ref="I485" authorId="2" shapeId="0">
      <text>
        <t>Источник не опубликовал ИБР</t>
      </text>
    </comment>
    <comment ref="I486" authorId="2" shapeId="0">
      <text>
        <t>Источник не опубликовал ИБР</t>
      </text>
    </comment>
    <comment ref="I487" authorId="2" shapeId="0">
      <text>
        <t>Источник не опубликовал ИБР</t>
      </text>
    </comment>
    <comment ref="I488" authorId="2" shapeId="0">
      <text>
        <t>Источник не опубликовал ИБР</t>
      </text>
    </comment>
    <comment ref="I489" authorId="2" shapeId="0">
      <text>
        <t>Источник не опубликовал ИБР</t>
      </text>
    </comment>
    <comment ref="I490" authorId="2" shapeId="0">
      <text>
        <t>Источник не опубликовал ИБР</t>
      </text>
    </comment>
    <comment ref="I491" authorId="2" shapeId="0">
      <text>
        <t>Источник не опубликовал ИБР</t>
      </text>
    </comment>
    <comment ref="I492" authorId="2" shapeId="0">
      <text>
        <t>Источник не опубликовал ИБР</t>
      </text>
    </comment>
    <comment ref="I493" authorId="2" shapeId="0">
      <text>
        <t>Источник не опубликовал ИБР</t>
      </text>
    </comment>
    <comment ref="I494" authorId="2" shapeId="0">
      <text>
        <t>Источник не опубликовал ИБР</t>
      </text>
    </comment>
    <comment ref="I495" authorId="2" shapeId="0">
      <text>
        <t>Источник не опубликовал ИБР</t>
      </text>
    </comment>
    <comment ref="I496" authorId="2" shapeId="0">
      <text>
        <t>Источник не опубликовал ИБР</t>
      </text>
    </comment>
    <comment ref="I497" authorId="2" shapeId="0">
      <text>
        <t>Источник не опубликовал ИБР</t>
      </text>
    </comment>
    <comment ref="I498" authorId="2" shapeId="0">
      <text>
        <t>Источник не опубликовал ИБР</t>
      </text>
    </comment>
    <comment ref="I499" authorId="2" shapeId="0">
      <text>
        <t>Источник не опубликовал ИБР</t>
      </text>
    </comment>
    <comment ref="I500" authorId="2" shapeId="0">
      <text>
        <t>Источник не опубликовал ИБР</t>
      </text>
    </comment>
    <comment ref="I501" authorId="2" shapeId="0">
      <text>
        <t>Источник не опубликовал ИБР</t>
      </text>
    </comment>
    <comment ref="I502" authorId="2" shapeId="0">
      <text>
        <t>Источник не опубликовал ИБР</t>
      </text>
    </comment>
    <comment ref="I503" authorId="2" shapeId="0">
      <text>
        <t>Источник не опубликовал ИБР</t>
      </text>
    </comment>
    <comment ref="I504" authorId="2" shapeId="0">
      <text>
        <t>Источник не опубликовал ИБР</t>
      </text>
    </comment>
    <comment ref="I505" authorId="2" shapeId="0">
      <text>
        <t>Источник не опубликовал ИБР</t>
      </text>
    </comment>
    <comment ref="I506" authorId="2" shapeId="0">
      <text>
        <t>Источник не опубликовал ИБР</t>
      </text>
    </comment>
    <comment ref="I507" authorId="2" shapeId="0">
      <text>
        <t>Источник не опубликовал ИБР</t>
      </text>
    </comment>
    <comment ref="I508" authorId="2" shapeId="0">
      <text>
        <t>Источник не опубликовал ИБР</t>
      </text>
    </comment>
    <comment ref="I509" authorId="2" shapeId="0">
      <text>
        <t>Источник не опубликовал ИБР</t>
      </text>
    </comment>
    <comment ref="I510" authorId="2" shapeId="0">
      <text>
        <t>Источник не опубликовал ИБР</t>
      </text>
    </comment>
    <comment ref="I511" authorId="2" shapeId="0">
      <text>
        <t>Источник не опубликовал ИБР</t>
      </text>
    </comment>
    <comment ref="I512" authorId="2" shapeId="0">
      <text>
        <t>Источник не опубликовал ИБР</t>
      </text>
    </comment>
    <comment ref="I513" authorId="2" shapeId="0">
      <text>
        <t>Источник не опубликовал ИБР</t>
      </text>
    </comment>
    <comment ref="I514" authorId="2" shapeId="0">
      <text>
        <t>Источник не опубликовал ИБР</t>
      </text>
    </comment>
    <comment ref="I515" authorId="2" shapeId="0">
      <text>
        <t>Источник не опубликовал ИБР</t>
      </text>
    </comment>
    <comment ref="I516" authorId="2" shapeId="0">
      <text>
        <t>Источник не опубликовал ИБР</t>
      </text>
    </comment>
    <comment ref="I517" authorId="2" shapeId="0">
      <text>
        <t>Источник не опубликовал ИБР</t>
      </text>
    </comment>
    <comment ref="I518" authorId="2" shapeId="0">
      <text>
        <t>Источник не опубликовал ИБР</t>
      </text>
    </comment>
    <comment ref="I519" authorId="2" shapeId="0">
      <text>
        <t>Источник не опубликовал ИБР</t>
      </text>
    </comment>
    <comment ref="I520" authorId="2" shapeId="0">
      <text>
        <t>Источник не опубликовал ИБР</t>
      </text>
    </comment>
    <comment ref="I521" authorId="2" shapeId="0">
      <text>
        <t>Источник не опубликовал ИБР</t>
      </text>
    </comment>
    <comment ref="I522" authorId="2" shapeId="0">
      <text>
        <t>Источник не опубликовал ИБР</t>
      </text>
    </comment>
    <comment ref="I523" authorId="2" shapeId="0">
      <text>
        <t>Источник не опубликовал ИБР</t>
      </text>
    </comment>
    <comment ref="I524" authorId="2" shapeId="0">
      <text>
        <t>Источник не опубликовал ИБР</t>
      </text>
    </comment>
    <comment ref="I525" authorId="2" shapeId="0">
      <text>
        <t>Источник не опубликовал ИБР</t>
      </text>
    </comment>
    <comment ref="I526" authorId="2" shapeId="0">
      <text>
        <t>Источник не опубликовал ИБР</t>
      </text>
    </comment>
    <comment ref="I527" authorId="2" shapeId="0">
      <text>
        <t>Источник не опубликовал ИБР</t>
      </text>
    </comment>
    <comment ref="I528" authorId="2" shapeId="0">
      <text>
        <t>Источник не опубликовал ИБР</t>
      </text>
    </comment>
    <comment ref="I529" authorId="2" shapeId="0">
      <text>
        <t>Источник не опубликовал ИБР</t>
      </text>
    </comment>
    <comment ref="I530" authorId="2" shapeId="0">
      <text>
        <t>Источник не опубликовал ИБР</t>
      </text>
    </comment>
    <comment ref="I531" authorId="2" shapeId="0">
      <text>
        <t>Источник не опубликовал ИБР</t>
      </text>
    </comment>
    <comment ref="I532" authorId="2" shapeId="0">
      <text>
        <t>Источник не опубликовал ИБР</t>
      </text>
    </comment>
    <comment ref="I533" authorId="2" shapeId="0">
      <text>
        <t>Источник не опубликовал ИБР</t>
      </text>
    </comment>
    <comment ref="I534" authorId="2" shapeId="0">
      <text>
        <t>Источник не опубликовал ИБР</t>
      </text>
    </comment>
    <comment ref="I535" authorId="2" shapeId="0">
      <text>
        <t>Источник не опубликовал ИБР</t>
      </text>
    </comment>
    <comment ref="I536" authorId="2" shapeId="0">
      <text>
        <t>Источник не опубликовал ИБР</t>
      </text>
    </comment>
    <comment ref="I537" authorId="2" shapeId="0">
      <text>
        <t>Источник не опубликовал ИБР</t>
      </text>
    </comment>
    <comment ref="I538" authorId="2" shapeId="0">
      <text>
        <t>Источник не опубликовал ИБР</t>
      </text>
    </comment>
    <comment ref="I539" authorId="2" shapeId="0">
      <text>
        <t>Источник не опубликовал ИБР</t>
      </text>
    </comment>
    <comment ref="I540" authorId="2" shapeId="0">
      <text>
        <t>Источник не опубликовал ИБР</t>
      </text>
    </comment>
    <comment ref="I541" authorId="2" shapeId="0">
      <text>
        <t>Источник не опубликовал ИБР</t>
      </text>
    </comment>
    <comment ref="I542" authorId="2" shapeId="0">
      <text>
        <t>Источник не опубликовал ИБР</t>
      </text>
    </comment>
    <comment ref="I543" authorId="2" shapeId="0">
      <text>
        <t>Источник не опубликовал ИБР</t>
      </text>
    </comment>
    <comment ref="I544" authorId="2" shapeId="0">
      <text>
        <t>Источник не опубликовал ИБР</t>
      </text>
    </comment>
    <comment ref="I545" authorId="2" shapeId="0">
      <text>
        <t>Источник не опубликовал ИБР</t>
      </text>
    </comment>
    <comment ref="I546" authorId="2" shapeId="0">
      <text>
        <t>Источник не опубликовал ИБР</t>
      </text>
    </comment>
    <comment ref="I547" authorId="2" shapeId="0">
      <text>
        <t>Источник не опубликовал ИБР</t>
      </text>
    </comment>
    <comment ref="I548" authorId="2" shapeId="0">
      <text>
        <t>Источник не опубликовал ИБР</t>
      </text>
    </comment>
    <comment ref="I549" authorId="2" shapeId="0">
      <text>
        <t>Источник не опубликовал ИБР</t>
      </text>
    </comment>
    <comment ref="I550" authorId="2" shapeId="0">
      <text>
        <t>Источник не опубликовал ИБР</t>
      </text>
    </comment>
    <comment ref="I551" authorId="2" shapeId="0">
      <text>
        <t>Источник не опубликовал ИБР</t>
      </text>
    </comment>
    <comment ref="I552" authorId="2" shapeId="0">
      <text>
        <t>Источник не опубликовал ИБР</t>
      </text>
    </comment>
    <comment ref="I553" authorId="2" shapeId="0">
      <text>
        <t>Источник не опубликовал ИБР</t>
      </text>
    </comment>
    <comment ref="I554" authorId="2" shapeId="0">
      <text>
        <t>Источник не опубликовал ИБР</t>
      </text>
    </comment>
    <comment ref="I555" authorId="2" shapeId="0">
      <text>
        <t>Источник не опубликовал ИБР</t>
      </text>
    </comment>
    <comment ref="I556" authorId="2" shapeId="0">
      <text>
        <t>Источник не опубликовал ИБР</t>
      </text>
    </comment>
    <comment ref="I557" authorId="2" shapeId="0">
      <text>
        <t>Источник не опубликовал ИБР</t>
      </text>
    </comment>
    <comment ref="I558" authorId="2" shapeId="0">
      <text>
        <t>Источник не опубликовал ИБР</t>
      </text>
    </comment>
    <comment ref="I559" authorId="2" shapeId="0">
      <text>
        <t>Источник не опубликовал ИБР</t>
      </text>
    </comment>
    <comment ref="I560" authorId="2" shapeId="0">
      <text>
        <t>Источник не опубликовал ИБР</t>
      </text>
    </comment>
    <comment ref="I561" authorId="2" shapeId="0">
      <text>
        <t>Источник не опубликовал ИБР</t>
      </text>
    </comment>
    <comment ref="I562" authorId="2" shapeId="0">
      <text>
        <t>Источник не опубликовал ИБР</t>
      </text>
    </comment>
    <comment ref="I563" authorId="2" shapeId="0">
      <text>
        <t>Источник не опубликовал ИБР</t>
      </text>
    </comment>
    <comment ref="I564" authorId="2" shapeId="0">
      <text>
        <t>Источник не опубликовал ИБР</t>
      </text>
    </comment>
    <comment ref="I565" authorId="2" shapeId="0">
      <text>
        <t>Источник не опубликовал ИБР</t>
      </text>
    </comment>
    <comment ref="I566" authorId="2" shapeId="0">
      <text>
        <t>Источник не опубликовал ИБР</t>
      </text>
    </comment>
    <comment ref="I567" authorId="2" shapeId="0">
      <text>
        <t>Источник не опубликовал ИБР</t>
      </text>
    </comment>
    <comment ref="I568" authorId="2" shapeId="0">
      <text>
        <t>Источник не опубликовал ИБР</t>
      </text>
    </comment>
    <comment ref="I569" authorId="2" shapeId="0">
      <text>
        <t>Источник не опубликовал ИБР</t>
      </text>
    </comment>
    <comment ref="I570" authorId="2" shapeId="0">
      <text>
        <t>Источник не опубликовал ИБР</t>
      </text>
    </comment>
    <comment ref="I571" authorId="2" shapeId="0">
      <text>
        <t>Источник не опубликовал ИБР</t>
      </text>
    </comment>
    <comment ref="I572" authorId="2" shapeId="0">
      <text>
        <t>Источник не опубликовал ИБР</t>
      </text>
    </comment>
    <comment ref="I573" authorId="2" shapeId="0">
      <text>
        <t>Источник не опубликовал ИБР</t>
      </text>
    </comment>
    <comment ref="I574" authorId="2" shapeId="0">
      <text>
        <t>Источник не опубликовал ИБР</t>
      </text>
    </comment>
    <comment ref="I575" authorId="2" shapeId="0">
      <text>
        <t>Источник не опубликовал ИБР</t>
      </text>
    </comment>
    <comment ref="I576" authorId="2" shapeId="0">
      <text>
        <t>Источник не опубликовал ИБР</t>
      </text>
    </comment>
    <comment ref="I577" authorId="2" shapeId="0">
      <text>
        <t>Источник не опубликовал ИБР</t>
      </text>
    </comment>
    <comment ref="I578" authorId="2" shapeId="0">
      <text>
        <t>Источник не опубликовал ИБР</t>
      </text>
    </comment>
    <comment ref="I579" authorId="2" shapeId="0">
      <text>
        <t>Источник не опубликовал ИБР</t>
      </text>
    </comment>
    <comment ref="I580" authorId="2" shapeId="0">
      <text>
        <t>Источник не опубликовал ИБР</t>
      </text>
    </comment>
    <comment ref="I581" authorId="2" shapeId="0">
      <text>
        <t>Источник не опубликовал ИБР</t>
      </text>
    </comment>
    <comment ref="I582" authorId="2" shapeId="0">
      <text>
        <t>Источник не опубликовал ИБР</t>
      </text>
    </comment>
    <comment ref="I583" authorId="2" shapeId="0">
      <text>
        <t>Источник не опубликовал ИБР</t>
      </text>
    </comment>
    <comment ref="I584" authorId="2" shapeId="0">
      <text>
        <t>Источник не опубликовал ИБР</t>
      </text>
    </comment>
    <comment ref="I585" authorId="2" shapeId="0">
      <text>
        <t>Источник не опубликовал ИБР</t>
      </text>
    </comment>
    <comment ref="I586" authorId="2" shapeId="0">
      <text>
        <t>Источник не опубликовал ИБР</t>
      </text>
    </comment>
    <comment ref="I587" authorId="2" shapeId="0">
      <text>
        <t>Источник не опубликовал ИБР</t>
      </text>
    </comment>
    <comment ref="I588" authorId="2" shapeId="0">
      <text>
        <t>Источник не опубликовал ИБР</t>
      </text>
    </comment>
    <comment ref="I589" authorId="2" shapeId="0">
      <text>
        <t>Источник не опубликовал ИБР</t>
      </text>
    </comment>
    <comment ref="I590" authorId="2" shapeId="0">
      <text>
        <t>Источник не опубликовал ИБР</t>
      </text>
    </comment>
    <comment ref="I591" authorId="2" shapeId="0">
      <text>
        <t>Источник не опубликовал ИБР</t>
      </text>
    </comment>
    <comment ref="I592" authorId="2" shapeId="0">
      <text>
        <t>Источник не опубликовал ИБР</t>
      </text>
    </comment>
    <comment ref="I593" authorId="2" shapeId="0">
      <text>
        <t>Источник не опубликовал ИБР</t>
      </text>
    </comment>
    <comment ref="I594" authorId="2" shapeId="0">
      <text>
        <t>Источник не опубликовал ИБР</t>
      </text>
    </comment>
    <comment ref="I595" authorId="2" shapeId="0">
      <text>
        <t>Источник не опубликовал ИБР</t>
      </text>
    </comment>
    <comment ref="I596" authorId="2" shapeId="0">
      <text>
        <t>Источник не опубликовал ИБР</t>
      </text>
    </comment>
    <comment ref="I597" authorId="2" shapeId="0">
      <text>
        <t>Источник не опубликовал ИБР</t>
      </text>
    </comment>
    <comment ref="I598" authorId="2" shapeId="0">
      <text>
        <t>Источник не опубликовал ИБР</t>
      </text>
    </comment>
    <comment ref="I599" authorId="2" shapeId="0">
      <text>
        <t>Источник не опубликовал ИБР</t>
      </text>
    </comment>
    <comment ref="I600" authorId="2" shapeId="0">
      <text>
        <t>Источник не опубликовал ИБР</t>
      </text>
    </comment>
    <comment ref="I601" authorId="2" shapeId="0">
      <text>
        <t>Источник не опубликовал ИБР</t>
      </text>
    </comment>
    <comment ref="I602" authorId="2" shapeId="0">
      <text>
        <t>Источник не опубликовал ИБР</t>
      </text>
    </comment>
    <comment ref="I603" authorId="2" shapeId="0">
      <text>
        <t>Источник не опубликовал ИБР</t>
      </text>
    </comment>
    <comment ref="I604" authorId="2" shapeId="0">
      <text>
        <t>Источник не опубликовал ИБР</t>
      </text>
    </comment>
    <comment ref="I605" authorId="2" shapeId="0">
      <text>
        <t>Источник не опубликовал ИБР</t>
      </text>
    </comment>
    <comment ref="I606" authorId="2" shapeId="0">
      <text>
        <t>Источник не опубликовал ИБР</t>
      </text>
    </comment>
    <comment ref="I607" authorId="2" shapeId="0">
      <text>
        <t>Источник не опубликовал ИБР</t>
      </text>
    </comment>
    <comment ref="I608" authorId="2" shapeId="0">
      <text>
        <t>Источник не опубликовал ИБР</t>
      </text>
    </comment>
    <comment ref="I609" authorId="2" shapeId="0">
      <text>
        <t>Источник не опубликовал ИБР</t>
      </text>
    </comment>
    <comment ref="I610" authorId="2" shapeId="0">
      <text>
        <t>Источник не опубликовал ИБР</t>
      </text>
    </comment>
    <comment ref="I611" authorId="2" shapeId="0">
      <text>
        <t>Источник не опубликовал ИБР</t>
      </text>
    </comment>
    <comment ref="I612" authorId="2" shapeId="0">
      <text>
        <t>Источник не опубликовал ИБР</t>
      </text>
    </comment>
    <comment ref="I613" authorId="2" shapeId="0">
      <text>
        <t>Источник не опубликовал ИБР</t>
      </text>
    </comment>
    <comment ref="I614" authorId="2" shapeId="0">
      <text>
        <t>Источник не опубликовал ИБР</t>
      </text>
    </comment>
    <comment ref="I615" authorId="2" shapeId="0">
      <text>
        <t>Источник не опубликовал ИБР</t>
      </text>
    </comment>
    <comment ref="I616" authorId="2" shapeId="0">
      <text>
        <t>Источник не опубликовал ИБР</t>
      </text>
    </comment>
    <comment ref="I617" authorId="2" shapeId="0">
      <text>
        <t>Источник не опубликовал ИБР</t>
      </text>
    </comment>
    <comment ref="I618" authorId="2" shapeId="0">
      <text>
        <t>Источник не опубликовал ИБР</t>
      </text>
    </comment>
    <comment ref="I619" authorId="2" shapeId="0">
      <text>
        <t>Источник не опубликовал ИБР</t>
      </text>
    </comment>
    <comment ref="I620" authorId="2" shapeId="0">
      <text>
        <t>Источник не опубликовал ИБР</t>
      </text>
    </comment>
    <comment ref="I621" authorId="2" shapeId="0">
      <text>
        <t>Источник не опубликовал ИБР</t>
      </text>
    </comment>
    <comment ref="I622" authorId="2" shapeId="0">
      <text>
        <t>Источник не опубликовал ИБР</t>
      </text>
    </comment>
    <comment ref="I623" authorId="2" shapeId="0">
      <text>
        <t>Источник не опубликовал ИБР</t>
      </text>
    </comment>
    <comment ref="I624" authorId="2" shapeId="0">
      <text>
        <t>Источник не опубликовал ИБР</t>
      </text>
    </comment>
    <comment ref="I625" authorId="2" shapeId="0">
      <text>
        <t>Источник не опубликовал ИБР</t>
      </text>
    </comment>
    <comment ref="I626" authorId="2" shapeId="0">
      <text>
        <t>Источник не опубликовал ИБР</t>
      </text>
    </comment>
    <comment ref="I627" authorId="2" shapeId="0">
      <text>
        <t>Источник не опубликовал ИБР</t>
      </text>
    </comment>
    <comment ref="I628" authorId="2" shapeId="0">
      <text>
        <t>Источник не опубликовал ИБР</t>
      </text>
    </comment>
    <comment ref="I629" authorId="2" shapeId="0">
      <text>
        <t>Источник не опубликовал ИБР</t>
      </text>
    </comment>
    <comment ref="I630" authorId="2" shapeId="0">
      <text>
        <t>Источник не опубликовал ИБР</t>
      </text>
    </comment>
    <comment ref="I631" authorId="2" shapeId="0">
      <text>
        <t>Источник не опубликовал ИБР</t>
      </text>
    </comment>
    <comment ref="I632" authorId="2" shapeId="0">
      <text>
        <t>Источник не опубликовал ИБР</t>
      </text>
    </comment>
    <comment ref="I633" authorId="2" shapeId="0">
      <text>
        <t>Источник не опубликовал ИБР</t>
      </text>
    </comment>
    <comment ref="I634" authorId="2" shapeId="0">
      <text>
        <t>Источник не опубликовал ИБР</t>
      </text>
    </comment>
    <comment ref="I635" authorId="2" shapeId="0">
      <text>
        <t>Источник не опубликовал ИБР</t>
      </text>
    </comment>
    <comment ref="I636" authorId="2" shapeId="0">
      <text>
        <t>Источник не опубликовал ИБР</t>
      </text>
    </comment>
    <comment ref="I637" authorId="2" shapeId="0">
      <text>
        <t>Источник не опубликовал ИБР</t>
      </text>
    </comment>
    <comment ref="I638" authorId="2" shapeId="0">
      <text>
        <t>Источник не опубликовал ИБР</t>
      </text>
    </comment>
    <comment ref="I639" authorId="2" shapeId="0">
      <text>
        <t>Источник не опубликовал ИБР</t>
      </text>
    </comment>
    <comment ref="I640" authorId="2" shapeId="0">
      <text>
        <t>Источник не опубликовал ИБР</t>
      </text>
    </comment>
    <comment ref="I641" authorId="2" shapeId="0">
      <text>
        <t>Источник не опубликовал ИБР</t>
      </text>
    </comment>
    <comment ref="I642" authorId="2" shapeId="0">
      <text>
        <t>Источник не опубликовал ИБР</t>
      </text>
    </comment>
    <comment ref="I643" authorId="2" shapeId="0">
      <text>
        <t>Источник не опубликовал ИБР</t>
      </text>
    </comment>
    <comment ref="I644" authorId="2" shapeId="0">
      <text>
        <t>Источник не опубликовал ИБР</t>
      </text>
    </comment>
    <comment ref="I645" authorId="2" shapeId="0">
      <text>
        <t>Источник не опубликовал ИБР</t>
      </text>
    </comment>
    <comment ref="I646" authorId="2" shapeId="0">
      <text>
        <t>Источник не опубликовал ИБР</t>
      </text>
    </comment>
    <comment ref="I647" authorId="2" shapeId="0">
      <text>
        <t>Источник не опубликовал ИБР</t>
      </text>
    </comment>
    <comment ref="I648" authorId="2" shapeId="0">
      <text>
        <t>Источник не опубликовал ИБР</t>
      </text>
    </comment>
    <comment ref="I649" authorId="2" shapeId="0">
      <text>
        <t>Источник не опубликовал ИБР</t>
      </text>
    </comment>
    <comment ref="I650" authorId="2" shapeId="0">
      <text>
        <t>Источник не опубликовал ИБР</t>
      </text>
    </comment>
    <comment ref="I651" authorId="2" shapeId="0">
      <text>
        <t>Источник не опубликовал ИБР</t>
      </text>
    </comment>
    <comment ref="I652" authorId="2" shapeId="0">
      <text>
        <t>Источник не опубликовал ИБР</t>
      </text>
    </comment>
    <comment ref="I653" authorId="2" shapeId="0">
      <text>
        <t>Источник не опубликовал ИБР</t>
      </text>
    </comment>
    <comment ref="I654" authorId="2" shapeId="0">
      <text>
        <t>Источник не опубликовал ИБР</t>
      </text>
    </comment>
    <comment ref="I655" authorId="2" shapeId="0">
      <text>
        <t>Источник не опубликовал ИБР</t>
      </text>
    </comment>
    <comment ref="I656" authorId="2" shapeId="0">
      <text>
        <t>Источник не опубликовал ИБР</t>
      </text>
    </comment>
    <comment ref="I657" authorId="2" shapeId="0">
      <text>
        <t>Источник не опубликовал ИБР</t>
      </text>
    </comment>
    <comment ref="I658" authorId="2" shapeId="0">
      <text>
        <t>Источник не опубликовал ИБР</t>
      </text>
    </comment>
    <comment ref="I659" authorId="2" shapeId="0">
      <text>
        <t>Источник не опубликовал ИБР</t>
      </text>
    </comment>
    <comment ref="I660" authorId="2" shapeId="0">
      <text>
        <t>Источник не опубликовал ИБР</t>
      </text>
    </comment>
    <comment ref="I661" authorId="2" shapeId="0">
      <text>
        <t>Источник не опубликовал ИБР</t>
      </text>
    </comment>
    <comment ref="I662" authorId="2" shapeId="0">
      <text>
        <t>Источник не опубликовал ИБР</t>
      </text>
    </comment>
    <comment ref="I663" authorId="2" shapeId="0">
      <text>
        <t>Источник не опубликовал ИБР</t>
      </text>
    </comment>
    <comment ref="I664" authorId="2" shapeId="0">
      <text>
        <t>Источник не опубликовал ИБР</t>
      </text>
    </comment>
    <comment ref="I665" authorId="2" shapeId="0">
      <text>
        <t>Источник не опубликовал ИБР</t>
      </text>
    </comment>
    <comment ref="I666" authorId="2" shapeId="0">
      <text>
        <t>Источник не опубликовал ИБР</t>
      </text>
    </comment>
    <comment ref="I667" authorId="2" shapeId="0">
      <text>
        <t>Источник не опубликовал ИБР</t>
      </text>
    </comment>
    <comment ref="I668" authorId="2" shapeId="0">
      <text>
        <t>Источник не опубликовал ИБР</t>
      </text>
    </comment>
    <comment ref="I669" authorId="2" shapeId="0">
      <text>
        <t>Источник не опубликовал ИБР</t>
      </text>
    </comment>
    <comment ref="I670" authorId="2" shapeId="0">
      <text>
        <t>Источник не опубликовал ИБР</t>
      </text>
    </comment>
    <comment ref="I671" authorId="2" shapeId="0">
      <text>
        <t>Источник не опубликовал ИБР</t>
      </text>
    </comment>
    <comment ref="I672" authorId="2" shapeId="0">
      <text>
        <t>Источник не опубликовал ИБР</t>
      </text>
    </comment>
    <comment ref="I673" authorId="2" shapeId="0">
      <text>
        <t>Источник не опубликовал ИБР</t>
      </text>
    </comment>
    <comment ref="I674" authorId="2" shapeId="0">
      <text>
        <t>Источник не опубликовал ИБР</t>
      </text>
    </comment>
    <comment ref="I675" authorId="2" shapeId="0">
      <text>
        <t>Источник не опубликовал ИБР</t>
      </text>
    </comment>
    <comment ref="I676" authorId="2" shapeId="0">
      <text>
        <t>Источник не опубликовал ИБР</t>
      </text>
    </comment>
    <comment ref="I677" authorId="2" shapeId="0">
      <text>
        <t>Источник не опубликовал ИБР</t>
      </text>
    </comment>
    <comment ref="I678" authorId="2" shapeId="0">
      <text>
        <t>Источник не опубликовал ИБР</t>
      </text>
    </comment>
    <comment ref="I679" authorId="2" shapeId="0">
      <text>
        <t>Источник не опубликовал ИБР</t>
      </text>
    </comment>
    <comment ref="I680" authorId="2" shapeId="0">
      <text>
        <t>Источник не опубликовал ИБР</t>
      </text>
    </comment>
    <comment ref="I681" authorId="2" shapeId="0">
      <text>
        <t>Источник не опубликовал ИБР</t>
      </text>
    </comment>
    <comment ref="I682" authorId="2" shapeId="0">
      <text>
        <t>Источник не опубликовал ИБР</t>
      </text>
    </comment>
    <comment ref="I683" authorId="2" shapeId="0">
      <text>
        <t>Источник не опубликовал ИБР</t>
      </text>
    </comment>
    <comment ref="I684" authorId="2" shapeId="0">
      <text>
        <t>Источник не опубликовал ИБР</t>
      </text>
    </comment>
    <comment ref="I685" authorId="2" shapeId="0">
      <text>
        <t>Источник не опубликовал ИБР</t>
      </text>
    </comment>
    <comment ref="I686" authorId="2" shapeId="0">
      <text>
        <t>Источник не опубликовал ИБР</t>
      </text>
    </comment>
    <comment ref="I687" authorId="2" shapeId="0">
      <text>
        <t>Источник не опубликовал ИБР</t>
      </text>
    </comment>
    <comment ref="I688" authorId="2" shapeId="0">
      <text>
        <t>Источник не опубликовал ИБР</t>
      </text>
    </comment>
    <comment ref="I689" authorId="2" shapeId="0">
      <text>
        <t>Источник не опубликовал ИБР</t>
      </text>
    </comment>
    <comment ref="I690" authorId="2" shapeId="0">
      <text>
        <t>Источник не опубликовал ИБР</t>
      </text>
    </comment>
    <comment ref="I691" authorId="2" shapeId="0">
      <text>
        <t>Источник не опубликовал ИБР</t>
      </text>
    </comment>
    <comment ref="I692" authorId="2" shapeId="0">
      <text>
        <t>Источник не опубликовал ИБР</t>
      </text>
    </comment>
    <comment ref="I693" authorId="2" shapeId="0">
      <text>
        <t>Источник не опубликовал ИБР</t>
      </text>
    </comment>
    <comment ref="I694" authorId="2" shapeId="0">
      <text>
        <t>Источник не опубликовал ИБР</t>
      </text>
    </comment>
    <comment ref="I695" authorId="2" shapeId="0">
      <text>
        <t>Источник не опубликовал ИБР</t>
      </text>
    </comment>
    <comment ref="I696" authorId="2" shapeId="0">
      <text>
        <t>Источник не опубликовал ИБР</t>
      </text>
    </comment>
    <comment ref="I697" authorId="2" shapeId="0">
      <text>
        <t>Источник не опубликовал ИБР</t>
      </text>
    </comment>
    <comment ref="I698" authorId="2" shapeId="0">
      <text>
        <t>Источник не опубликовал ИБР</t>
      </text>
    </comment>
    <comment ref="I699" authorId="2" shapeId="0">
      <text>
        <t>Источник не опубликовал ИБР</t>
      </text>
    </comment>
    <comment ref="I700" authorId="2" shapeId="0">
      <text>
        <t>Источник не опубликовал ИБР</t>
      </text>
    </comment>
    <comment ref="I701" authorId="2" shapeId="0">
      <text>
        <t>Источник не опубликовал ИБР</t>
      </text>
    </comment>
    <comment ref="I702" authorId="2" shapeId="0">
      <text>
        <t>Источник не опубликовал ИБР</t>
      </text>
    </comment>
    <comment ref="I703" authorId="2" shapeId="0">
      <text>
        <t>Источник не опубликовал ИБР</t>
      </text>
    </comment>
    <comment ref="I704" authorId="2" shapeId="0">
      <text>
        <t>Источник не опубликовал ИБР</t>
      </text>
    </comment>
    <comment ref="I705" authorId="2" shapeId="0">
      <text>
        <t>Источник не опубликовал ИБР</t>
      </text>
    </comment>
    <comment ref="I706" authorId="2" shapeId="0">
      <text>
        <t>Источник не опубликовал ИБР</t>
      </text>
    </comment>
    <comment ref="I707" authorId="2" shapeId="0">
      <text>
        <t>Источник не опубликовал ИБР</t>
      </text>
    </comment>
    <comment ref="I708" authorId="2" shapeId="0">
      <text>
        <t>Источник не опубликовал ИБР</t>
      </text>
    </comment>
    <comment ref="I709" authorId="2" shapeId="0">
      <text>
        <t>Источник не опубликовал ИБР</t>
      </text>
    </comment>
    <comment ref="I710" authorId="2" shapeId="0">
      <text>
        <t>Источник не опубликовал ИБР</t>
      </text>
    </comment>
    <comment ref="I711" authorId="2" shapeId="0">
      <text>
        <t>Источник не опубликовал ИБР</t>
      </text>
    </comment>
    <comment ref="I712" authorId="2" shapeId="0">
      <text>
        <t>Источник не опубликовал ИБР</t>
      </text>
    </comment>
    <comment ref="I713" authorId="2" shapeId="0">
      <text>
        <t>Источник не опубликовал ИБР</t>
      </text>
    </comment>
    <comment ref="I714" authorId="2" shapeId="0">
      <text>
        <t>Источник не опубликовал ИБР</t>
      </text>
    </comment>
    <comment ref="I715" authorId="2" shapeId="0">
      <text>
        <t>Источник не опубликовал ИБР</t>
      </text>
    </comment>
    <comment ref="I716" authorId="2" shapeId="0">
      <text>
        <t>Источник не опубликовал ИБР</t>
      </text>
    </comment>
    <comment ref="I717" authorId="2" shapeId="0">
      <text>
        <t>Источник не опубликовал ИБР</t>
      </text>
    </comment>
    <comment ref="I718" authorId="2" shapeId="0">
      <text>
        <t>Источник не опубликовал ИБР</t>
      </text>
    </comment>
    <comment ref="I719" authorId="2" shapeId="0">
      <text>
        <t>Источник не опубликовал ИБР</t>
      </text>
    </comment>
    <comment ref="I720" authorId="2" shapeId="0">
      <text>
        <t>Источник не опубликовал ИБР</t>
      </text>
    </comment>
    <comment ref="I721" authorId="2" shapeId="0">
      <text>
        <t>Источник не опубликовал ИБР</t>
      </text>
    </comment>
    <comment ref="I722" authorId="2" shapeId="0">
      <text>
        <t>Источник не опубликовал ИБР</t>
      </text>
    </comment>
    <comment ref="I723" authorId="2" shapeId="0">
      <text>
        <t>Источник не опубликовал ИБР</t>
      </text>
    </comment>
    <comment ref="I724" authorId="2" shapeId="0">
      <text>
        <t>Источник не опубликовал ИБР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A1:J725"/>
  <s:sheetViews>
    <s:sheetView showGridLines="0" workbookViewId="0">
      <s:pane xSplit="2" ySplit="4" topLeftCell="C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24" customWidth="1" min="1" max="1"/>
    <s:col width="12" customWidth="1" min="2" max="2"/>
    <s:col width="15" customWidth="1" min="3" max="3"/>
    <s:col width="15" customWidth="1" min="4" max="4"/>
    <s:col width="15" customWidth="1" min="5" max="5"/>
    <s:col width="15" customWidth="1" min="6" max="6"/>
    <s:col width="15" customWidth="1" min="7" max="7"/>
    <s:col width="15" customWidth="1" min="8" max="8"/>
    <s:col width="15" customWidth="1" min="9" max="9"/>
    <s:col width="15" customWidth="1" min="10" max="10"/>
    <s:col width="23" customWidth="1" min="11" max="11"/>
    <s:col width="23" customWidth="1" min="12" max="12"/>
    <s:col width="11" customWidth="1" min="13" max="13"/>
    <s:col width="17" customWidth="1" min="14" max="14"/>
  </s:cols>
  <s:sheetData>
    <s:row r="1" ht="26" customHeight="1">
      <s:c r="A1" s="1" t="inlineStr">
        <s:is>
          <s:t>Генерация (МВт*ч)</s:t>
        </s:is>
      </s:c>
      <s:c r="B1" s="2" t="n"/>
      <s:c r="C1" s="2" t="n"/>
      <s:c r="D1" s="2" t="n"/>
      <s:c r="E1" s="2" t="n"/>
      <s:c r="F1" s="2" t="n"/>
      <s:c r="G1" s="2" t="n"/>
      <s:c r="H1" s="2" t="n"/>
      <s:c r="I1" s="2" t="n"/>
      <s:c r="J1" s="2" t="n"/>
    </s:row>
    <s:row r="2" ht="38" customHeight="1">
      <s:c r="A2" s="3" t="inlineStr">
        <s:is>
          <s:t>ДАННЫЕ ПОЛНЫЕ. 01.09.2026 — 30.09.2026. Europe/Moscow. Факт.</s:t>
        </s:is>
      </s:c>
      <s:c r="B2" s="2" t="n"/>
      <s:c r="C2" s="2" t="n"/>
      <s:c r="D2" s="2" t="n"/>
      <s:c r="E2" s="2" t="n"/>
      <s:c r="F2" s="2" t="n"/>
      <s:c r="G2" s="2" t="n"/>
      <s:c r="H2" s="2" t="n"/>
      <s:c r="I2" s="2" t="n"/>
      <s:c r="J2" s="2" t="n"/>
    </s:row>
    <s:row r="3" ht="42" customHeight="1">
      <s:c r="A3" s="3" t="inlineStr">
        <s:is>
          <s:t>Энергия за час, МВт·ч. ВСЕГО — сумма 7 ОЭС. Итоги с пропусками не рассчитываются.</s:t>
        </s:is>
      </s:c>
      <s:c r="B3" s="2" t="n"/>
      <s:c r="C3" s="2" t="n"/>
      <s:c r="D3" s="2" t="n"/>
      <s:c r="E3" s="2" t="n"/>
      <s:c r="F3" s="2" t="n"/>
      <s:c r="G3" s="2" t="n"/>
      <s:c r="H3" s="2" t="n"/>
      <s:c r="I3" s="2" t="n"/>
      <s:c r="J3" s="2" t="n"/>
    </s:row>
    <s:row r="4" ht="48" customHeight="1">
      <s:c r="A4" s="4" t="inlineStr">
        <s:is>
          <s:t>Дата</s:t>
        </s:is>
      </s:c>
      <s:c r="B4" s="4" t="inlineStr">
        <s:is>
          <s:t>Час начала</s:t>
        </s:is>
      </s:c>
      <s:c r="C4" s="4" t="inlineStr">
        <s:is>
          <s:t>С-Запад</s:t>
        </s:is>
      </s:c>
      <s:c r="D4" s="4" t="inlineStr">
        <s:is>
          <s:t>Центр</s:t>
        </s:is>
      </s:c>
      <s:c r="E4" s="4" t="inlineStr">
        <s:is>
          <s:t>Юг</s:t>
        </s:is>
      </s:c>
      <s:c r="F4" s="4" t="inlineStr">
        <s:is>
          <s:t>Ср. Волга</s:t>
        </s:is>
      </s:c>
      <s:c r="G4" s="4" t="inlineStr">
        <s:is>
          <s:t>Урал</s:t>
        </s:is>
      </s:c>
      <s:c r="H4" s="4" t="inlineStr">
        <s:is>
          <s:t>Сибирь</s:t>
        </s:is>
      </s:c>
      <s:c r="I4" s="4" t="inlineStr">
        <s:is>
          <s:t>Восток</s:t>
        </s:is>
      </s:c>
      <s:c r="J4" s="4" t="inlineStr">
        <s:is>
          <s:t>ВСЕГО</s:t>
        </s:is>
      </s:c>
    </s:row>
    <s:row r="5">
      <s:c r="A5" s="5" t="n">
        <s:v>46266</s:v>
      </s:c>
      <s:c r="B5" s="2" t="n">
        <s:v>0</s:v>
      </s:c>
      <s:c r="C5" s="6" t="n">
        <s:v>10734</s:v>
      </s:c>
      <s:c r="D5" s="6" t="n">
        <s:v>22221</s:v>
      </s:c>
      <s:c r="E5" s="6" t="n">
        <s:v>10797</s:v>
      </s:c>
      <s:c r="F5" s="6" t="n">
        <s:v>10654</s:v>
      </s:c>
      <s:c r="G5" s="6" t="n">
        <s:v>21942</s:v>
      </s:c>
      <s:c r="H5" s="6" t="n">
        <s:v>21448</s:v>
      </s:c>
      <s:c r="I5" s="6" t="n">
        <s:v>4722</s:v>
      </s:c>
      <s:c r="J5" s="6" t="n">
        <s:f>IF(COUNT(C5:I5)=7,SUM(C5:I5),"")</s:f>
        <s:v>102518</s:v>
      </s:c>
    </s:row>
    <s:row r="6">
      <s:c r="A6" s="5" t="n">
        <s:v>46266</s:v>
      </s:c>
      <s:c r="B6" s="2" t="n">
        <s:v>1</s:v>
      </s:c>
      <s:c r="C6" s="6" t="n">
        <s:v>10463</s:v>
      </s:c>
      <s:c r="D6" s="6" t="n">
        <s:v>21853</s:v>
      </s:c>
      <s:c r="E6" s="6" t="n">
        <s:v>10986</s:v>
      </s:c>
      <s:c r="F6" s="6" t="n">
        <s:v>10429</s:v>
      </s:c>
      <s:c r="G6" s="6" t="n">
        <s:v>20893</s:v>
      </s:c>
      <s:c r="H6" s="6" t="n">
        <s:v>21713</s:v>
      </s:c>
      <s:c r="I6" s="6" t="n">
        <s:v>5024</s:v>
      </s:c>
      <s:c r="J6" s="6" t="n">
        <s:f>IF(COUNT(C6:I6)=7,SUM(C6:I6),"")</s:f>
        <s:v>101361</s:v>
      </s:c>
    </s:row>
    <s:row r="7">
      <s:c r="A7" s="5" t="n">
        <s:v>46266</s:v>
      </s:c>
      <s:c r="B7" s="2" t="n">
        <s:v>2</s:v>
      </s:c>
      <s:c r="C7" s="6" t="n">
        <s:v>10390</s:v>
      </s:c>
      <s:c r="D7" s="6" t="n">
        <s:v>21710</s:v>
      </s:c>
      <s:c r="E7" s="6" t="n">
        <s:v>10965</s:v>
      </s:c>
      <s:c r="F7" s="6" t="n">
        <s:v>10641</s:v>
      </s:c>
      <s:c r="G7" s="6" t="n">
        <s:v>20639</s:v>
      </s:c>
      <s:c r="H7" s="6" t="n">
        <s:v>22048</s:v>
      </s:c>
      <s:c r="I7" s="6" t="n">
        <s:v>5096</s:v>
      </s:c>
      <s:c r="J7" s="6" t="n">
        <s:f>IF(COUNT(C7:I7)=7,SUM(C7:I7),"")</s:f>
        <s:v>101489</s:v>
      </s:c>
    </s:row>
    <s:row r="8">
      <s:c r="A8" s="5" t="n">
        <s:v>46266</s:v>
      </s:c>
      <s:c r="B8" s="2" t="n">
        <s:v>3</s:v>
      </s:c>
      <s:c r="C8" s="6" t="n">
        <s:v>10404</s:v>
      </s:c>
      <s:c r="D8" s="6" t="n">
        <s:v>21630</s:v>
      </s:c>
      <s:c r="E8" s="6" t="n">
        <s:v>10666</s:v>
      </s:c>
      <s:c r="F8" s="6" t="n">
        <s:v>10363</s:v>
      </s:c>
      <s:c r="G8" s="6" t="n">
        <s:v>21269</s:v>
      </s:c>
      <s:c r="H8" s="6" t="n">
        <s:v>22007</s:v>
      </s:c>
      <s:c r="I8" s="6" t="n">
        <s:v>5057</s:v>
      </s:c>
      <s:c r="J8" s="6" t="n">
        <s:f>IF(COUNT(C8:I8)=7,SUM(C8:I8),"")</s:f>
        <s:v>101396</s:v>
      </s:c>
    </s:row>
    <s:row r="9">
      <s:c r="A9" s="5" t="n">
        <s:v>46266</s:v>
      </s:c>
      <s:c r="B9" s="2" t="n">
        <s:v>4</s:v>
      </s:c>
      <s:c r="C9" s="6" t="n">
        <s:v>10442</s:v>
      </s:c>
      <s:c r="D9" s="6" t="n">
        <s:v>21634</s:v>
      </s:c>
      <s:c r="E9" s="6" t="n">
        <s:v>11195</s:v>
      </s:c>
      <s:c r="F9" s="6" t="n">
        <s:v>11083</s:v>
      </s:c>
      <s:c r="G9" s="6" t="n">
        <s:v>21866</s:v>
      </s:c>
      <s:c r="H9" s="6" t="n">
        <s:v>22957</s:v>
      </s:c>
      <s:c r="I9" s="6" t="n">
        <s:v>4998</s:v>
      </s:c>
      <s:c r="J9" s="6" t="n">
        <s:f>IF(COUNT(C9:I9)=7,SUM(C9:I9),"")</s:f>
        <s:v>104175</s:v>
      </s:c>
    </s:row>
    <s:row r="10">
      <s:c r="A10" s="5" t="n">
        <s:v>46266</s:v>
      </s:c>
      <s:c r="B10" s="2" t="n">
        <s:v>5</s:v>
      </s:c>
      <s:c r="C10" s="6" t="n">
        <s:v>10394</s:v>
      </s:c>
      <s:c r="D10" s="6" t="n">
        <s:v>21690</s:v>
      </s:c>
      <s:c r="E10" s="6" t="n">
        <s:v>11246</s:v>
      </s:c>
      <s:c r="F10" s="6" t="n">
        <s:v>11379</s:v>
      </s:c>
      <s:c r="G10" s="6" t="n">
        <s:v>24349</s:v>
      </s:c>
      <s:c r="H10" s="6" t="n">
        <s:v>22870</s:v>
      </s:c>
      <s:c r="I10" s="6" t="n">
        <s:v>5051</s:v>
      </s:c>
      <s:c r="J10" s="6" t="n">
        <s:f>IF(COUNT(C10:I10)=7,SUM(C10:I10),"")</s:f>
        <s:v>106979</s:v>
      </s:c>
    </s:row>
    <s:row r="11">
      <s:c r="A11" s="5" t="n">
        <s:v>46266</s:v>
      </s:c>
      <s:c r="B11" s="2" t="n">
        <s:v>6</s:v>
      </s:c>
      <s:c r="C11" s="6" t="n">
        <s:v>10718</s:v>
      </s:c>
      <s:c r="D11" s="6" t="n">
        <s:v>23327</s:v>
      </s:c>
      <s:c r="E11" s="6" t="n">
        <s:v>12280</s:v>
      </s:c>
      <s:c r="F11" s="6" t="n">
        <s:v>11817</s:v>
      </s:c>
      <s:c r="G11" s="6" t="n">
        <s:v>26740</s:v>
      </s:c>
      <s:c r="H11" s="6" t="n">
        <s:v>22980</s:v>
      </s:c>
      <s:c r="I11" s="6" t="n">
        <s:v>5113</s:v>
      </s:c>
      <s:c r="J11" s="6" t="n">
        <s:f>IF(COUNT(C11:I11)=7,SUM(C11:I11),"")</s:f>
        <s:v>112975</s:v>
      </s:c>
    </s:row>
    <s:row r="12">
      <s:c r="A12" s="5" t="n">
        <s:v>46266</s:v>
      </s:c>
      <s:c r="B12" s="2" t="n">
        <s:v>7</s:v>
      </s:c>
      <s:c r="C12" s="6" t="n">
        <s:v>11213</s:v>
      </s:c>
      <s:c r="D12" s="6" t="n">
        <s:v>25560</s:v>
      </s:c>
      <s:c r="E12" s="6" t="n">
        <s:v>11830</s:v>
      </s:c>
      <s:c r="F12" s="6" t="n">
        <s:v>12339</s:v>
      </s:c>
      <s:c r="G12" s="6" t="n">
        <s:v>28061</s:v>
      </s:c>
      <s:c r="H12" s="6" t="n">
        <s:v>22635</s:v>
      </s:c>
      <s:c r="I12" s="6" t="n">
        <s:v>5037</s:v>
      </s:c>
      <s:c r="J12" s="6" t="n">
        <s:f>IF(COUNT(C12:I12)=7,SUM(C12:I12),"")</s:f>
        <s:v>116675</s:v>
      </s:c>
    </s:row>
    <s:row r="13">
      <s:c r="A13" s="5" t="n">
        <s:v>46266</s:v>
      </s:c>
      <s:c r="B13" s="2" t="n">
        <s:v>8</s:v>
      </s:c>
      <s:c r="C13" s="6" t="n">
        <s:v>11396</s:v>
      </s:c>
      <s:c r="D13" s="6" t="n">
        <s:v>26843</s:v>
      </s:c>
      <s:c r="E13" s="6" t="n">
        <s:v>13227</s:v>
      </s:c>
      <s:c r="F13" s="6" t="n">
        <s:v>12671</s:v>
      </s:c>
      <s:c r="G13" s="6" t="n">
        <s:v>28412</s:v>
      </s:c>
      <s:c r="H13" s="6" t="n">
        <s:v>23337</s:v>
      </s:c>
      <s:c r="I13" s="6" t="n">
        <s:v>5051</s:v>
      </s:c>
      <s:c r="J13" s="6" t="n">
        <s:f>IF(COUNT(C13:I13)=7,SUM(C13:I13),"")</s:f>
        <s:v>120937</s:v>
      </s:c>
    </s:row>
    <s:row r="14">
      <s:c r="A14" s="5" t="n">
        <s:v>46266</s:v>
      </s:c>
      <s:c r="B14" s="2" t="n">
        <s:v>9</s:v>
      </s:c>
      <s:c r="C14" s="6" t="n">
        <s:v>11517</s:v>
      </s:c>
      <s:c r="D14" s="6" t="n">
        <s:v>26779</s:v>
      </s:c>
      <s:c r="E14" s="6" t="n">
        <s:v>14138</s:v>
      </s:c>
      <s:c r="F14" s="6" t="n">
        <s:v>13133</s:v>
      </s:c>
      <s:c r="G14" s="6" t="n">
        <s:v>27553</s:v>
      </s:c>
      <s:c r="H14" s="6" t="n">
        <s:v>23480</s:v>
      </s:c>
      <s:c r="I14" s="6" t="n">
        <s:v>5019</s:v>
      </s:c>
      <s:c r="J14" s="6" t="n">
        <s:f>IF(COUNT(C14:I14)=7,SUM(C14:I14),"")</s:f>
        <s:v>121619</s:v>
      </s:c>
    </s:row>
    <s:row r="15">
      <s:c r="A15" s="5" t="n">
        <s:v>46266</s:v>
      </s:c>
      <s:c r="B15" s="2" t="n">
        <s:v>10</s:v>
      </s:c>
      <s:c r="C15" s="6" t="n">
        <s:v>11895</s:v>
      </s:c>
      <s:c r="D15" s="6" t="n">
        <s:v>27155</s:v>
      </s:c>
      <s:c r="E15" s="6" t="n">
        <s:v>13798</s:v>
      </s:c>
      <s:c r="F15" s="6" t="n">
        <s:v>13275</s:v>
      </s:c>
      <s:c r="G15" s="6" t="n">
        <s:v>27070</s:v>
      </s:c>
      <s:c r="H15" s="6" t="n">
        <s:v>23651</s:v>
      </s:c>
      <s:c r="I15" s="6" t="n">
        <s:v>5087</s:v>
      </s:c>
      <s:c r="J15" s="6" t="n">
        <s:f>IF(COUNT(C15:I15)=7,SUM(C15:I15),"")</s:f>
        <s:v>121931</s:v>
      </s:c>
    </s:row>
    <s:row r="16">
      <s:c r="A16" s="5" t="n">
        <s:v>46266</s:v>
      </s:c>
      <s:c r="B16" s="2" t="n">
        <s:v>11</s:v>
      </s:c>
      <s:c r="C16" s="6" t="n">
        <s:v>11617</s:v>
      </s:c>
      <s:c r="D16" s="6" t="n">
        <s:v>27092</s:v>
      </s:c>
      <s:c r="E16" s="6" t="n">
        <s:v>13710</s:v>
      </s:c>
      <s:c r="F16" s="6" t="n">
        <s:v>13047</s:v>
      </s:c>
      <s:c r="G16" s="6" t="n">
        <s:v>27471</s:v>
      </s:c>
      <s:c r="H16" s="6" t="n">
        <s:v>23086</s:v>
      </s:c>
      <s:c r="I16" s="6" t="n">
        <s:v>5121</s:v>
      </s:c>
      <s:c r="J16" s="6" t="n">
        <s:f>IF(COUNT(C16:I16)=7,SUM(C16:I16),"")</s:f>
        <s:v>121144</s:v>
      </s:c>
    </s:row>
    <s:row r="17">
      <s:c r="A17" s="5" t="n">
        <s:v>46266</s:v>
      </s:c>
      <s:c r="B17" s="2" t="n">
        <s:v>12</s:v>
      </s:c>
      <s:c r="C17" s="6" t="n">
        <s:v>11291</s:v>
      </s:c>
      <s:c r="D17" s="6" t="n">
        <s:v>27178</s:v>
      </s:c>
      <s:c r="E17" s="6" t="n">
        <s:v>14179</s:v>
      </s:c>
      <s:c r="F17" s="6" t="n">
        <s:v>13497</s:v>
      </s:c>
      <s:c r="G17" s="6" t="n">
        <s:v>27409</s:v>
      </s:c>
      <s:c r="H17" s="6" t="n">
        <s:v>23153</s:v>
      </s:c>
      <s:c r="I17" s="6" t="n">
        <s:v>5208</s:v>
      </s:c>
      <s:c r="J17" s="6" t="n">
        <s:f>IF(COUNT(C17:I17)=7,SUM(C17:I17),"")</s:f>
        <s:v>121915</s:v>
      </s:c>
    </s:row>
    <s:row r="18">
      <s:c r="A18" s="5" t="n">
        <s:v>46266</s:v>
      </s:c>
      <s:c r="B18" s="2" t="n">
        <s:v>13</s:v>
      </s:c>
      <s:c r="C18" s="6" t="n">
        <s:v>11516</s:v>
      </s:c>
      <s:c r="D18" s="6" t="n">
        <s:v>27020</s:v>
      </s:c>
      <s:c r="E18" s="6" t="n">
        <s:v>14203</s:v>
      </s:c>
      <s:c r="F18" s="6" t="n">
        <s:v>13398</s:v>
      </s:c>
      <s:c r="G18" s="6" t="n">
        <s:v>28449</s:v>
      </s:c>
      <s:c r="H18" s="6" t="n">
        <s:v>23382</s:v>
      </s:c>
      <s:c r="I18" s="6" t="n">
        <s:v>5250</s:v>
      </s:c>
      <s:c r="J18" s="6" t="n">
        <s:f>IF(COUNT(C18:I18)=7,SUM(C18:I18),"")</s:f>
        <s:v>123218</s:v>
      </s:c>
    </s:row>
    <s:row r="19">
      <s:c r="A19" s="5" t="n">
        <s:v>46266</s:v>
      </s:c>
      <s:c r="B19" s="2" t="n">
        <s:v>14</s:v>
      </s:c>
      <s:c r="C19" s="6" t="n">
        <s:v>11584</s:v>
      </s:c>
      <s:c r="D19" s="6" t="n">
        <s:v>27024</s:v>
      </s:c>
      <s:c r="E19" s="6" t="n">
        <s:v>14134</s:v>
      </s:c>
      <s:c r="F19" s="6" t="n">
        <s:v>13302</s:v>
      </s:c>
      <s:c r="G19" s="6" t="n">
        <s:v>28211</s:v>
      </s:c>
      <s:c r="H19" s="6" t="n">
        <s:v>23603</s:v>
      </s:c>
      <s:c r="I19" s="6" t="n">
        <s:v>5033</s:v>
      </s:c>
      <s:c r="J19" s="6" t="n">
        <s:f>IF(COUNT(C19:I19)=7,SUM(C19:I19),"")</s:f>
        <s:v>122891</s:v>
      </s:c>
    </s:row>
    <s:row r="20">
      <s:c r="A20" s="5" t="n">
        <s:v>46266</s:v>
      </s:c>
      <s:c r="B20" s="2" t="n">
        <s:v>15</s:v>
      </s:c>
      <s:c r="C20" s="6" t="n">
        <s:v>11621</s:v>
      </s:c>
      <s:c r="D20" s="6" t="n">
        <s:v>26804</s:v>
      </s:c>
      <s:c r="E20" s="6" t="n">
        <s:v>13979</s:v>
      </s:c>
      <s:c r="F20" s="6" t="n">
        <s:v>13777</s:v>
      </s:c>
      <s:c r="G20" s="6" t="n">
        <s:v>28082</s:v>
      </s:c>
      <s:c r="H20" s="6" t="n">
        <s:v>23704</s:v>
      </s:c>
      <s:c r="I20" s="6" t="n">
        <s:v>4775</s:v>
      </s:c>
      <s:c r="J20" s="6" t="n">
        <s:f>IF(COUNT(C20:I20)=7,SUM(C20:I20),"")</s:f>
        <s:v>122742</s:v>
      </s:c>
    </s:row>
    <s:row r="21">
      <s:c r="A21" s="5" t="n">
        <s:v>46266</s:v>
      </s:c>
      <s:c r="B21" s="2" t="n">
        <s:v>16</s:v>
      </s:c>
      <s:c r="C21" s="6" t="n">
        <s:v>11731</s:v>
      </s:c>
      <s:c r="D21" s="6" t="n">
        <s:v>27073</s:v>
      </s:c>
      <s:c r="E21" s="6" t="n">
        <s:v>13752</s:v>
      </s:c>
      <s:c r="F21" s="6" t="n">
        <s:v>13147</s:v>
      </s:c>
      <s:c r="G21" s="6" t="n">
        <s:v>28131</s:v>
      </s:c>
      <s:c r="H21" s="6" t="n">
        <s:v>23612</s:v>
      </s:c>
      <s:c r="I21" s="6" t="n">
        <s:v>4703</s:v>
      </s:c>
      <s:c r="J21" s="6" t="n">
        <s:f>IF(COUNT(C21:I21)=7,SUM(C21:I21),"")</s:f>
        <s:v>122149</s:v>
      </s:c>
    </s:row>
    <s:row r="22">
      <s:c r="A22" s="5" t="n">
        <s:v>46266</s:v>
      </s:c>
      <s:c r="B22" s="2" t="n">
        <s:v>17</s:v>
      </s:c>
      <s:c r="C22" s="6" t="n">
        <s:v>11873</s:v>
      </s:c>
      <s:c r="D22" s="6" t="n">
        <s:v>26600</s:v>
      </s:c>
      <s:c r="E22" s="6" t="n">
        <s:v>13567</s:v>
      </s:c>
      <s:c r="F22" s="6" t="n">
        <s:v>13077</s:v>
      </s:c>
      <s:c r="G22" s="6" t="n">
        <s:v>28127</s:v>
      </s:c>
      <s:c r="H22" s="6" t="n">
        <s:v>23531</s:v>
      </s:c>
      <s:c r="I22" s="6" t="n">
        <s:v>4472</s:v>
      </s:c>
      <s:c r="J22" s="6" t="n">
        <s:f>IF(COUNT(C22:I22)=7,SUM(C22:I22),"")</s:f>
        <s:v>121247</s:v>
      </s:c>
    </s:row>
    <s:row r="23">
      <s:c r="A23" s="5" t="n">
        <s:v>46266</s:v>
      </s:c>
      <s:c r="B23" s="2" t="n">
        <s:v>18</s:v>
      </s:c>
      <s:c r="C23" s="6" t="n">
        <s:v>11882</s:v>
      </s:c>
      <s:c r="D23" s="6" t="n">
        <s:v>26806</s:v>
      </s:c>
      <s:c r="E23" s="6" t="n">
        <s:v>13853</s:v>
      </s:c>
      <s:c r="F23" s="6" t="n">
        <s:v>13262</s:v>
      </s:c>
      <s:c r="G23" s="6" t="n">
        <s:v>28094</s:v>
      </s:c>
      <s:c r="H23" s="6" t="n">
        <s:v>23112</s:v>
      </s:c>
      <s:c r="I23" s="6" t="n">
        <s:v>4451</s:v>
      </s:c>
      <s:c r="J23" s="6" t="n">
        <s:f>IF(COUNT(C23:I23)=7,SUM(C23:I23),"")</s:f>
        <s:v>121460</s:v>
      </s:c>
    </s:row>
    <s:row r="24">
      <s:c r="A24" s="5" t="n">
        <s:v>46266</s:v>
      </s:c>
      <s:c r="B24" s="2" t="n">
        <s:v>19</s:v>
      </s:c>
      <s:c r="C24" s="6" t="n">
        <s:v>11842</s:v>
      </s:c>
      <s:c r="D24" s="6" t="n">
        <s:v>26890</s:v>
      </s:c>
      <s:c r="E24" s="6" t="n">
        <s:v>13947</s:v>
      </s:c>
      <s:c r="F24" s="6" t="n">
        <s:v>12942</s:v>
      </s:c>
      <s:c r="G24" s="6" t="n">
        <s:v>27535</s:v>
      </s:c>
      <s:c r="H24" s="6" t="n">
        <s:v>23097</s:v>
      </s:c>
      <s:c r="I24" s="6" t="n">
        <s:v>4350</s:v>
      </s:c>
      <s:c r="J24" s="6" t="n">
        <s:f>IF(COUNT(C24:I24)=7,SUM(C24:I24),"")</s:f>
        <s:v>120603</s:v>
      </s:c>
    </s:row>
    <s:row r="25">
      <s:c r="A25" s="5" t="n">
        <s:v>46266</s:v>
      </s:c>
      <s:c r="B25" s="2" t="n">
        <s:v>20</s:v>
      </s:c>
      <s:c r="C25" s="6" t="n">
        <s:v>11763</s:v>
      </s:c>
      <s:c r="D25" s="6" t="n">
        <s:v>26782</s:v>
      </s:c>
      <s:c r="E25" s="6" t="n">
        <s:v>13891</s:v>
      </s:c>
      <s:c r="F25" s="6" t="n">
        <s:v>11831</s:v>
      </s:c>
      <s:c r="G25" s="6" t="n">
        <s:v>26569</s:v>
      </s:c>
      <s:c r="H25" s="6" t="n">
        <s:v>22060</s:v>
      </s:c>
      <s:c r="I25" s="6" t="n">
        <s:v>4227</s:v>
      </s:c>
      <s:c r="J25" s="6" t="n">
        <s:f>IF(COUNT(C25:I25)=7,SUM(C25:I25),"")</s:f>
        <s:v>117123</s:v>
      </s:c>
    </s:row>
    <s:row r="26">
      <s:c r="A26" s="5" t="n">
        <s:v>46266</s:v>
      </s:c>
      <s:c r="B26" s="2" t="n">
        <s:v>21</s:v>
      </s:c>
      <s:c r="C26" s="6" t="n">
        <s:v>11607</s:v>
      </s:c>
      <s:c r="D26" s="6" t="n">
        <s:v>25124</s:v>
      </s:c>
      <s:c r="E26" s="6" t="n">
        <s:v>13238</s:v>
      </s:c>
      <s:c r="F26" s="6" t="n">
        <s:v>12227</s:v>
      </s:c>
      <s:c r="G26" s="6" t="n">
        <s:v>25641</s:v>
      </s:c>
      <s:c r="H26" s="6" t="n">
        <s:v>22202</s:v>
      </s:c>
      <s:c r="I26" s="6" t="n">
        <s:v>4290</s:v>
      </s:c>
      <s:c r="J26" s="6" t="n">
        <s:f>IF(COUNT(C26:I26)=7,SUM(C26:I26),"")</s:f>
        <s:v>114329</s:v>
      </s:c>
    </s:row>
    <s:row r="27">
      <s:c r="A27" s="5" t="n">
        <s:v>46266</s:v>
      </s:c>
      <s:c r="B27" s="2" t="n">
        <s:v>22</s:v>
      </s:c>
      <s:c r="C27" s="6" t="n">
        <s:v>11387</s:v>
      </s:c>
      <s:c r="D27" s="6" t="n">
        <s:v>24118</s:v>
      </s:c>
      <s:c r="E27" s="6" t="n">
        <s:v>12400</s:v>
      </s:c>
      <s:c r="F27" s="6" t="n">
        <s:v>11722</s:v>
      </s:c>
      <s:c r="G27" s="6" t="n">
        <s:v>23070</s:v>
      </s:c>
      <s:c r="H27" s="6" t="n">
        <s:v>22012</s:v>
      </s:c>
      <s:c r="I27" s="6" t="n">
        <s:v>4449</s:v>
      </s:c>
      <s:c r="J27" s="6" t="n">
        <s:f>IF(COUNT(C27:I27)=7,SUM(C27:I27),"")</s:f>
        <s:v>109158</s:v>
      </s:c>
    </s:row>
    <s:row r="28">
      <s:c r="A28" s="5" t="n">
        <s:v>46266</s:v>
      </s:c>
      <s:c r="B28" s="2" t="n">
        <s:v>23</s:v>
      </s:c>
      <s:c r="C28" s="6" t="n">
        <s:v>11006</s:v>
      </s:c>
      <s:c r="D28" s="6" t="n">
        <s:v>23013</s:v>
      </s:c>
      <s:c r="E28" s="6" t="n">
        <s:v>11693</s:v>
      </s:c>
      <s:c r="F28" s="6" t="n">
        <s:v>11320</s:v>
      </s:c>
      <s:c r="G28" s="6" t="n">
        <s:v>21628</s:v>
      </s:c>
      <s:c r="H28" s="6" t="n">
        <s:v>21563</s:v>
      </s:c>
      <s:c r="I28" s="6" t="n">
        <s:v>4686</s:v>
      </s:c>
      <s:c r="J28" s="6" t="n">
        <s:f>IF(COUNT(C28:I28)=7,SUM(C28:I28),"")</s:f>
        <s:v>104909</s:v>
      </s:c>
    </s:row>
    <s:row r="29">
      <s:c r="A29" s="5" t="n">
        <s:v>46267</s:v>
      </s:c>
      <s:c r="B29" s="2" t="n">
        <s:v>0</s:v>
      </s:c>
      <s:c r="C29" s="6" t="n">
        <s:v>10793</s:v>
      </s:c>
      <s:c r="D29" s="6" t="n">
        <s:v>22830</s:v>
      </s:c>
      <s:c r="E29" s="6" t="n">
        <s:v>10953</s:v>
      </s:c>
      <s:c r="F29" s="6" t="n">
        <s:v>10606</s:v>
      </s:c>
      <s:c r="G29" s="6" t="n">
        <s:v>20691</s:v>
      </s:c>
      <s:c r="H29" s="6" t="n">
        <s:v>21912</s:v>
      </s:c>
      <s:c r="I29" s="6" t="n">
        <s:v>4998</s:v>
      </s:c>
      <s:c r="J29" s="6" t="n">
        <s:f>IF(COUNT(C29:I29)=7,SUM(C29:I29),"")</s:f>
        <s:v>102783</s:v>
      </s:c>
    </s:row>
    <s:row r="30">
      <s:c r="A30" s="5" t="n">
        <s:v>46267</s:v>
      </s:c>
      <s:c r="B30" s="2" t="n">
        <s:v>1</s:v>
      </s:c>
      <s:c r="C30" s="6" t="n">
        <s:v>10574</s:v>
      </s:c>
      <s:c r="D30" s="6" t="n">
        <s:v>22413</s:v>
      </s:c>
      <s:c r="E30" s="6" t="n">
        <s:v>10901</s:v>
      </s:c>
      <s:c r="F30" s="6" t="n">
        <s:v>11213</s:v>
      </s:c>
      <s:c r="G30" s="6" t="n">
        <s:v>20047</s:v>
      </s:c>
      <s:c r="H30" s="6" t="n">
        <s:v>22288</s:v>
      </s:c>
      <s:c r="I30" s="6" t="n">
        <s:v>5155</s:v>
      </s:c>
      <s:c r="J30" s="6" t="n">
        <s:f>IF(COUNT(C30:I30)=7,SUM(C30:I30),"")</s:f>
        <s:v>102591</s:v>
      </s:c>
    </s:row>
    <s:row r="31">
      <s:c r="A31" s="5" t="n">
        <s:v>46267</s:v>
      </s:c>
      <s:c r="B31" s="2" t="n">
        <s:v>2</s:v>
      </s:c>
      <s:c r="C31" s="6" t="n">
        <s:v>10656</s:v>
      </s:c>
      <s:c r="D31" s="6" t="n">
        <s:v>22277</s:v>
      </s:c>
      <s:c r="E31" s="6" t="n">
        <s:v>10292</s:v>
      </s:c>
      <s:c r="F31" s="6" t="n">
        <s:v>11104</s:v>
      </s:c>
      <s:c r="G31" s="6" t="n">
        <s:v>20627</s:v>
      </s:c>
      <s:c r="H31" s="6" t="n">
        <s:v>22583</s:v>
      </s:c>
      <s:c r="I31" s="6" t="n">
        <s:v>5203</s:v>
      </s:c>
      <s:c r="J31" s="6" t="n">
        <s:f>IF(COUNT(C31:I31)=7,SUM(C31:I31),"")</s:f>
        <s:v>102742</s:v>
      </s:c>
    </s:row>
    <s:row r="32">
      <s:c r="A32" s="5" t="n">
        <s:v>46267</s:v>
      </s:c>
      <s:c r="B32" s="2" t="n">
        <s:v>3</s:v>
      </s:c>
      <s:c r="C32" s="6" t="n">
        <s:v>10608</s:v>
      </s:c>
      <s:c r="D32" s="6" t="n">
        <s:v>22355</s:v>
      </s:c>
      <s:c r="E32" s="6" t="n">
        <s:v>10323</s:v>
      </s:c>
      <s:c r="F32" s="6" t="n">
        <s:v>10713</s:v>
      </s:c>
      <s:c r="G32" s="6" t="n">
        <s:v>21401</s:v>
      </s:c>
      <s:c r="H32" s="6" t="n">
        <s:v>22664</s:v>
      </s:c>
      <s:c r="I32" s="6" t="n">
        <s:v>5080</s:v>
      </s:c>
      <s:c r="J32" s="6" t="n">
        <s:f>IF(COUNT(C32:I32)=7,SUM(C32:I32),"")</s:f>
        <s:v>103144</s:v>
      </s:c>
    </s:row>
    <s:row r="33">
      <s:c r="A33" s="5" t="n">
        <s:v>46267</s:v>
      </s:c>
      <s:c r="B33" s="2" t="n">
        <s:v>4</s:v>
      </s:c>
      <s:c r="C33" s="6" t="n">
        <s:v>10550</s:v>
      </s:c>
      <s:c r="D33" s="6" t="n">
        <s:v>22272</s:v>
      </s:c>
      <s:c r="E33" s="6" t="n">
        <s:v>10411</s:v>
      </s:c>
      <s:c r="F33" s="6" t="n">
        <s:v>10885</s:v>
      </s:c>
      <s:c r="G33" s="6" t="n">
        <s:v>22677</s:v>
      </s:c>
      <s:c r="H33" s="6" t="n">
        <s:v>23421</s:v>
      </s:c>
      <s:c r="I33" s="6" t="n">
        <s:v>4993</s:v>
      </s:c>
      <s:c r="J33" s="6" t="n">
        <s:f>IF(COUNT(C33:I33)=7,SUM(C33:I33),"")</s:f>
        <s:v>105209</s:v>
      </s:c>
    </s:row>
    <s:row r="34">
      <s:c r="A34" s="5" t="n">
        <s:v>46267</s:v>
      </s:c>
      <s:c r="B34" s="2" t="n">
        <s:v>5</s:v>
      </s:c>
      <s:c r="C34" s="6" t="n">
        <s:v>10591</s:v>
      </s:c>
      <s:c r="D34" s="6" t="n">
        <s:v>22374</s:v>
      </s:c>
      <s:c r="E34" s="6" t="n">
        <s:v>10463</s:v>
      </s:c>
      <s:c r="F34" s="6" t="n">
        <s:v>10463</s:v>
      </s:c>
      <s:c r="G34" s="6" t="n">
        <s:v>24948</s:v>
      </s:c>
      <s:c r="H34" s="6" t="n">
        <s:v>23459</s:v>
      </s:c>
      <s:c r="I34" s="6" t="n">
        <s:v>5184</s:v>
      </s:c>
      <s:c r="J34" s="6" t="n">
        <s:f>IF(COUNT(C34:I34)=7,SUM(C34:I34),"")</s:f>
        <s:v>107482</s:v>
      </s:c>
    </s:row>
    <s:row r="35">
      <s:c r="A35" s="5" t="n">
        <s:v>46267</s:v>
      </s:c>
      <s:c r="B35" s="2" t="n">
        <s:v>6</s:v>
      </s:c>
      <s:c r="C35" s="6" t="n">
        <s:v>10859</s:v>
      </s:c>
      <s:c r="D35" s="6" t="n">
        <s:v>23905</s:v>
      </s:c>
      <s:c r="E35" s="6" t="n">
        <s:v>12148</s:v>
      </s:c>
      <s:c r="F35" s="6" t="n">
        <s:v>11673</s:v>
      </s:c>
      <s:c r="G35" s="6" t="n">
        <s:v>26371</s:v>
      </s:c>
      <s:c r="H35" s="6" t="n">
        <s:v>24240</s:v>
      </s:c>
      <s:c r="I35" s="6" t="n">
        <s:v>5188</s:v>
      </s:c>
      <s:c r="J35" s="6" t="n">
        <s:f>IF(COUNT(C35:I35)=7,SUM(C35:I35),"")</s:f>
        <s:v>114384</s:v>
      </s:c>
    </s:row>
    <s:row r="36">
      <s:c r="A36" s="5" t="n">
        <s:v>46267</s:v>
      </s:c>
      <s:c r="B36" s="2" t="n">
        <s:v>7</s:v>
      </s:c>
      <s:c r="C36" s="6" t="n">
        <s:v>11203</s:v>
      </s:c>
      <s:c r="D36" s="6" t="n">
        <s:v>25689</s:v>
      </s:c>
      <s:c r="E36" s="6" t="n">
        <s:v>12638</s:v>
      </s:c>
      <s:c r="F36" s="6" t="n">
        <s:v>12056</s:v>
      </s:c>
      <s:c r="G36" s="6" t="n">
        <s:v>27045</s:v>
      </s:c>
      <s:c r="H36" s="6" t="n">
        <s:v>24110</s:v>
      </s:c>
      <s:c r="I36" s="6" t="n">
        <s:v>5126</s:v>
      </s:c>
      <s:c r="J36" s="6" t="n">
        <s:f>IF(COUNT(C36:I36)=7,SUM(C36:I36),"")</s:f>
        <s:v>117867</s:v>
      </s:c>
    </s:row>
    <s:row r="37">
      <s:c r="A37" s="5" t="n">
        <s:v>46267</s:v>
      </s:c>
      <s:c r="B37" s="2" t="n">
        <s:v>8</s:v>
      </s:c>
      <s:c r="C37" s="6" t="n">
        <s:v>11485</s:v>
      </s:c>
      <s:c r="D37" s="6" t="n">
        <s:v>27191</s:v>
      </s:c>
      <s:c r="E37" s="6" t="n">
        <s:v>13447</s:v>
      </s:c>
      <s:c r="F37" s="6" t="n">
        <s:v>12629</s:v>
      </s:c>
      <s:c r="G37" s="6" t="n">
        <s:v>27802</s:v>
      </s:c>
      <s:c r="H37" s="6" t="n">
        <s:v>24197</s:v>
      </s:c>
      <s:c r="I37" s="6" t="n">
        <s:v>5242</s:v>
      </s:c>
      <s:c r="J37" s="6" t="n">
        <s:f>IF(COUNT(C37:I37)=7,SUM(C37:I37),"")</s:f>
        <s:v>121993</s:v>
      </s:c>
    </s:row>
    <s:row r="38">
      <s:c r="A38" s="5" t="n">
        <s:v>46267</s:v>
      </s:c>
      <s:c r="B38" s="2" t="n">
        <s:v>9</s:v>
      </s:c>
      <s:c r="C38" s="6" t="n">
        <s:v>11604</s:v>
      </s:c>
      <s:c r="D38" s="6" t="n">
        <s:v>27793</s:v>
      </s:c>
      <s:c r="E38" s="6" t="n">
        <s:v>13918</s:v>
      </s:c>
      <s:c r="F38" s="6" t="n">
        <s:v>13372</s:v>
      </s:c>
      <s:c r="G38" s="6" t="n">
        <s:v>27802</s:v>
      </s:c>
      <s:c r="H38" s="6" t="n">
        <s:v>24326</s:v>
      </s:c>
      <s:c r="I38" s="6" t="n">
        <s:v>5004</s:v>
      </s:c>
      <s:c r="J38" s="6" t="n">
        <s:f>IF(COUNT(C38:I38)=7,SUM(C38:I38),"")</s:f>
        <s:v>123819</s:v>
      </s:c>
    </s:row>
    <s:row r="39">
      <s:c r="A39" s="5" t="n">
        <s:v>46267</s:v>
      </s:c>
      <s:c r="B39" s="2" t="n">
        <s:v>10</s:v>
      </s:c>
      <s:c r="C39" s="6" t="n">
        <s:v>11647</s:v>
      </s:c>
      <s:c r="D39" s="6" t="n">
        <s:v>27807</s:v>
      </s:c>
      <s:c r="E39" s="6" t="n">
        <s:v>14354</s:v>
      </s:c>
      <s:c r="F39" s="6" t="n">
        <s:v>13387</s:v>
      </s:c>
      <s:c r="G39" s="6" t="n">
        <s:v>27371</s:v>
      </s:c>
      <s:c r="H39" s="6" t="n">
        <s:v>24313</s:v>
      </s:c>
      <s:c r="I39" s="6" t="n">
        <s:v>5191</s:v>
      </s:c>
      <s:c r="J39" s="6" t="n">
        <s:f>IF(COUNT(C39:I39)=7,SUM(C39:I39),"")</s:f>
        <s:v>124070</s:v>
      </s:c>
    </s:row>
    <s:row r="40">
      <s:c r="A40" s="5" t="n">
        <s:v>46267</s:v>
      </s:c>
      <s:c r="B40" s="2" t="n">
        <s:v>11</s:v>
      </s:c>
      <s:c r="C40" s="6" t="n">
        <s:v>11575</s:v>
      </s:c>
      <s:c r="D40" s="6" t="n">
        <s:v>27372</s:v>
      </s:c>
      <s:c r="E40" s="6" t="n">
        <s:v>14564</s:v>
      </s:c>
      <s:c r="F40" s="6" t="n">
        <s:v>13085</s:v>
      </s:c>
      <s:c r="G40" s="6" t="n">
        <s:v>27343</s:v>
      </s:c>
      <s:c r="H40" s="6" t="n">
        <s:v>23845</s:v>
      </s:c>
      <s:c r="I40" s="6" t="n">
        <s:v>5135</s:v>
      </s:c>
      <s:c r="J40" s="6" t="n">
        <s:f>IF(COUNT(C40:I40)=7,SUM(C40:I40),"")</s:f>
        <s:v>122919</s:v>
      </s:c>
    </s:row>
    <s:row r="41">
      <s:c r="A41" s="5" t="n">
        <s:v>46267</s:v>
      </s:c>
      <s:c r="B41" s="2" t="n">
        <s:v>12</s:v>
      </s:c>
      <s:c r="C41" s="6" t="n">
        <s:v>11552</s:v>
      </s:c>
      <s:c r="D41" s="6" t="n">
        <s:v>27432</s:v>
      </s:c>
      <s:c r="E41" s="6" t="n">
        <s:v>14703</s:v>
      </s:c>
      <s:c r="F41" s="6" t="n">
        <s:v>13407</s:v>
      </s:c>
      <s:c r="G41" s="6" t="n">
        <s:v>27424</s:v>
      </s:c>
      <s:c r="H41" s="6" t="n">
        <s:v>23788</s:v>
      </s:c>
      <s:c r="I41" s="6" t="n">
        <s:v>5304</s:v>
      </s:c>
      <s:c r="J41" s="6" t="n">
        <s:f>IF(COUNT(C41:I41)=7,SUM(C41:I41),"")</s:f>
        <s:v>123610</s:v>
      </s:c>
    </s:row>
    <s:row r="42">
      <s:c r="A42" s="5" t="n">
        <s:v>46267</s:v>
      </s:c>
      <s:c r="B42" s="2" t="n">
        <s:v>13</s:v>
      </s:c>
      <s:c r="C42" s="6" t="n">
        <s:v>11557</s:v>
      </s:c>
      <s:c r="D42" s="6" t="n">
        <s:v>27184</s:v>
      </s:c>
      <s:c r="E42" s="6" t="n">
        <s:v>15160</s:v>
      </s:c>
      <s:c r="F42" s="6" t="n">
        <s:v>13613</s:v>
      </s:c>
      <s:c r="G42" s="6" t="n">
        <s:v>27652</s:v>
      </s:c>
      <s:c r="H42" s="6" t="n">
        <s:v>24170</s:v>
      </s:c>
      <s:c r="I42" s="6" t="n">
        <s:v>5328</s:v>
      </s:c>
      <s:c r="J42" s="6" t="n">
        <s:f>IF(COUNT(C42:I42)=7,SUM(C42:I42),"")</s:f>
        <s:v>124664</s:v>
      </s:c>
    </s:row>
    <s:row r="43">
      <s:c r="A43" s="5" t="n">
        <s:v>46267</s:v>
      </s:c>
      <s:c r="B43" s="2" t="n">
        <s:v>14</s:v>
      </s:c>
      <s:c r="C43" s="6" t="n">
        <s:v>11479</s:v>
      </s:c>
      <s:c r="D43" s="6" t="n">
        <s:v>27548</s:v>
      </s:c>
      <s:c r="E43" s="6" t="n">
        <s:v>15045</s:v>
      </s:c>
      <s:c r="F43" s="6" t="n">
        <s:v>13995</s:v>
      </s:c>
      <s:c r="G43" s="6" t="n">
        <s:v>26969</s:v>
      </s:c>
      <s:c r="H43" s="6" t="n">
        <s:v>24209</s:v>
      </s:c>
      <s:c r="I43" s="6" t="n">
        <s:v>5176</s:v>
      </s:c>
      <s:c r="J43" s="6" t="n">
        <s:f>IF(COUNT(C43:I43)=7,SUM(C43:I43),"")</s:f>
        <s:v>124421</s:v>
      </s:c>
    </s:row>
    <s:row r="44">
      <s:c r="A44" s="5" t="n">
        <s:v>46267</s:v>
      </s:c>
      <s:c r="B44" s="2" t="n">
        <s:v>15</s:v>
      </s:c>
      <s:c r="C44" s="6" t="n">
        <s:v>11523</s:v>
      </s:c>
      <s:c r="D44" s="6" t="n">
        <s:v>27297</s:v>
      </s:c>
      <s:c r="E44" s="6" t="n">
        <s:v>15174</s:v>
      </s:c>
      <s:c r="F44" s="6" t="n">
        <s:v>14026</s:v>
      </s:c>
      <s:c r="G44" s="6" t="n">
        <s:v>27483</s:v>
      </s:c>
      <s:c r="H44" s="6" t="n">
        <s:v>24372</s:v>
      </s:c>
      <s:c r="I44" s="6" t="n">
        <s:v>4986</s:v>
      </s:c>
      <s:c r="J44" s="6" t="n">
        <s:f>IF(COUNT(C44:I44)=7,SUM(C44:I44),"")</s:f>
        <s:v>124861</s:v>
      </s:c>
    </s:row>
    <s:row r="45">
      <s:c r="A45" s="5" t="n">
        <s:v>46267</s:v>
      </s:c>
      <s:c r="B45" s="2" t="n">
        <s:v>16</s:v>
      </s:c>
      <s:c r="C45" s="6" t="n">
        <s:v>11793</s:v>
      </s:c>
      <s:c r="D45" s="6" t="n">
        <s:v>27298</s:v>
      </s:c>
      <s:c r="E45" s="6" t="n">
        <s:v>14649</s:v>
      </s:c>
      <s:c r="F45" s="6" t="n">
        <s:v>12930</s:v>
      </s:c>
      <s:c r="G45" s="6" t="n">
        <s:v>27790</s:v>
      </s:c>
      <s:c r="H45" s="6" t="n">
        <s:v>24255</s:v>
      </s:c>
      <s:c r="I45" s="6" t="n">
        <s:v>4694</s:v>
      </s:c>
      <s:c r="J45" s="6" t="n">
        <s:f>IF(COUNT(C45:I45)=7,SUM(C45:I45),"")</s:f>
        <s:v>123409</s:v>
      </s:c>
    </s:row>
    <s:row r="46">
      <s:c r="A46" s="5" t="n">
        <s:v>46267</s:v>
      </s:c>
      <s:c r="B46" s="2" t="n">
        <s:v>17</s:v>
      </s:c>
      <s:c r="C46" s="6" t="n">
        <s:v>11766</s:v>
      </s:c>
      <s:c r="D46" s="6" t="n">
        <s:v>27170</s:v>
      </s:c>
      <s:c r="E46" s="6" t="n">
        <s:v>14353</s:v>
      </s:c>
      <s:c r="F46" s="6" t="n">
        <s:v>12938</s:v>
      </s:c>
      <s:c r="G46" s="6" t="n">
        <s:v>27782</s:v>
      </s:c>
      <s:c r="H46" s="6" t="n">
        <s:v>24030</s:v>
      </s:c>
      <s:c r="I46" s="6" t="n">
        <s:v>4341</s:v>
      </s:c>
      <s:c r="J46" s="6" t="n">
        <s:f>IF(COUNT(C46:I46)=7,SUM(C46:I46),"")</s:f>
        <s:v>122380</s:v>
      </s:c>
    </s:row>
    <s:row r="47">
      <s:c r="A47" s="5" t="n">
        <s:v>46267</s:v>
      </s:c>
      <s:c r="B47" s="2" t="n">
        <s:v>18</s:v>
      </s:c>
      <s:c r="C47" s="6" t="n">
        <s:v>11753</s:v>
      </s:c>
      <s:c r="D47" s="6" t="n">
        <s:v>27195</s:v>
      </s:c>
      <s:c r="E47" s="6" t="n">
        <s:v>14706</s:v>
      </s:c>
      <s:c r="F47" s="6" t="n">
        <s:v>13576</s:v>
      </s:c>
      <s:c r="G47" s="6" t="n">
        <s:v>27841</s:v>
      </s:c>
      <s:c r="H47" s="6" t="n">
        <s:v>23104</s:v>
      </s:c>
      <s:c r="I47" s="6" t="n">
        <s:v>4316</s:v>
      </s:c>
      <s:c r="J47" s="6" t="n">
        <s:f>IF(COUNT(C47:I47)=7,SUM(C47:I47),"")</s:f>
        <s:v>122491</s:v>
      </s:c>
    </s:row>
    <s:row r="48">
      <s:c r="A48" s="5" t="n">
        <s:v>46267</s:v>
      </s:c>
      <s:c r="B48" s="2" t="n">
        <s:v>19</s:v>
      </s:c>
      <s:c r="C48" s="6" t="n">
        <s:v>11743</s:v>
      </s:c>
      <s:c r="D48" s="6" t="n">
        <s:v>27532</s:v>
      </s:c>
      <s:c r="E48" s="6" t="n">
        <s:v>14646</s:v>
      </s:c>
      <s:c r="F48" s="6" t="n">
        <s:v>12463</s:v>
      </s:c>
      <s:c r="G48" s="6" t="n">
        <s:v>27636</s:v>
      </s:c>
      <s:c r="H48" s="6" t="n">
        <s:v>22722</s:v>
      </s:c>
      <s:c r="I48" s="6" t="n">
        <s:v>4325</s:v>
      </s:c>
      <s:c r="J48" s="6" t="n">
        <s:f>IF(COUNT(C48:I48)=7,SUM(C48:I48),"")</s:f>
        <s:v>121067</s:v>
      </s:c>
    </s:row>
    <s:row r="49">
      <s:c r="A49" s="5" t="n">
        <s:v>46267</s:v>
      </s:c>
      <s:c r="B49" s="2" t="n">
        <s:v>20</s:v>
      </s:c>
      <s:c r="C49" s="6" t="n">
        <s:v>11564</s:v>
      </s:c>
      <s:c r="D49" s="6" t="n">
        <s:v>26977</s:v>
      </s:c>
      <s:c r="E49" s="6" t="n">
        <s:v>14616</s:v>
      </s:c>
      <s:c r="F49" s="6" t="n">
        <s:v>12326</s:v>
      </s:c>
      <s:c r="G49" s="6" t="n">
        <s:v>26601</s:v>
      </s:c>
      <s:c r="H49" s="6" t="n">
        <s:v>22272</s:v>
      </s:c>
      <s:c r="I49" s="6" t="n">
        <s:v>4284</s:v>
      </s:c>
      <s:c r="J49" s="6" t="n">
        <s:f>IF(COUNT(C49:I49)=7,SUM(C49:I49),"")</s:f>
        <s:v>118640</s:v>
      </s:c>
    </s:row>
    <s:row r="50">
      <s:c r="A50" s="5" t="n">
        <s:v>46267</s:v>
      </s:c>
      <s:c r="B50" s="2" t="n">
        <s:v>21</s:v>
      </s:c>
      <s:c r="C50" s="6" t="n">
        <s:v>11441</s:v>
      </s:c>
      <s:c r="D50" s="6" t="n">
        <s:v>26571</s:v>
      </s:c>
      <s:c r="E50" s="6" t="n">
        <s:v>13513</s:v>
      </s:c>
      <s:c r="F50" s="6" t="n">
        <s:v>10721</s:v>
      </s:c>
      <s:c r="G50" s="6" t="n">
        <s:v>26285</s:v>
      </s:c>
      <s:c r="H50" s="6" t="n">
        <s:v>21361</s:v>
      </s:c>
      <s:c r="I50" s="6" t="n">
        <s:v>4297</s:v>
      </s:c>
      <s:c r="J50" s="6" t="n">
        <s:f>IF(COUNT(C50:I50)=7,SUM(C50:I50),"")</s:f>
        <s:v>114189</s:v>
      </s:c>
    </s:row>
    <s:row r="51">
      <s:c r="A51" s="5" t="n">
        <s:v>46267</s:v>
      </s:c>
      <s:c r="B51" s="2" t="n">
        <s:v>22</s:v>
      </s:c>
      <s:c r="C51" s="6" t="n">
        <s:v>11078</s:v>
      </s:c>
      <s:c r="D51" s="6" t="n">
        <s:v>24379</s:v>
      </s:c>
      <s:c r="E51" s="6" t="n">
        <s:v>12603</s:v>
      </s:c>
      <s:c r="F51" s="6" t="n">
        <s:v>10429</s:v>
      </s:c>
      <s:c r="G51" s="6" t="n">
        <s:v>24464</s:v>
      </s:c>
      <s:c r="H51" s="6" t="n">
        <s:v>21287</s:v>
      </s:c>
      <s:c r="I51" s="6" t="n">
        <s:v>4305</s:v>
      </s:c>
      <s:c r="J51" s="6" t="n">
        <s:f>IF(COUNT(C51:I51)=7,SUM(C51:I51),"")</s:f>
        <s:v>108545</s:v>
      </s:c>
    </s:row>
    <s:row r="52">
      <s:c r="A52" s="5" t="n">
        <s:v>46267</s:v>
      </s:c>
      <s:c r="B52" s="2" t="n">
        <s:v>23</s:v>
      </s:c>
      <s:c r="C52" s="6" t="n">
        <s:v>10898</s:v>
      </s:c>
      <s:c r="D52" s="6" t="n">
        <s:v>23039</s:v>
      </s:c>
      <s:c r="E52" s="6" t="n">
        <s:v>11692</s:v>
      </s:c>
      <s:c r="F52" s="6" t="n">
        <s:v>10422</s:v>
      </s:c>
      <s:c r="G52" s="6" t="n">
        <s:v>23056</s:v>
      </s:c>
      <s:c r="H52" s="6" t="n">
        <s:v>21446</s:v>
      </s:c>
      <s:c r="I52" s="6" t="n">
        <s:v>4642</s:v>
      </s:c>
      <s:c r="J52" s="6" t="n">
        <s:f>IF(COUNT(C52:I52)=7,SUM(C52:I52),"")</s:f>
        <s:v>105195</s:v>
      </s:c>
    </s:row>
    <s:row r="53">
      <s:c r="A53" s="5" t="n">
        <s:v>46268</s:v>
      </s:c>
      <s:c r="B53" s="2" t="n">
        <s:v>0</s:v>
      </s:c>
      <s:c r="C53" s="6" t="n">
        <s:v>10657</s:v>
      </s:c>
      <s:c r="D53" s="6" t="n">
        <s:v>22206</s:v>
      </s:c>
      <s:c r="E53" s="6" t="n">
        <s:v>10961</s:v>
      </s:c>
      <s:c r="F53" s="6" t="n">
        <s:v>9968</s:v>
      </s:c>
      <s:c r="G53" s="6" t="n">
        <s:v>22331</s:v>
      </s:c>
      <s:c r="H53" s="6" t="n">
        <s:v>22035</s:v>
      </s:c>
      <s:c r="I53" s="6" t="n">
        <s:v>4834</s:v>
      </s:c>
      <s:c r="J53" s="6" t="n">
        <s:f>IF(COUNT(C53:I53)=7,SUM(C53:I53),"")</s:f>
        <s:v>102992</s:v>
      </s:c>
    </s:row>
    <s:row r="54">
      <s:c r="A54" s="5" t="n">
        <s:v>46268</s:v>
      </s:c>
      <s:c r="B54" s="2" t="n">
        <s:v>1</s:v>
      </s:c>
      <s:c r="C54" s="6" t="n">
        <s:v>10386</s:v>
      </s:c>
      <s:c r="D54" s="6" t="n">
        <s:v>22000</s:v>
      </s:c>
      <s:c r="E54" s="6" t="n">
        <s:v>10932</s:v>
      </s:c>
      <s:c r="F54" s="6" t="n">
        <s:v>10501</s:v>
      </s:c>
      <s:c r="G54" s="6" t="n">
        <s:v>21712</s:v>
      </s:c>
      <s:c r="H54" s="6" t="n">
        <s:v>22463</s:v>
      </s:c>
      <s:c r="I54" s="6" t="n">
        <s:v>5024</s:v>
      </s:c>
      <s:c r="J54" s="6" t="n">
        <s:f>IF(COUNT(C54:I54)=7,SUM(C54:I54),"")</s:f>
        <s:v>103018</s:v>
      </s:c>
    </s:row>
    <s:row r="55">
      <s:c r="A55" s="5" t="n">
        <s:v>46268</s:v>
      </s:c>
      <s:c r="B55" s="2" t="n">
        <s:v>2</s:v>
      </s:c>
      <s:c r="C55" s="6" t="n">
        <s:v>10326</s:v>
      </s:c>
      <s:c r="D55" s="6" t="n">
        <s:v>21931</s:v>
      </s:c>
      <s:c r="E55" s="6" t="n">
        <s:v>10549</s:v>
      </s:c>
      <s:c r="F55" s="6" t="n">
        <s:v>10573</s:v>
      </s:c>
      <s:c r="G55" s="6" t="n">
        <s:v>21889</s:v>
      </s:c>
      <s:c r="H55" s="6" t="n">
        <s:v>22769</s:v>
      </s:c>
      <s:c r="I55" s="6" t="n">
        <s:v>5155</s:v>
      </s:c>
      <s:c r="J55" s="6" t="n">
        <s:f>IF(COUNT(C55:I55)=7,SUM(C55:I55),"")</s:f>
        <s:v>103192</s:v>
      </s:c>
    </s:row>
    <s:row r="56">
      <s:c r="A56" s="5" t="n">
        <s:v>46268</s:v>
      </s:c>
      <s:c r="B56" s="2" t="n">
        <s:v>3</s:v>
      </s:c>
      <s:c r="C56" s="6" t="n">
        <s:v>10272</s:v>
      </s:c>
      <s:c r="D56" s="6" t="n">
        <s:v>21924</s:v>
      </s:c>
      <s:c r="E56" s="6" t="n">
        <s:v>10413</s:v>
      </s:c>
      <s:c r="F56" s="6" t="n">
        <s:v>10737</s:v>
      </s:c>
      <s:c r="G56" s="6" t="n">
        <s:v>22649</s:v>
      </s:c>
      <s:c r="H56" s="6" t="n">
        <s:v>22698</s:v>
      </s:c>
      <s:c r="I56" s="6" t="n">
        <s:v>5192</s:v>
      </s:c>
      <s:c r="J56" s="6" t="n">
        <s:f>IF(COUNT(C56:I56)=7,SUM(C56:I56),"")</s:f>
        <s:v>103885</s:v>
      </s:c>
    </s:row>
    <s:row r="57">
      <s:c r="A57" s="5" t="n">
        <s:v>46268</s:v>
      </s:c>
      <s:c r="B57" s="2" t="n">
        <s:v>4</s:v>
      </s:c>
      <s:c r="C57" s="6" t="n">
        <s:v>10280</s:v>
      </s:c>
      <s:c r="D57" s="6" t="n">
        <s:v>21784</s:v>
      </s:c>
      <s:c r="E57" s="6" t="n">
        <s:v>10160</s:v>
      </s:c>
      <s:c r="F57" s="6" t="n">
        <s:v>10455</s:v>
      </s:c>
      <s:c r="G57" s="6" t="n">
        <s:v>24638</s:v>
      </s:c>
      <s:c r="H57" s="6" t="n">
        <s:v>23413</s:v>
      </s:c>
      <s:c r="I57" s="6" t="n">
        <s:v>5087</s:v>
      </s:c>
      <s:c r="J57" s="6" t="n">
        <s:f>IF(COUNT(C57:I57)=7,SUM(C57:I57),"")</s:f>
        <s:v>105817</s:v>
      </s:c>
    </s:row>
    <s:row r="58">
      <s:c r="A58" s="5" t="n">
        <s:v>46268</s:v>
      </s:c>
      <s:c r="B58" s="2" t="n">
        <s:v>5</s:v>
      </s:c>
      <s:c r="C58" s="6" t="n">
        <s:v>10331</s:v>
      </s:c>
      <s:c r="D58" s="6" t="n">
        <s:v>21842</s:v>
      </s:c>
      <s:c r="E58" s="6" t="n">
        <s:v>10650</s:v>
      </s:c>
      <s:c r="F58" s="6" t="n">
        <s:v>11015</s:v>
      </s:c>
      <s:c r="G58" s="6" t="n">
        <s:v>26521</s:v>
      </s:c>
      <s:c r="H58" s="6" t="n">
        <s:v>23713</s:v>
      </s:c>
      <s:c r="I58" s="6" t="n">
        <s:v>5137</s:v>
      </s:c>
      <s:c r="J58" s="6" t="n">
        <s:f>IF(COUNT(C58:I58)=7,SUM(C58:I58),"")</s:f>
        <s:v>109209</s:v>
      </s:c>
    </s:row>
    <s:row r="59">
      <s:c r="A59" s="5" t="n">
        <s:v>46268</s:v>
      </s:c>
      <s:c r="B59" s="2" t="n">
        <s:v>6</s:v>
      </s:c>
      <s:c r="C59" s="6" t="n">
        <s:v>10842</s:v>
      </s:c>
      <s:c r="D59" s="6" t="n">
        <s:v>23848</s:v>
      </s:c>
      <s:c r="E59" s="6" t="n">
        <s:v>11572</s:v>
      </s:c>
      <s:c r="F59" s="6" t="n">
        <s:v>11658</s:v>
      </s:c>
      <s:c r="G59" s="6" t="n">
        <s:v>27558</s:v>
      </s:c>
      <s:c r="H59" s="6" t="n">
        <s:v>24032</s:v>
      </s:c>
      <s:c r="I59" s="6" t="n">
        <s:v>5125</s:v>
      </s:c>
      <s:c r="J59" s="6" t="n">
        <s:f>IF(COUNT(C59:I59)=7,SUM(C59:I59),"")</s:f>
        <s:v>114635</s:v>
      </s:c>
    </s:row>
    <s:row r="60">
      <s:c r="A60" s="5" t="n">
        <s:v>46268</s:v>
      </s:c>
      <s:c r="B60" s="2" t="n">
        <s:v>7</s:v>
      </s:c>
      <s:c r="C60" s="6" t="n">
        <s:v>11261</s:v>
      </s:c>
      <s:c r="D60" s="6" t="n">
        <s:v>25388</s:v>
      </s:c>
      <s:c r="E60" s="6" t="n">
        <s:v>12123</s:v>
      </s:c>
      <s:c r="F60" s="6" t="n">
        <s:v>12030</s:v>
      </s:c>
      <s:c r="G60" s="6" t="n">
        <s:v>28223</s:v>
      </s:c>
      <s:c r="H60" s="6" t="n">
        <s:v>24054</s:v>
      </s:c>
      <s:c r="I60" s="6" t="n">
        <s:v>5042</s:v>
      </s:c>
      <s:c r="J60" s="6" t="n">
        <s:f>IF(COUNT(C60:I60)=7,SUM(C60:I60),"")</s:f>
        <s:v>118121</s:v>
      </s:c>
    </s:row>
    <s:row r="61">
      <s:c r="A61" s="5" t="n">
        <s:v>46268</s:v>
      </s:c>
      <s:c r="B61" s="2" t="n">
        <s:v>8</s:v>
      </s:c>
      <s:c r="C61" s="6" t="n">
        <s:v>11700</s:v>
      </s:c>
      <s:c r="D61" s="6" t="n">
        <s:v>26645</s:v>
      </s:c>
      <s:c r="E61" s="6" t="n">
        <s:v>13397</s:v>
      </s:c>
      <s:c r="F61" s="6" t="n">
        <s:v>13225</s:v>
      </s:c>
      <s:c r="G61" s="6" t="n">
        <s:v>28170</s:v>
      </s:c>
      <s:c r="H61" s="6" t="n">
        <s:v>24510</s:v>
      </s:c>
      <s:c r="I61" s="6" t="n">
        <s:v>5092</s:v>
      </s:c>
      <s:c r="J61" s="6" t="n">
        <s:f>IF(COUNT(C61:I61)=7,SUM(C61:I61),"")</s:f>
        <s:v>122739</s:v>
      </s:c>
    </s:row>
    <s:row r="62">
      <s:c r="A62" s="5" t="n">
        <s:v>46268</s:v>
      </s:c>
      <s:c r="B62" s="2" t="n">
        <s:v>9</s:v>
      </s:c>
      <s:c r="C62" s="6" t="n">
        <s:v>11899</s:v>
      </s:c>
      <s:c r="D62" s="6" t="n">
        <s:v>27332</s:v>
      </s:c>
      <s:c r="E62" s="6" t="n">
        <s:v>13590</s:v>
      </s:c>
      <s:c r="F62" s="6" t="n">
        <s:v>13181</s:v>
      </s:c>
      <s:c r="G62" s="6" t="n">
        <s:v>28254</s:v>
      </s:c>
      <s:c r="H62" s="6" t="n">
        <s:v>24500</s:v>
      </s:c>
      <s:c r="I62" s="6" t="n">
        <s:v>4932</s:v>
      </s:c>
      <s:c r="J62" s="6" t="n">
        <s:f>IF(COUNT(C62:I62)=7,SUM(C62:I62),"")</s:f>
        <s:v>123688</s:v>
      </s:c>
    </s:row>
    <s:row r="63">
      <s:c r="A63" s="5" t="n">
        <s:v>46268</s:v>
      </s:c>
      <s:c r="B63" s="2" t="n">
        <s:v>10</s:v>
      </s:c>
      <s:c r="C63" s="6" t="n">
        <s:v>11968</s:v>
      </s:c>
      <s:c r="D63" s="6" t="n">
        <s:v>27332</s:v>
      </s:c>
      <s:c r="E63" s="6" t="n">
        <s:v>14284</s:v>
      </s:c>
      <s:c r="F63" s="6" t="n">
        <s:v>13508</s:v>
      </s:c>
      <s:c r="G63" s="6" t="n">
        <s:v>28271</s:v>
      </s:c>
      <s:c r="H63" s="6" t="n">
        <s:v>24193</s:v>
      </s:c>
      <s:c r="I63" s="6" t="n">
        <s:v>4984</s:v>
      </s:c>
      <s:c r="J63" s="6" t="n">
        <s:f>IF(COUNT(C63:I63)=7,SUM(C63:I63),"")</s:f>
        <s:v>124540</s:v>
      </s:c>
    </s:row>
    <s:row r="64">
      <s:c r="A64" s="5" t="n">
        <s:v>46268</s:v>
      </s:c>
      <s:c r="B64" s="2" t="n">
        <s:v>11</s:v>
      </s:c>
      <s:c r="C64" s="6" t="n">
        <s:v>11859</s:v>
      </s:c>
      <s:c r="D64" s="6" t="n">
        <s:v>27343</s:v>
      </s:c>
      <s:c r="E64" s="6" t="n">
        <s:v>14399</s:v>
      </s:c>
      <s:c r="F64" s="6" t="n">
        <s:v>13136</s:v>
      </s:c>
      <s:c r="G64" s="6" t="n">
        <s:v>28240</s:v>
      </s:c>
      <s:c r="H64" s="6" t="n">
        <s:v>23742</s:v>
      </s:c>
      <s:c r="I64" s="6" t="n">
        <s:v>5014</s:v>
      </s:c>
      <s:c r="J64" s="6" t="n">
        <s:f>IF(COUNT(C64:I64)=7,SUM(C64:I64),"")</s:f>
        <s:v>123733</s:v>
      </s:c>
    </s:row>
    <s:row r="65">
      <s:c r="A65" s="5" t="n">
        <s:v>46268</s:v>
      </s:c>
      <s:c r="B65" s="2" t="n">
        <s:v>12</s:v>
      </s:c>
      <s:c r="C65" s="6" t="n">
        <s:v>11904</s:v>
      </s:c>
      <s:c r="D65" s="6" t="n">
        <s:v>26792</s:v>
      </s:c>
      <s:c r="E65" s="6" t="n">
        <s:v>14761</s:v>
      </s:c>
      <s:c r="F65" s="6" t="n">
        <s:v>13813</s:v>
      </s:c>
      <s:c r="G65" s="6" t="n">
        <s:v>27906</s:v>
      </s:c>
      <s:c r="H65" s="6" t="n">
        <s:v>24101</s:v>
      </s:c>
      <s:c r="I65" s="6" t="n">
        <s:v>5129</s:v>
      </s:c>
      <s:c r="J65" s="6" t="n">
        <s:f>IF(COUNT(C65:I65)=7,SUM(C65:I65),"")</s:f>
        <s:v>124406</s:v>
      </s:c>
    </s:row>
    <s:row r="66">
      <s:c r="A66" s="5" t="n">
        <s:v>46268</s:v>
      </s:c>
      <s:c r="B66" s="2" t="n">
        <s:v>13</s:v>
      </s:c>
      <s:c r="C66" s="6" t="n">
        <s:v>11923</s:v>
      </s:c>
      <s:c r="D66" s="6" t="n">
        <s:v>27420</s:v>
      </s:c>
      <s:c r="E66" s="6" t="n">
        <s:v>14988</s:v>
      </s:c>
      <s:c r="F66" s="6" t="n">
        <s:v>13496</s:v>
      </s:c>
      <s:c r="G66" s="6" t="n">
        <s:v>27922</s:v>
      </s:c>
      <s:c r="H66" s="6" t="n">
        <s:v>24244</s:v>
      </s:c>
      <s:c r="I66" s="6" t="n">
        <s:v>5101</s:v>
      </s:c>
      <s:c r="J66" s="6" t="n">
        <s:f>IF(COUNT(C66:I66)=7,SUM(C66:I66),"")</s:f>
        <s:v>125094</s:v>
      </s:c>
    </s:row>
    <s:row r="67">
      <s:c r="A67" s="5" t="n">
        <s:v>46268</s:v>
      </s:c>
      <s:c r="B67" s="2" t="n">
        <s:v>14</s:v>
      </s:c>
      <s:c r="C67" s="6" t="n">
        <s:v>11976</s:v>
      </s:c>
      <s:c r="D67" s="6" t="n">
        <s:v>27194</s:v>
      </s:c>
      <s:c r="E67" s="6" t="n">
        <s:v>15353</s:v>
      </s:c>
      <s:c r="F67" s="6" t="n">
        <s:v>13641</s:v>
      </s:c>
      <s:c r="G67" s="6" t="n">
        <s:v>27961</s:v>
      </s:c>
      <s:c r="H67" s="6" t="n">
        <s:v>24197</s:v>
      </s:c>
      <s:c r="I67" s="6" t="n">
        <s:v>4910</s:v>
      </s:c>
      <s:c r="J67" s="6" t="n">
        <s:f>IF(COUNT(C67:I67)=7,SUM(C67:I67),"")</s:f>
        <s:v>125232</s:v>
      </s:c>
    </s:row>
    <s:row r="68">
      <s:c r="A68" s="5" t="n">
        <s:v>46268</s:v>
      </s:c>
      <s:c r="B68" s="2" t="n">
        <s:v>15</s:v>
      </s:c>
      <s:c r="C68" s="6" t="n">
        <s:v>12018</s:v>
      </s:c>
      <s:c r="D68" s="6" t="n">
        <s:v>26886</s:v>
      </s:c>
      <s:c r="E68" s="6" t="n">
        <s:v>15406</s:v>
      </s:c>
      <s:c r="F68" s="6" t="n">
        <s:v>13760</s:v>
      </s:c>
      <s:c r="G68" s="6" t="n">
        <s:v>28029</s:v>
      </s:c>
      <s:c r="H68" s="6" t="n">
        <s:v>24282</s:v>
      </s:c>
      <s:c r="I68" s="6" t="n">
        <s:v>4734</s:v>
      </s:c>
      <s:c r="J68" s="6" t="n">
        <s:f>IF(COUNT(C68:I68)=7,SUM(C68:I68),"")</s:f>
        <s:v>125115</s:v>
      </s:c>
    </s:row>
    <s:row r="69">
      <s:c r="A69" s="5" t="n">
        <s:v>46268</s:v>
      </s:c>
      <s:c r="B69" s="2" t="n">
        <s:v>16</s:v>
      </s:c>
      <s:c r="C69" s="6" t="n">
        <s:v>12199</s:v>
      </s:c>
      <s:c r="D69" s="6" t="n">
        <s:v>26502</s:v>
      </s:c>
      <s:c r="E69" s="6" t="n">
        <s:v>14975</s:v>
      </s:c>
      <s:c r="F69" s="6" t="n">
        <s:v>13491</s:v>
      </s:c>
      <s:c r="G69" s="6" t="n">
        <s:v>28231</s:v>
      </s:c>
      <s:c r="H69" s="6" t="n">
        <s:v>24095</s:v>
      </s:c>
      <s:c r="I69" s="6" t="n">
        <s:v>4620</s:v>
      </s:c>
      <s:c r="J69" s="6" t="n">
        <s:f>IF(COUNT(C69:I69)=7,SUM(C69:I69),"")</s:f>
        <s:v>124113</s:v>
      </s:c>
    </s:row>
    <s:row r="70">
      <s:c r="A70" s="5" t="n">
        <s:v>46268</s:v>
      </s:c>
      <s:c r="B70" s="2" t="n">
        <s:v>17</s:v>
      </s:c>
      <s:c r="C70" s="6" t="n">
        <s:v>11941</s:v>
      </s:c>
      <s:c r="D70" s="6" t="n">
        <s:v>26464</s:v>
      </s:c>
      <s:c r="E70" s="6" t="n">
        <s:v>14773</s:v>
      </s:c>
      <s:c r="F70" s="6" t="n">
        <s:v>13375</s:v>
      </s:c>
      <s:c r="G70" s="6" t="n">
        <s:v>28275</s:v>
      </s:c>
      <s:c r="H70" s="6" t="n">
        <s:v>24074</s:v>
      </s:c>
      <s:c r="I70" s="6" t="n">
        <s:v>4403</s:v>
      </s:c>
      <s:c r="J70" s="6" t="n">
        <s:f>IF(COUNT(C70:I70)=7,SUM(C70:I70),"")</s:f>
        <s:v>123305</s:v>
      </s:c>
    </s:row>
    <s:row r="71">
      <s:c r="A71" s="5" t="n">
        <s:v>46268</s:v>
      </s:c>
      <s:c r="B71" s="2" t="n">
        <s:v>18</s:v>
      </s:c>
      <s:c r="C71" s="6" t="n">
        <s:v>12196</s:v>
      </s:c>
      <s:c r="D71" s="6" t="n">
        <s:v>26554</s:v>
      </s:c>
      <s:c r="E71" s="6" t="n">
        <s:v>14909</s:v>
      </s:c>
      <s:c r="F71" s="6" t="n">
        <s:v>13588</s:v>
      </s:c>
      <s:c r="G71" s="6" t="n">
        <s:v>28183</s:v>
      </s:c>
      <s:c r="H71" s="6" t="n">
        <s:v>23146</s:v>
      </s:c>
      <s:c r="I71" s="6" t="n">
        <s:v>4250</s:v>
      </s:c>
      <s:c r="J71" s="6" t="n">
        <s:f>IF(COUNT(C71:I71)=7,SUM(C71:I71),"")</s:f>
        <s:v>122826</s:v>
      </s:c>
    </s:row>
    <s:row r="72">
      <s:c r="A72" s="5" t="n">
        <s:v>46268</s:v>
      </s:c>
      <s:c r="B72" s="2" t="n">
        <s:v>19</s:v>
      </s:c>
      <s:c r="C72" s="6" t="n">
        <s:v>11868</s:v>
      </s:c>
      <s:c r="D72" s="6" t="n">
        <s:v>26530</s:v>
      </s:c>
      <s:c r="E72" s="6" t="n">
        <s:v>14907</s:v>
      </s:c>
      <s:c r="F72" s="6" t="n">
        <s:v>13224</s:v>
      </s:c>
      <s:c r="G72" s="6" t="n">
        <s:v>28217</s:v>
      </s:c>
      <s:c r="H72" s="6" t="n">
        <s:v>22645</s:v>
      </s:c>
      <s:c r="I72" s="6" t="n">
        <s:v>4249</s:v>
      </s:c>
      <s:c r="J72" s="6" t="n">
        <s:f>IF(COUNT(C72:I72)=7,SUM(C72:I72),"")</s:f>
        <s:v>121640</s:v>
      </s:c>
    </s:row>
    <s:row r="73">
      <s:c r="A73" s="5" t="n">
        <s:v>46268</s:v>
      </s:c>
      <s:c r="B73" s="2" t="n">
        <s:v>20</s:v>
      </s:c>
      <s:c r="C73" s="6" t="n">
        <s:v>11792</s:v>
      </s:c>
      <s:c r="D73" s="6" t="n">
        <s:v>26399</s:v>
      </s:c>
      <s:c r="E73" s="6" t="n">
        <s:v>14574</s:v>
      </s:c>
      <s:c r="F73" s="6" t="n">
        <s:v>11942</s:v>
      </s:c>
      <s:c r="G73" s="6" t="n">
        <s:v>26885</s:v>
      </s:c>
      <s:c r="H73" s="6" t="n">
        <s:v>22526</s:v>
      </s:c>
      <s:c r="I73" s="6" t="n">
        <s:v>4262</s:v>
      </s:c>
      <s:c r="J73" s="6" t="n">
        <s:f>IF(COUNT(C73:I73)=7,SUM(C73:I73),"")</s:f>
        <s:v>118380</s:v>
      </s:c>
    </s:row>
    <s:row r="74">
      <s:c r="A74" s="5" t="n">
        <s:v>46268</s:v>
      </s:c>
      <s:c r="B74" s="2" t="n">
        <s:v>21</s:v>
      </s:c>
      <s:c r="C74" s="6" t="n">
        <s:v>11792</s:v>
      </s:c>
      <s:c r="D74" s="6" t="n">
        <s:v>25148</s:v>
      </s:c>
      <s:c r="E74" s="6" t="n">
        <s:v>13821</s:v>
      </s:c>
      <s:c r="F74" s="6" t="n">
        <s:v>11916</s:v>
      </s:c>
      <s:c r="G74" s="6" t="n">
        <s:v>25797</s:v>
      </s:c>
      <s:c r="H74" s="6" t="n">
        <s:v>22304</s:v>
      </s:c>
      <s:c r="I74" s="6" t="n">
        <s:v>4214</s:v>
      </s:c>
      <s:c r="J74" s="6" t="n">
        <s:f>IF(COUNT(C74:I74)=7,SUM(C74:I74),"")</s:f>
        <s:v>114992</s:v>
      </s:c>
    </s:row>
    <s:row r="75">
      <s:c r="A75" s="5" t="n">
        <s:v>46268</s:v>
      </s:c>
      <s:c r="B75" s="2" t="n">
        <s:v>22</s:v>
      </s:c>
      <s:c r="C75" s="6" t="n">
        <s:v>11481</s:v>
      </s:c>
      <s:c r="D75" s="6" t="n">
        <s:v>24339</s:v>
      </s:c>
      <s:c r="E75" s="6" t="n">
        <s:v>12603</s:v>
      </s:c>
      <s:c r="F75" s="6" t="n">
        <s:v>10910</s:v>
      </s:c>
      <s:c r="G75" s="6" t="n">
        <s:v>23974</s:v>
      </s:c>
      <s:c r="H75" s="6" t="n">
        <s:v>22116</s:v>
      </s:c>
      <s:c r="I75" s="6" t="n">
        <s:v>4357</s:v>
      </s:c>
      <s:c r="J75" s="6" t="n">
        <s:f>IF(COUNT(C75:I75)=7,SUM(C75:I75),"")</s:f>
        <s:v>109780</s:v>
      </s:c>
    </s:row>
    <s:row r="76">
      <s:c r="A76" s="5" t="n">
        <s:v>46268</s:v>
      </s:c>
      <s:c r="B76" s="2" t="n">
        <s:v>23</s:v>
      </s:c>
      <s:c r="C76" s="6" t="n">
        <s:v>11254</s:v>
      </s:c>
      <s:c r="D76" s="6" t="n">
        <s:v>22302</s:v>
      </s:c>
      <s:c r="E76" s="6" t="n">
        <s:v>11720</s:v>
      </s:c>
      <s:c r="F76" s="6" t="n">
        <s:v>10932</s:v>
      </s:c>
      <s:c r="G76" s="6" t="n">
        <s:v>23222</s:v>
      </s:c>
      <s:c r="H76" s="6" t="n">
        <s:v>21952</s:v>
      </s:c>
      <s:c r="I76" s="6" t="n">
        <s:v>4669</s:v>
      </s:c>
      <s:c r="J76" s="6" t="n">
        <s:f>IF(COUNT(C76:I76)=7,SUM(C76:I76),"")</s:f>
        <s:v>106051</s:v>
      </s:c>
    </s:row>
    <s:row r="77">
      <s:c r="A77" s="5" t="n">
        <s:v>46269</s:v>
      </s:c>
      <s:c r="B77" s="2" t="n">
        <s:v>0</s:v>
      </s:c>
      <s:c r="C77" s="6" t="n">
        <s:v>10855</s:v>
      </s:c>
      <s:c r="D77" s="6" t="n">
        <s:v>22235</s:v>
      </s:c>
      <s:c r="E77" s="6" t="n">
        <s:v>10753</s:v>
      </s:c>
      <s:c r="F77" s="6" t="n">
        <s:v>10202</s:v>
      </s:c>
      <s:c r="G77" s="6" t="n">
        <s:v>22389</s:v>
      </s:c>
      <s:c r="H77" s="6" t="n">
        <s:v>22132</s:v>
      </s:c>
      <s:c r="I77" s="6" t="n">
        <s:v>4698</s:v>
      </s:c>
      <s:c r="J77" s="6" t="n">
        <s:f>IF(COUNT(C77:I77)=7,SUM(C77:I77),"")</s:f>
        <s:v>103264</s:v>
      </s:c>
    </s:row>
    <s:row r="78">
      <s:c r="A78" s="5" t="n">
        <s:v>46269</s:v>
      </s:c>
      <s:c r="B78" s="2" t="n">
        <s:v>1</s:v>
      </s:c>
      <s:c r="C78" s="6" t="n">
        <s:v>10560</s:v>
      </s:c>
      <s:c r="D78" s="6" t="n">
        <s:v>21911</s:v>
      </s:c>
      <s:c r="E78" s="6" t="n">
        <s:v>10978</s:v>
      </s:c>
      <s:c r="F78" s="6" t="n">
        <s:v>10400</s:v>
      </s:c>
      <s:c r="G78" s="6" t="n">
        <s:v>21803</s:v>
      </s:c>
      <s:c r="H78" s="6" t="n">
        <s:v>22524</s:v>
      </s:c>
      <s:c r="I78" s="6" t="n">
        <s:v>4862</s:v>
      </s:c>
      <s:c r="J78" s="6" t="n">
        <s:f>IF(COUNT(C78:I78)=7,SUM(C78:I78),"")</s:f>
        <s:v>103038</s:v>
      </s:c>
    </s:row>
    <s:row r="79">
      <s:c r="A79" s="5" t="n">
        <s:v>46269</s:v>
      </s:c>
      <s:c r="B79" s="2" t="n">
        <s:v>2</s:v>
      </s:c>
      <s:c r="C79" s="6" t="n">
        <s:v>10514</s:v>
      </s:c>
      <s:c r="D79" s="6" t="n">
        <s:v>21813</s:v>
      </s:c>
      <s:c r="E79" s="6" t="n">
        <s:v>10578</s:v>
      </s:c>
      <s:c r="F79" s="6" t="n">
        <s:v>10520</s:v>
      </s:c>
      <s:c r="G79" s="6" t="n">
        <s:v>21952</s:v>
      </s:c>
      <s:c r="H79" s="6" t="n">
        <s:v>22812</s:v>
      </s:c>
      <s:c r="I79" s="6" t="n">
        <s:v>4891</s:v>
      </s:c>
      <s:c r="J79" s="6" t="n">
        <s:f>IF(COUNT(C79:I79)=7,SUM(C79:I79),"")</s:f>
        <s:v>103080</s:v>
      </s:c>
    </s:row>
    <s:row r="80">
      <s:c r="A80" s="5" t="n">
        <s:v>46269</s:v>
      </s:c>
      <s:c r="B80" s="2" t="n">
        <s:v>3</s:v>
      </s:c>
      <s:c r="C80" s="6" t="n">
        <s:v>10396</s:v>
      </s:c>
      <s:c r="D80" s="6" t="n">
        <s:v>21981</s:v>
      </s:c>
      <s:c r="E80" s="6" t="n">
        <s:v>10484</s:v>
      </s:c>
      <s:c r="F80" s="6" t="n">
        <s:v>10255</s:v>
      </s:c>
      <s:c r="G80" s="6" t="n">
        <s:v>22901</s:v>
      </s:c>
      <s:c r="H80" s="6" t="n">
        <s:v>22871</s:v>
      </s:c>
      <s:c r="I80" s="6" t="n">
        <s:v>4971</s:v>
      </s:c>
      <s:c r="J80" s="6" t="n">
        <s:f>IF(COUNT(C80:I80)=7,SUM(C80:I80),"")</s:f>
        <s:v>103859</s:v>
      </s:c>
    </s:row>
    <s:row r="81">
      <s:c r="A81" s="5" t="n">
        <s:v>46269</s:v>
      </s:c>
      <s:c r="B81" s="2" t="n">
        <s:v>4</s:v>
      </s:c>
      <s:c r="C81" s="6" t="n">
        <s:v>10413</s:v>
      </s:c>
      <s:c r="D81" s="6" t="n">
        <s:v>22193</s:v>
      </s:c>
      <s:c r="E81" s="6" t="n">
        <s:v>10628</s:v>
      </s:c>
      <s:c r="F81" s="6" t="n">
        <s:v>10449</s:v>
      </s:c>
      <s:c r="G81" s="6" t="n">
        <s:v>24420</s:v>
      </s:c>
      <s:c r="H81" s="6" t="n">
        <s:v>23063</s:v>
      </s:c>
      <s:c r="I81" s="6" t="n">
        <s:v>4874</s:v>
      </s:c>
      <s:c r="J81" s="6" t="n">
        <s:f>IF(COUNT(C81:I81)=7,SUM(C81:I81),"")</s:f>
        <s:v>106040</s:v>
      </s:c>
    </s:row>
    <s:row r="82">
      <s:c r="A82" s="5" t="n">
        <s:v>46269</s:v>
      </s:c>
      <s:c r="B82" s="2" t="n">
        <s:v>5</s:v>
      </s:c>
      <s:c r="C82" s="6" t="n">
        <s:v>10623</s:v>
      </s:c>
      <s:c r="D82" s="6" t="n">
        <s:v>22696</s:v>
      </s:c>
      <s:c r="E82" s="6" t="n">
        <s:v>10664</s:v>
      </s:c>
      <s:c r="F82" s="6" t="n">
        <s:v>10345</s:v>
      </s:c>
      <s:c r="G82" s="6" t="n">
        <s:v>26374</s:v>
      </s:c>
      <s:c r="H82" s="6" t="n">
        <s:v>23079</s:v>
      </s:c>
      <s:c r="I82" s="6" t="n">
        <s:v>4867</s:v>
      </s:c>
      <s:c r="J82" s="6" t="n">
        <s:f>IF(COUNT(C82:I82)=7,SUM(C82:I82),"")</s:f>
        <s:v>108648</s:v>
      </s:c>
    </s:row>
    <s:row r="83">
      <s:c r="A83" s="5" t="n">
        <s:v>46269</s:v>
      </s:c>
      <s:c r="B83" s="2" t="n">
        <s:v>6</s:v>
      </s:c>
      <s:c r="C83" s="6" t="n">
        <s:v>11040</s:v>
      </s:c>
      <s:c r="D83" s="6" t="n">
        <s:v>24613</s:v>
      </s:c>
      <s:c r="E83" s="6" t="n">
        <s:v>11690</s:v>
      </s:c>
      <s:c r="F83" s="6" t="n">
        <s:v>10901</s:v>
      </s:c>
      <s:c r="G83" s="6" t="n">
        <s:v>28193</s:v>
      </s:c>
      <s:c r="H83" s="6" t="n">
        <s:v>23238</s:v>
      </s:c>
      <s:c r="I83" s="6" t="n">
        <s:v>4869</s:v>
      </s:c>
      <s:c r="J83" s="6" t="n">
        <s:f>IF(COUNT(C83:I83)=7,SUM(C83:I83),"")</s:f>
        <s:v>114544</s:v>
      </s:c>
    </s:row>
    <s:row r="84">
      <s:c r="A84" s="5" t="n">
        <s:v>46269</s:v>
      </s:c>
      <s:c r="B84" s="2" t="n">
        <s:v>7</s:v>
      </s:c>
      <s:c r="C84" s="6" t="n">
        <s:v>11321</s:v>
      </s:c>
      <s:c r="D84" s="6" t="n">
        <s:v>25306</s:v>
      </s:c>
      <s:c r="E84" s="6" t="n">
        <s:v>12849</s:v>
      </s:c>
      <s:c r="F84" s="6" t="n">
        <s:v>11761</s:v>
      </s:c>
      <s:c r="G84" s="6" t="n">
        <s:v>28529</s:v>
      </s:c>
      <s:c r="H84" s="6" t="n">
        <s:v>23527</s:v>
      </s:c>
      <s:c r="I84" s="6" t="n">
        <s:v>4945</s:v>
      </s:c>
      <s:c r="J84" s="6" t="n">
        <s:f>IF(COUNT(C84:I84)=7,SUM(C84:I84),"")</s:f>
        <s:v>118238</s:v>
      </s:c>
    </s:row>
    <s:row r="85">
      <s:c r="A85" s="5" t="n">
        <s:v>46269</s:v>
      </s:c>
      <s:c r="B85" s="2" t="n">
        <s:v>8</s:v>
      </s:c>
      <s:c r="C85" s="6" t="n">
        <s:v>11671</s:v>
      </s:c>
      <s:c r="D85" s="6" t="n">
        <s:v>26682</s:v>
      </s:c>
      <s:c r="E85" s="6" t="n">
        <s:v>13260</s:v>
      </s:c>
      <s:c r="F85" s="6" t="n">
        <s:v>13308</s:v>
      </s:c>
      <s:c r="G85" s="6" t="n">
        <s:v>28846</s:v>
      </s:c>
      <s:c r="H85" s="6" t="n">
        <s:v>23908</s:v>
      </s:c>
      <s:c r="I85" s="6" t="n">
        <s:v>4823</s:v>
      </s:c>
      <s:c r="J85" s="6" t="n">
        <s:f>IF(COUNT(C85:I85)=7,SUM(C85:I85),"")</s:f>
        <s:v>122498</s:v>
      </s:c>
    </s:row>
    <s:row r="86">
      <s:c r="A86" s="5" t="n">
        <s:v>46269</s:v>
      </s:c>
      <s:c r="B86" s="2" t="n">
        <s:v>9</s:v>
      </s:c>
      <s:c r="C86" s="6" t="n">
        <s:v>11781</s:v>
      </s:c>
      <s:c r="D86" s="6" t="n">
        <s:v>27163</s:v>
      </s:c>
      <s:c r="E86" s="6" t="n">
        <s:v>13761</s:v>
      </s:c>
      <s:c r="F86" s="6" t="n">
        <s:v>13415</s:v>
      </s:c>
      <s:c r="G86" s="6" t="n">
        <s:v>28747</s:v>
      </s:c>
      <s:c r="H86" s="6" t="n">
        <s:v>24439</s:v>
      </s:c>
      <s:c r="I86" s="6" t="n">
        <s:v>4790</s:v>
      </s:c>
      <s:c r="J86" s="6" t="n">
        <s:f>IF(COUNT(C86:I86)=7,SUM(C86:I86),"")</s:f>
        <s:v>124096</s:v>
      </s:c>
    </s:row>
    <s:row r="87">
      <s:c r="A87" s="5" t="n">
        <s:v>46269</s:v>
      </s:c>
      <s:c r="B87" s="2" t="n">
        <s:v>10</s:v>
      </s:c>
      <s:c r="C87" s="6" t="n">
        <s:v>11847</s:v>
      </s:c>
      <s:c r="D87" s="6" t="n">
        <s:v>27461</s:v>
      </s:c>
      <s:c r="E87" s="6" t="n">
        <s:v>14002</s:v>
      </s:c>
      <s:c r="F87" s="6" t="n">
        <s:v>13306</s:v>
      </s:c>
      <s:c r="G87" s="6" t="n">
        <s:v>28307</s:v>
      </s:c>
      <s:c r="H87" s="6" t="n">
        <s:v>24715</s:v>
      </s:c>
      <s:c r="I87" s="6" t="n">
        <s:v>4870</s:v>
      </s:c>
      <s:c r="J87" s="6" t="n">
        <s:f>IF(COUNT(C87:I87)=7,SUM(C87:I87),"")</s:f>
        <s:v>124508</s:v>
      </s:c>
    </s:row>
    <s:row r="88">
      <s:c r="A88" s="5" t="n">
        <s:v>46269</s:v>
      </s:c>
      <s:c r="B88" s="2" t="n">
        <s:v>11</s:v>
      </s:c>
      <s:c r="C88" s="6" t="n">
        <s:v>11830</s:v>
      </s:c>
      <s:c r="D88" s="6" t="n">
        <s:v>26895</s:v>
      </s:c>
      <s:c r="E88" s="6" t="n">
        <s:v>14460</s:v>
      </s:c>
      <s:c r="F88" s="6" t="n">
        <s:v>13431</s:v>
      </s:c>
      <s:c r="G88" s="6" t="n">
        <s:v>28140</s:v>
      </s:c>
      <s:c r="H88" s="6" t="n">
        <s:v>23890</s:v>
      </s:c>
      <s:c r="I88" s="6" t="n">
        <s:v>4920</s:v>
      </s:c>
      <s:c r="J88" s="6" t="n">
        <s:f>IF(COUNT(C88:I88)=7,SUM(C88:I88),"")</s:f>
        <s:v>123566</s:v>
      </s:c>
    </s:row>
    <s:row r="89">
      <s:c r="A89" s="5" t="n">
        <s:v>46269</s:v>
      </s:c>
      <s:c r="B89" s="2" t="n">
        <s:v>12</s:v>
      </s:c>
      <s:c r="C89" s="6" t="n">
        <s:v>11564</s:v>
      </s:c>
      <s:c r="D89" s="6" t="n">
        <s:v>27162</s:v>
      </s:c>
      <s:c r="E89" s="6" t="n">
        <s:v>14697</s:v>
      </s:c>
      <s:c r="F89" s="6" t="n">
        <s:v>14003</s:v>
      </s:c>
      <s:c r="G89" s="6" t="n">
        <s:v>27820</s:v>
      </s:c>
      <s:c r="H89" s="6" t="n">
        <s:v>23947</s:v>
      </s:c>
      <s:c r="I89" s="6" t="n">
        <s:v>4963</s:v>
      </s:c>
      <s:c r="J89" s="6" t="n">
        <s:f>IF(COUNT(C89:I89)=7,SUM(C89:I89),"")</s:f>
        <s:v>124156</s:v>
      </s:c>
    </s:row>
    <s:row r="90">
      <s:c r="A90" s="5" t="n">
        <s:v>46269</s:v>
      </s:c>
      <s:c r="B90" s="2" t="n">
        <s:v>13</s:v>
      </s:c>
      <s:c r="C90" s="6" t="n">
        <s:v>11585</s:v>
      </s:c>
      <s:c r="D90" s="6" t="n">
        <s:v>27663</s:v>
      </s:c>
      <s:c r="E90" s="6" t="n">
        <s:v>14675</s:v>
      </s:c>
      <s:c r="F90" s="6" t="n">
        <s:v>13622</s:v>
      </s:c>
      <s:c r="G90" s="6" t="n">
        <s:v>28104</s:v>
      </s:c>
      <s:c r="H90" s="6" t="n">
        <s:v>24163</s:v>
      </s:c>
      <s:c r="I90" s="6" t="n">
        <s:v>4969</s:v>
      </s:c>
      <s:c r="J90" s="6" t="n">
        <s:f>IF(COUNT(C90:I90)=7,SUM(C90:I90),"")</s:f>
        <s:v>124781</s:v>
      </s:c>
    </s:row>
    <s:row r="91">
      <s:c r="A91" s="5" t="n">
        <s:v>46269</s:v>
      </s:c>
      <s:c r="B91" s="2" t="n">
        <s:v>14</s:v>
      </s:c>
      <s:c r="C91" s="6" t="n">
        <s:v>11571</s:v>
      </s:c>
      <s:c r="D91" s="6" t="n">
        <s:v>27576</s:v>
      </s:c>
      <s:c r="E91" s="6" t="n">
        <s:v>14667</s:v>
      </s:c>
      <s:c r="F91" s="6" t="n">
        <s:v>13333</s:v>
      </s:c>
      <s:c r="G91" s="6" t="n">
        <s:v>27909</s:v>
      </s:c>
      <s:c r="H91" s="6" t="n">
        <s:v>24308</s:v>
      </s:c>
      <s:c r="I91" s="6" t="n">
        <s:v>4916</s:v>
      </s:c>
      <s:c r="J91" s="6" t="n">
        <s:f>IF(COUNT(C91:I91)=7,SUM(C91:I91),"")</s:f>
        <s:v>124280</s:v>
      </s:c>
    </s:row>
    <s:row r="92">
      <s:c r="A92" s="5" t="n">
        <s:v>46269</s:v>
      </s:c>
      <s:c r="B92" s="2" t="n">
        <s:v>15</s:v>
      </s:c>
      <s:c r="C92" s="6" t="n">
        <s:v>11686</s:v>
      </s:c>
      <s:c r="D92" s="6" t="n">
        <s:v>26954</s:v>
      </s:c>
      <s:c r="E92" s="6" t="n">
        <s:v>15343</s:v>
      </s:c>
      <s:c r="F92" s="6" t="n">
        <s:v>13523</s:v>
      </s:c>
      <s:c r="G92" s="6" t="n">
        <s:v>28339</s:v>
      </s:c>
      <s:c r="H92" s="6" t="n">
        <s:v>24051</s:v>
      </s:c>
      <s:c r="I92" s="6" t="n">
        <s:v>4694</s:v>
      </s:c>
      <s:c r="J92" s="6" t="n">
        <s:f>IF(COUNT(C92:I92)=7,SUM(C92:I92),"")</s:f>
        <s:v>124590</s:v>
      </s:c>
    </s:row>
    <s:row r="93">
      <s:c r="A93" s="5" t="n">
        <s:v>46269</s:v>
      </s:c>
      <s:c r="B93" s="2" t="n">
        <s:v>16</s:v>
      </s:c>
      <s:c r="C93" s="6" t="n">
        <s:v>11747</s:v>
      </s:c>
      <s:c r="D93" s="6" t="n">
        <s:v>27190</s:v>
      </s:c>
      <s:c r="E93" s="6" t="n">
        <s:v>14736</s:v>
      </s:c>
      <s:c r="F93" s="6" t="n">
        <s:v>13072</s:v>
      </s:c>
      <s:c r="G93" s="6" t="n">
        <s:v>28274</s:v>
      </s:c>
      <s:c r="H93" s="6" t="n">
        <s:v>23880</s:v>
      </s:c>
      <s:c r="I93" s="6" t="n">
        <s:v>4555</s:v>
      </s:c>
      <s:c r="J93" s="6" t="n">
        <s:f>IF(COUNT(C93:I93)=7,SUM(C93:I93),"")</s:f>
        <s:v>123454</s:v>
      </s:c>
    </s:row>
    <s:row r="94">
      <s:c r="A94" s="5" t="n">
        <s:v>46269</s:v>
      </s:c>
      <s:c r="B94" s="2" t="n">
        <s:v>17</s:v>
      </s:c>
      <s:c r="C94" s="6" t="n">
        <s:v>11790</s:v>
      </s:c>
      <s:c r="D94" s="6" t="n">
        <s:v>27202</s:v>
      </s:c>
      <s:c r="E94" s="6" t="n">
        <s:v>14029</s:v>
      </s:c>
      <s:c r="F94" s="6" t="n">
        <s:v>13038</s:v>
      </s:c>
      <s:c r="G94" s="6" t="n">
        <s:v>28384</s:v>
      </s:c>
      <s:c r="H94" s="6" t="n">
        <s:v>23892</s:v>
      </s:c>
      <s:c r="I94" s="6" t="n">
        <s:v>4410</s:v>
      </s:c>
      <s:c r="J94" s="6" t="n">
        <s:f>IF(COUNT(C94:I94)=7,SUM(C94:I94),"")</s:f>
        <s:v>122745</s:v>
      </s:c>
    </s:row>
    <s:row r="95">
      <s:c r="A95" s="5" t="n">
        <s:v>46269</s:v>
      </s:c>
      <s:c r="B95" s="2" t="n">
        <s:v>18</s:v>
      </s:c>
      <s:c r="C95" s="6" t="n">
        <s:v>11826</s:v>
      </s:c>
      <s:c r="D95" s="6" t="n">
        <s:v>26588</s:v>
      </s:c>
      <s:c r="E95" s="6" t="n">
        <s:v>14672</s:v>
      </s:c>
      <s:c r="F95" s="6" t="n">
        <s:v>13201</s:v>
      </s:c>
      <s:c r="G95" s="6" t="n">
        <s:v>28374</s:v>
      </s:c>
      <s:c r="H95" s="6" t="n">
        <s:v>23582</s:v>
      </s:c>
      <s:c r="I95" s="6" t="n">
        <s:v>4339</s:v>
      </s:c>
      <s:c r="J95" s="6" t="n">
        <s:f>IF(COUNT(C95:I95)=7,SUM(C95:I95),"")</s:f>
        <s:v>122582</s:v>
      </s:c>
    </s:row>
    <s:row r="96">
      <s:c r="A96" s="5" t="n">
        <s:v>46269</s:v>
      </s:c>
      <s:c r="B96" s="2" t="n">
        <s:v>19</s:v>
      </s:c>
      <s:c r="C96" s="6" t="n">
        <s:v>11540</s:v>
      </s:c>
      <s:c r="D96" s="6" t="n">
        <s:v>26759</s:v>
      </s:c>
      <s:c r="E96" s="6" t="n">
        <s:v>14536</s:v>
      </s:c>
      <s:c r="F96" s="6" t="n">
        <s:v>13053</s:v>
      </s:c>
      <s:c r="G96" s="6" t="n">
        <s:v>28450</s:v>
      </s:c>
      <s:c r="H96" s="6" t="n">
        <s:v>23016</s:v>
      </s:c>
      <s:c r="I96" s="6" t="n">
        <s:v>4131</s:v>
      </s:c>
      <s:c r="J96" s="6" t="n">
        <s:f>IF(COUNT(C96:I96)=7,SUM(C96:I96),"")</s:f>
        <s:v>121485</s:v>
      </s:c>
    </s:row>
    <s:row r="97">
      <s:c r="A97" s="5" t="n">
        <s:v>46269</s:v>
      </s:c>
      <s:c r="B97" s="2" t="n">
        <s:v>20</s:v>
      </s:c>
      <s:c r="C97" s="6" t="n">
        <s:v>11588</s:v>
      </s:c>
      <s:c r="D97" s="6" t="n">
        <s:v>26753</s:v>
      </s:c>
      <s:c r="E97" s="6" t="n">
        <s:v>13428</s:v>
      </s:c>
      <s:c r="F97" s="6" t="n">
        <s:v>12778</s:v>
      </s:c>
      <s:c r="G97" s="6" t="n">
        <s:v>27596</s:v>
      </s:c>
      <s:c r="H97" s="6" t="n">
        <s:v>21792</s:v>
      </s:c>
      <s:c r="I97" s="6" t="n">
        <s:v>4177</s:v>
      </s:c>
      <s:c r="J97" s="6" t="n">
        <s:f>IF(COUNT(C97:I97)=7,SUM(C97:I97),"")</s:f>
        <s:v>118112</s:v>
      </s:c>
    </s:row>
    <s:row r="98">
      <s:c r="A98" s="5" t="n">
        <s:v>46269</s:v>
      </s:c>
      <s:c r="B98" s="2" t="n">
        <s:v>21</s:v>
      </s:c>
      <s:c r="C98" s="6" t="n">
        <s:v>11540</s:v>
      </s:c>
      <s:c r="D98" s="6" t="n">
        <s:v>26039</s:v>
      </s:c>
      <s:c r="E98" s="6" t="n">
        <s:v>13126</s:v>
      </s:c>
      <s:c r="F98" s="6" t="n">
        <s:v>11418</s:v>
      </s:c>
      <s:c r="G98" s="6" t="n">
        <s:v>26472</s:v>
      </s:c>
      <s:c r="H98" s="6" t="n">
        <s:v>21805</s:v>
      </s:c>
      <s:c r="I98" s="6" t="n">
        <s:v>4177</s:v>
      </s:c>
      <s:c r="J98" s="6" t="n">
        <s:f>IF(COUNT(C98:I98)=7,SUM(C98:I98),"")</s:f>
        <s:v>114577</s:v>
      </s:c>
    </s:row>
    <s:row r="99">
      <s:c r="A99" s="5" t="n">
        <s:v>46269</s:v>
      </s:c>
      <s:c r="B99" s="2" t="n">
        <s:v>22</s:v>
      </s:c>
      <s:c r="C99" s="6" t="n">
        <s:v>11266</s:v>
      </s:c>
      <s:c r="D99" s="6" t="n">
        <s:v>24016</s:v>
      </s:c>
      <s:c r="E99" s="6" t="n">
        <s:v>12408</s:v>
      </s:c>
      <s:c r="F99" s="6" t="n">
        <s:v>11441</s:v>
      </s:c>
      <s:c r="G99" s="6" t="n">
        <s:v>24790</s:v>
      </s:c>
      <s:c r="H99" s="6" t="n">
        <s:v>22089</s:v>
      </s:c>
      <s:c r="I99" s="6" t="n">
        <s:v>4175</s:v>
      </s:c>
      <s:c r="J99" s="6" t="n">
        <s:f>IF(COUNT(C99:I99)=7,SUM(C99:I99),"")</s:f>
        <s:v>110185</s:v>
      </s:c>
    </s:row>
    <s:row r="100">
      <s:c r="A100" s="5" t="n">
        <s:v>46269</s:v>
      </s:c>
      <s:c r="B100" s="2" t="n">
        <s:v>23</s:v>
      </s:c>
      <s:c r="C100" s="6" t="n">
        <s:v>11047</s:v>
      </s:c>
      <s:c r="D100" s="6" t="n">
        <s:v>22772</s:v>
      </s:c>
      <s:c r="E100" s="6" t="n">
        <s:v>11661</s:v>
      </s:c>
      <s:c r="F100" s="6" t="n">
        <s:v>10884</s:v>
      </s:c>
      <s:c r="G100" s="6" t="n">
        <s:v>24083</s:v>
      </s:c>
      <s:c r="H100" s="6" t="n">
        <s:v>21475</s:v>
      </s:c>
      <s:c r="I100" s="6" t="n">
        <s:v>4343</s:v>
      </s:c>
      <s:c r="J100" s="6" t="n">
        <s:f>IF(COUNT(C100:I100)=7,SUM(C100:I100),"")</s:f>
        <s:v>106265</s:v>
      </s:c>
    </s:row>
    <s:row r="101">
      <s:c r="A101" s="5" t="n">
        <s:v>46270</s:v>
      </s:c>
      <s:c r="B101" s="2" t="n">
        <s:v>0</s:v>
      </s:c>
      <s:c r="C101" s="6" t="n">
        <s:v>10910</s:v>
      </s:c>
      <s:c r="D101" s="6" t="n">
        <s:v>22106</s:v>
      </s:c>
      <s:c r="E101" s="6" t="n">
        <s:v>10935</s:v>
      </s:c>
      <s:c r="F101" s="6" t="n">
        <s:v>10167</s:v>
      </s:c>
      <s:c r="G101" s="6" t="n">
        <s:v>23275</s:v>
      </s:c>
      <s:c r="H101" s="6" t="n">
        <s:v>21850</s:v>
      </s:c>
      <s:c r="I101" s="6" t="n">
        <s:v>4616</s:v>
      </s:c>
      <s:c r="J101" s="6" t="n">
        <s:f>IF(COUNT(C101:I101)=7,SUM(C101:I101),"")</s:f>
        <s:v>103859</s:v>
      </s:c>
    </s:row>
    <s:row r="102">
      <s:c r="A102" s="5" t="n">
        <s:v>46270</s:v>
      </s:c>
      <s:c r="B102" s="2" t="n">
        <s:v>1</s:v>
      </s:c>
      <s:c r="C102" s="6" t="n">
        <s:v>10638</s:v>
      </s:c>
      <s:c r="D102" s="6" t="n">
        <s:v>21997</s:v>
      </s:c>
      <s:c r="E102" s="6" t="n">
        <s:v>10440</s:v>
      </s:c>
      <s:c r="F102" s="6" t="n">
        <s:v>9876</s:v>
      </s:c>
      <s:c r="G102" s="6" t="n">
        <s:v>22952</s:v>
      </s:c>
      <s:c r="H102" s="6" t="n">
        <s:v>22204</s:v>
      </s:c>
      <s:c r="I102" s="6" t="n">
        <s:v>4882</s:v>
      </s:c>
      <s:c r="J102" s="6" t="n">
        <s:f>IF(COUNT(C102:I102)=7,SUM(C102:I102),"")</s:f>
        <s:v>102989</s:v>
      </s:c>
    </s:row>
    <s:row r="103">
      <s:c r="A103" s="5" t="n">
        <s:v>46270</s:v>
      </s:c>
      <s:c r="B103" s="2" t="n">
        <s:v>2</s:v>
      </s:c>
      <s:c r="C103" s="6" t="n">
        <s:v>10510</s:v>
      </s:c>
      <s:c r="D103" s="6" t="n">
        <s:v>21935</s:v>
      </s:c>
      <s:c r="E103" s="6" t="n">
        <s:v>10279</s:v>
      </s:c>
      <s:c r="F103" s="6" t="n">
        <s:v>9609</s:v>
      </s:c>
      <s:c r="G103" s="6" t="n">
        <s:v>22795</s:v>
      </s:c>
      <s:c r="H103" s="6" t="n">
        <s:v>21912</s:v>
      </s:c>
      <s:c r="I103" s="6" t="n">
        <s:v>5106</s:v>
      </s:c>
      <s:c r="J103" s="6" t="n">
        <s:f>IF(COUNT(C103:I103)=7,SUM(C103:I103),"")</s:f>
        <s:v>102146</s:v>
      </s:c>
    </s:row>
    <s:row r="104">
      <s:c r="A104" s="5" t="n">
        <s:v>46270</s:v>
      </s:c>
      <s:c r="B104" s="2" t="n">
        <s:v>3</s:v>
      </s:c>
      <s:c r="C104" s="6" t="n">
        <s:v>10314</s:v>
      </s:c>
      <s:c r="D104" s="6" t="n">
        <s:v>21981</s:v>
      </s:c>
      <s:c r="E104" s="6" t="n">
        <s:v>10175</s:v>
      </s:c>
      <s:c r="F104" s="6" t="n">
        <s:v>9621</s:v>
      </s:c>
      <s:c r="G104" s="6" t="n">
        <s:v>22810</s:v>
      </s:c>
      <s:c r="H104" s="6" t="n">
        <s:v>22343</s:v>
      </s:c>
      <s:c r="I104" s="6" t="n">
        <s:v>5145</s:v>
      </s:c>
      <s:c r="J104" s="6" t="n">
        <s:f>IF(COUNT(C104:I104)=7,SUM(C104:I104),"")</s:f>
        <s:v>102389</s:v>
      </s:c>
    </s:row>
    <s:row r="105">
      <s:c r="A105" s="5" t="n">
        <s:v>46270</s:v>
      </s:c>
      <s:c r="B105" s="2" t="n">
        <s:v>4</s:v>
      </s:c>
      <s:c r="C105" s="6" t="n">
        <s:v>10255</s:v>
      </s:c>
      <s:c r="D105" s="6" t="n">
        <s:v>21944</s:v>
      </s:c>
      <s:c r="E105" s="6" t="n">
        <s:v>10063</s:v>
      </s:c>
      <s:c r="F105" s="6" t="n">
        <s:v>9993</s:v>
      </s:c>
      <s:c r="G105" s="6" t="n">
        <s:v>22945</s:v>
      </s:c>
      <s:c r="H105" s="6" t="n">
        <s:v>22987</s:v>
      </s:c>
      <s:c r="I105" s="6" t="n">
        <s:v>5091</s:v>
      </s:c>
      <s:c r="J105" s="6" t="n">
        <s:f>IF(COUNT(C105:I105)=7,SUM(C105:I105),"")</s:f>
        <s:v>103278</s:v>
      </s:c>
    </s:row>
    <s:row r="106">
      <s:c r="A106" s="5" t="n">
        <s:v>46270</s:v>
      </s:c>
      <s:c r="B106" s="2" t="n">
        <s:v>5</s:v>
      </s:c>
      <s:c r="C106" s="6" t="n">
        <s:v>10366</s:v>
      </s:c>
      <s:c r="D106" s="6" t="n">
        <s:v>22132</s:v>
      </s:c>
      <s:c r="E106" s="6" t="n">
        <s:v>10532</s:v>
      </s:c>
      <s:c r="F106" s="6" t="n">
        <s:v>10698</s:v>
      </s:c>
      <s:c r="G106" s="6" t="n">
        <s:v>23157</s:v>
      </s:c>
      <s:c r="H106" s="6" t="n">
        <s:v>23301</s:v>
      </s:c>
      <s:c r="I106" s="6" t="n">
        <s:v>5069</s:v>
      </s:c>
      <s:c r="J106" s="6" t="n">
        <s:f>IF(COUNT(C106:I106)=7,SUM(C106:I106),"")</s:f>
        <s:v>105255</s:v>
      </s:c>
    </s:row>
    <s:row r="107">
      <s:c r="A107" s="5" t="n">
        <s:v>46270</s:v>
      </s:c>
      <s:c r="B107" s="2" t="n">
        <s:v>6</s:v>
      </s:c>
      <s:c r="C107" s="6" t="n">
        <s:v>10535</s:v>
      </s:c>
      <s:c r="D107" s="6" t="n">
        <s:v>23121</s:v>
      </s:c>
      <s:c r="E107" s="6" t="n">
        <s:v>10727</s:v>
      </s:c>
      <s:c r="F107" s="6" t="n">
        <s:v>10799</s:v>
      </s:c>
      <s:c r="G107" s="6" t="n">
        <s:v>24782</s:v>
      </s:c>
      <s:c r="H107" s="6" t="n">
        <s:v>23744</s:v>
      </s:c>
      <s:c r="I107" s="6" t="n">
        <s:v>5141</s:v>
      </s:c>
      <s:c r="J107" s="6" t="n">
        <s:f>IF(COUNT(C107:I107)=7,SUM(C107:I107),"")</s:f>
        <s:v>108849</s:v>
      </s:c>
    </s:row>
    <s:row r="108">
      <s:c r="A108" s="5" t="n">
        <s:v>46270</s:v>
      </s:c>
      <s:c r="B108" s="2" t="n">
        <s:v>7</s:v>
      </s:c>
      <s:c r="C108" s="6" t="n">
        <s:v>10935</s:v>
      </s:c>
      <s:c r="D108" s="6" t="n">
        <s:v>24519</s:v>
      </s:c>
      <s:c r="E108" s="6" t="n">
        <s:v>11117</s:v>
      </s:c>
      <s:c r="F108" s="6" t="n">
        <s:v>11008</s:v>
      </s:c>
      <s:c r="G108" s="6" t="n">
        <s:v>26235</s:v>
      </s:c>
      <s:c r="H108" s="6" t="n">
        <s:v>23713</s:v>
      </s:c>
      <s:c r="I108" s="6" t="n">
        <s:v>5121</s:v>
      </s:c>
      <s:c r="J108" s="6" t="n">
        <s:f>IF(COUNT(C108:I108)=7,SUM(C108:I108),"")</s:f>
        <s:v>112648</s:v>
      </s:c>
    </s:row>
    <s:row r="109">
      <s:c r="A109" s="5" t="n">
        <s:v>46270</s:v>
      </s:c>
      <s:c r="B109" s="2" t="n">
        <s:v>8</s:v>
      </s:c>
      <s:c r="C109" s="6" t="n">
        <s:v>11205</s:v>
      </s:c>
      <s:c r="D109" s="6" t="n">
        <s:v>25571</s:v>
      </s:c>
      <s:c r="E109" s="6" t="n">
        <s:v>12171</s:v>
      </s:c>
      <s:c r="F109" s="6" t="n">
        <s:v>12048</s:v>
      </s:c>
      <s:c r="G109" s="6" t="n">
        <s:v>26896</s:v>
      </s:c>
      <s:c r="H109" s="6" t="n">
        <s:v>24747</s:v>
      </s:c>
      <s:c r="I109" s="6" t="n">
        <s:v>5057</s:v>
      </s:c>
      <s:c r="J109" s="6" t="n">
        <s:f>IF(COUNT(C109:I109)=7,SUM(C109:I109),"")</s:f>
        <s:v>117695</s:v>
      </s:c>
    </s:row>
    <s:row r="110">
      <s:c r="A110" s="5" t="n">
        <s:v>46270</s:v>
      </s:c>
      <s:c r="B110" s="2" t="n">
        <s:v>9</s:v>
      </s:c>
      <s:c r="C110" s="6" t="n">
        <s:v>11360</s:v>
      </s:c>
      <s:c r="D110" s="6" t="n">
        <s:v>26599</s:v>
      </s:c>
      <s:c r="E110" s="6" t="n">
        <s:v>13546</s:v>
      </s:c>
      <s:c r="F110" s="6" t="n">
        <s:v>12341</s:v>
      </s:c>
      <s:c r="G110" s="6" t="n">
        <s:v>26953</s:v>
      </s:c>
      <s:c r="H110" s="6" t="n">
        <s:v>24664</s:v>
      </s:c>
      <s:c r="I110" s="6" t="n">
        <s:v>5062</s:v>
      </s:c>
      <s:c r="J110" s="6" t="n">
        <s:f>IF(COUNT(C110:I110)=7,SUM(C110:I110),"")</s:f>
        <s:v>120525</s:v>
      </s:c>
    </s:row>
    <s:row r="111">
      <s:c r="A111" s="5" t="n">
        <s:v>46270</s:v>
      </s:c>
      <s:c r="B111" s="2" t="n">
        <s:v>10</s:v>
      </s:c>
      <s:c r="C111" s="6" t="n">
        <s:v>11376</s:v>
      </s:c>
      <s:c r="D111" s="6" t="n">
        <s:v>26824</s:v>
      </s:c>
      <s:c r="E111" s="6" t="n">
        <s:v>14001</s:v>
      </s:c>
      <s:c r="F111" s="6" t="n">
        <s:v>12933</s:v>
      </s:c>
      <s:c r="G111" s="6" t="n">
        <s:v>27019</s:v>
      </s:c>
      <s:c r="H111" s="6" t="n">
        <s:v>24820</s:v>
      </s:c>
      <s:c r="I111" s="6" t="n">
        <s:v>5135</s:v>
      </s:c>
      <s:c r="J111" s="6" t="n">
        <s:f>IF(COUNT(C111:I111)=7,SUM(C111:I111),"")</s:f>
        <s:v>122108</s:v>
      </s:c>
    </s:row>
    <s:row r="112">
      <s:c r="A112" s="5" t="n">
        <s:v>46270</s:v>
      </s:c>
      <s:c r="B112" s="2" t="n">
        <s:v>11</s:v>
      </s:c>
      <s:c r="C112" s="6" t="n">
        <s:v>11391</s:v>
      </s:c>
      <s:c r="D112" s="6" t="n">
        <s:v>27434</s:v>
      </s:c>
      <s:c r="E112" s="6" t="n">
        <s:v>14254</s:v>
      </s:c>
      <s:c r="F112" s="6" t="n">
        <s:v>12477</s:v>
      </s:c>
      <s:c r="G112" s="6" t="n">
        <s:v>26730</s:v>
      </s:c>
      <s:c r="H112" s="6" t="n">
        <s:v>24623</s:v>
      </s:c>
      <s:c r="I112" s="6" t="n">
        <s:v>5201</s:v>
      </s:c>
      <s:c r="J112" s="6" t="n">
        <s:f>IF(COUNT(C112:I112)=7,SUM(C112:I112),"")</s:f>
        <s:v>122110</s:v>
      </s:c>
    </s:row>
    <s:row r="113">
      <s:c r="A113" s="5" t="n">
        <s:v>46270</s:v>
      </s:c>
      <s:c r="B113" s="2" t="n">
        <s:v>12</s:v>
      </s:c>
      <s:c r="C113" s="6" t="n">
        <s:v>11407</s:v>
      </s:c>
      <s:c r="D113" s="6" t="n">
        <s:v>27262</s:v>
      </s:c>
      <s:c r="E113" s="6" t="n">
        <s:v>14280</s:v>
      </s:c>
      <s:c r="F113" s="6" t="n">
        <s:v>12399</s:v>
      </s:c>
      <s:c r="G113" s="6" t="n">
        <s:v>26853</s:v>
      </s:c>
      <s:c r="H113" s="6" t="n">
        <s:v>24954</s:v>
      </s:c>
      <s:c r="I113" s="6" t="n">
        <s:v>5243</s:v>
      </s:c>
      <s:c r="J113" s="6" t="n">
        <s:f>IF(COUNT(C113:I113)=7,SUM(C113:I113),"")</s:f>
        <s:v>122398</s:v>
      </s:c>
    </s:row>
    <s:row r="114">
      <s:c r="A114" s="5" t="n">
        <s:v>46270</s:v>
      </s:c>
      <s:c r="B114" s="2" t="n">
        <s:v>13</s:v>
      </s:c>
      <s:c r="C114" s="6" t="n">
        <s:v>11389</s:v>
      </s:c>
      <s:c r="D114" s="6" t="n">
        <s:v>27178</s:v>
      </s:c>
      <s:c r="E114" s="6" t="n">
        <s:v>14531</s:v>
      </s:c>
      <s:c r="F114" s="6" t="n">
        <s:v>12833</s:v>
      </s:c>
      <s:c r="G114" s="6" t="n">
        <s:v>26813</s:v>
      </s:c>
      <s:c r="H114" s="6" t="n">
        <s:v>25139</s:v>
      </s:c>
      <s:c r="I114" s="6" t="n">
        <s:v>5239</s:v>
      </s:c>
      <s:c r="J114" s="6" t="n">
        <s:f>IF(COUNT(C114:I114)=7,SUM(C114:I114),"")</s:f>
        <s:v>123122</s:v>
      </s:c>
    </s:row>
    <s:row r="115">
      <s:c r="A115" s="5" t="n">
        <s:v>46270</s:v>
      </s:c>
      <s:c r="B115" s="2" t="n">
        <s:v>14</s:v>
      </s:c>
      <s:c r="C115" s="6" t="n">
        <s:v>11658</s:v>
      </s:c>
      <s:c r="D115" s="6" t="n">
        <s:v>27019</s:v>
      </s:c>
      <s:c r="E115" s="6" t="n">
        <s:v>14504</s:v>
      </s:c>
      <s:c r="F115" s="6" t="n">
        <s:v>12468</s:v>
      </s:c>
      <s:c r="G115" s="6" t="n">
        <s:v>26785</s:v>
      </s:c>
      <s:c r="H115" s="6" t="n">
        <s:v>25313</s:v>
      </s:c>
      <s:c r="I115" s="6" t="n">
        <s:v>5132</s:v>
      </s:c>
      <s:c r="J115" s="6" t="n">
        <s:f>IF(COUNT(C115:I115)=7,SUM(C115:I115),"")</s:f>
        <s:v>122879</s:v>
      </s:c>
    </s:row>
    <s:row r="116">
      <s:c r="A116" s="5" t="n">
        <s:v>46270</s:v>
      </s:c>
      <s:c r="B116" s="2" t="n">
        <s:v>15</s:v>
      </s:c>
      <s:c r="C116" s="6" t="n">
        <s:v>11359</s:v>
      </s:c>
      <s:c r="D116" s="6" t="n">
        <s:v>27027</s:v>
      </s:c>
      <s:c r="E116" s="6" t="n">
        <s:v>14547</s:v>
      </s:c>
      <s:c r="F116" s="6" t="n">
        <s:v>12645</s:v>
      </s:c>
      <s:c r="G116" s="6" t="n">
        <s:v>26867</s:v>
      </s:c>
      <s:c r="H116" s="6" t="n">
        <s:v>25125</s:v>
      </s:c>
      <s:c r="I116" s="6" t="n">
        <s:v>4842</s:v>
      </s:c>
      <s:c r="J116" s="6" t="n">
        <s:f>IF(COUNT(C116:I116)=7,SUM(C116:I116),"")</s:f>
        <s:v>122412</s:v>
      </s:c>
    </s:row>
    <s:row r="117">
      <s:c r="A117" s="5" t="n">
        <s:v>46270</s:v>
      </s:c>
      <s:c r="B117" s="2" t="n">
        <s:v>16</s:v>
      </s:c>
      <s:c r="C117" s="6" t="n">
        <s:v>11356</s:v>
      </s:c>
      <s:c r="D117" s="6" t="n">
        <s:v>26570</s:v>
      </s:c>
      <s:c r="E117" s="6" t="n">
        <s:v>14270</s:v>
      </s:c>
      <s:c r="F117" s="6" t="n">
        <s:v>12924</s:v>
      </s:c>
      <s:c r="G117" s="6" t="n">
        <s:v>26807</s:v>
      </s:c>
      <s:c r="H117" s="6" t="n">
        <s:v>25287</s:v>
      </s:c>
      <s:c r="I117" s="6" t="n">
        <s:v>4729</s:v>
      </s:c>
      <s:c r="J117" s="6" t="n">
        <s:f>IF(COUNT(C117:I117)=7,SUM(C117:I117),"")</s:f>
        <s:v>121943</s:v>
      </s:c>
    </s:row>
    <s:row r="118">
      <s:c r="A118" s="5" t="n">
        <s:v>46270</s:v>
      </s:c>
      <s:c r="B118" s="2" t="n">
        <s:v>17</s:v>
      </s:c>
      <s:c r="C118" s="6" t="n">
        <s:v>11341</s:v>
      </s:c>
      <s:c r="D118" s="6" t="n">
        <s:v>26669</s:v>
      </s:c>
      <s:c r="E118" s="6" t="n">
        <s:v>14252</s:v>
      </s:c>
      <s:c r="F118" s="6" t="n">
        <s:v>13113</s:v>
      </s:c>
      <s:c r="G118" s="6" t="n">
        <s:v>26678</s:v>
      </s:c>
      <s:c r="H118" s="6" t="n">
        <s:v>24579</s:v>
      </s:c>
      <s:c r="I118" s="6" t="n">
        <s:v>4558</s:v>
      </s:c>
      <s:c r="J118" s="6" t="n">
        <s:f>IF(COUNT(C118:I118)=7,SUM(C118:I118),"")</s:f>
        <s:v>121190</s:v>
      </s:c>
    </s:row>
    <s:row r="119">
      <s:c r="A119" s="5" t="n">
        <s:v>46270</s:v>
      </s:c>
      <s:c r="B119" s="2" t="n">
        <s:v>18</s:v>
      </s:c>
      <s:c r="C119" s="6" t="n">
        <s:v>11362</s:v>
      </s:c>
      <s:c r="D119" s="6" t="n">
        <s:v>26706</s:v>
      </s:c>
      <s:c r="E119" s="6" t="n">
        <s:v>14361</s:v>
      </s:c>
      <s:c r="F119" s="6" t="n">
        <s:v>12893</s:v>
      </s:c>
      <s:c r="G119" s="6" t="n">
        <s:v>26939</s:v>
      </s:c>
      <s:c r="H119" s="6" t="n">
        <s:v>23953</s:v>
      </s:c>
      <s:c r="I119" s="6" t="n">
        <s:v>4357</s:v>
      </s:c>
      <s:c r="J119" s="6" t="n">
        <s:f>IF(COUNT(C119:I119)=7,SUM(C119:I119),"")</s:f>
        <s:v>120571</s:v>
      </s:c>
    </s:row>
    <s:row r="120">
      <s:c r="A120" s="5" t="n">
        <s:v>46270</s:v>
      </s:c>
      <s:c r="B120" s="2" t="n">
        <s:v>19</s:v>
      </s:c>
      <s:c r="C120" s="6" t="n">
        <s:v>11352</s:v>
      </s:c>
      <s:c r="D120" s="6" t="n">
        <s:v>27026</s:v>
      </s:c>
      <s:c r="E120" s="6" t="n">
        <s:v>14256</s:v>
      </s:c>
      <s:c r="F120" s="6" t="n">
        <s:v>12681</s:v>
      </s:c>
      <s:c r="G120" s="6" t="n">
        <s:v>26955</s:v>
      </s:c>
      <s:c r="H120" s="6" t="n">
        <s:v>23433</s:v>
      </s:c>
      <s:c r="I120" s="6" t="n">
        <s:v>4379</s:v>
      </s:c>
      <s:c r="J120" s="6" t="n">
        <s:f>IF(COUNT(C120:I120)=7,SUM(C120:I120),"")</s:f>
        <s:v>120082</s:v>
      </s:c>
    </s:row>
    <s:row r="121">
      <s:c r="A121" s="5" t="n">
        <s:v>46270</s:v>
      </s:c>
      <s:c r="B121" s="2" t="n">
        <s:v>20</s:v>
      </s:c>
      <s:c r="C121" s="6" t="n">
        <s:v>11420</s:v>
      </s:c>
      <s:c r="D121" s="6" t="n">
        <s:v>27091</s:v>
      </s:c>
      <s:c r="E121" s="6" t="n">
        <s:v>13776</s:v>
      </s:c>
      <s:c r="F121" s="6" t="n">
        <s:v>11040</s:v>
      </s:c>
      <s:c r="G121" s="6" t="n">
        <s:v>26589</s:v>
      </s:c>
      <s:c r="H121" s="6" t="n">
        <s:v>22775</s:v>
      </s:c>
      <s:c r="I121" s="6" t="n">
        <s:v>4293</s:v>
      </s:c>
      <s:c r="J121" s="6" t="n">
        <s:f>IF(COUNT(C121:I121)=7,SUM(C121:I121),"")</s:f>
        <s:v>116984</s:v>
      </s:c>
    </s:row>
    <s:row r="122">
      <s:c r="A122" s="5" t="n">
        <s:v>46270</s:v>
      </s:c>
      <s:c r="B122" s="2" t="n">
        <s:v>21</s:v>
      </s:c>
      <s:c r="C122" s="6" t="n">
        <s:v>11366</s:v>
      </s:c>
      <s:c r="D122" s="6" t="n">
        <s:v>25807</s:v>
      </s:c>
      <s:c r="E122" s="6" t="n">
        <s:v>12979</s:v>
      </s:c>
      <s:c r="F122" s="6" t="n">
        <s:v>10691</s:v>
      </s:c>
      <s:c r="G122" s="6" t="n">
        <s:v>25365</s:v>
      </s:c>
      <s:c r="H122" s="6" t="n">
        <s:v>22410</s:v>
      </s:c>
      <s:c r="I122" s="6" t="n">
        <s:v>4280</s:v>
      </s:c>
      <s:c r="J122" s="6" t="n">
        <s:f>IF(COUNT(C122:I122)=7,SUM(C122:I122),"")</s:f>
        <s:v>112898</s:v>
      </s:c>
    </s:row>
    <s:row r="123">
      <s:c r="A123" s="5" t="n">
        <s:v>46270</s:v>
      </s:c>
      <s:c r="B123" s="2" t="n">
        <s:v>22</s:v>
      </s:c>
      <s:c r="C123" s="6" t="n">
        <s:v>11189</s:v>
      </s:c>
      <s:c r="D123" s="6" t="n">
        <s:v>24708</s:v>
      </s:c>
      <s:c r="E123" s="6" t="n">
        <s:v>11561</s:v>
      </s:c>
      <s:c r="F123" s="6" t="n">
        <s:v>10891</s:v>
      </s:c>
      <s:c r="G123" s="6" t="n">
        <s:v>23575</s:v>
      </s:c>
      <s:c r="H123" s="6" t="n">
        <s:v>22410</s:v>
      </s:c>
      <s:c r="I123" s="6" t="n">
        <s:v>4336</s:v>
      </s:c>
      <s:c r="J123" s="6" t="n">
        <s:f>IF(COUNT(C123:I123)=7,SUM(C123:I123),"")</s:f>
        <s:v>108670</s:v>
      </s:c>
    </s:row>
    <s:row r="124">
      <s:c r="A124" s="5" t="n">
        <s:v>46270</s:v>
      </s:c>
      <s:c r="B124" s="2" t="n">
        <s:v>23</s:v>
      </s:c>
      <s:c r="C124" s="6" t="n">
        <s:v>10762</s:v>
      </s:c>
      <s:c r="D124" s="6" t="n">
        <s:v>23136</s:v>
      </s:c>
      <s:c r="E124" s="6" t="n">
        <s:v>11381</s:v>
      </s:c>
      <s:c r="F124" s="6" t="n">
        <s:v>11235</s:v>
      </s:c>
      <s:c r="G124" s="6" t="n">
        <s:v>22107</s:v>
      </s:c>
      <s:c r="H124" s="6" t="n">
        <s:v>22391</s:v>
      </s:c>
      <s:c r="I124" s="6" t="n">
        <s:v>4405</s:v>
      </s:c>
      <s:c r="J124" s="6" t="n">
        <s:f>IF(COUNT(C124:I124)=7,SUM(C124:I124),"")</s:f>
        <s:v>105417</s:v>
      </s:c>
    </s:row>
    <s:row r="125">
      <s:c r="A125" s="5" t="n">
        <s:v>46271</s:v>
      </s:c>
      <s:c r="B125" s="2" t="n">
        <s:v>0</s:v>
      </s:c>
      <s:c r="C125" s="6" t="n">
        <s:v>10578</s:v>
      </s:c>
      <s:c r="D125" s="6" t="n">
        <s:v>22103</s:v>
      </s:c>
      <s:c r="E125" s="6" t="n">
        <s:v>10909</s:v>
      </s:c>
      <s:c r="F125" s="6" t="n">
        <s:v>10404</s:v>
      </s:c>
      <s:c r="G125" s="6" t="n">
        <s:v>22167</s:v>
      </s:c>
      <s:c r="H125" s="6" t="n">
        <s:v>22741</s:v>
      </s:c>
      <s:c r="I125" s="6" t="n">
        <s:v>4486</s:v>
      </s:c>
      <s:c r="J125" s="6" t="n">
        <s:f>IF(COUNT(C125:I125)=7,SUM(C125:I125),"")</s:f>
        <s:v>103388</s:v>
      </s:c>
    </s:row>
    <s:row r="126">
      <s:c r="A126" s="5" t="n">
        <s:v>46271</s:v>
      </s:c>
      <s:c r="B126" s="2" t="n">
        <s:v>1</s:v>
      </s:c>
      <s:c r="C126" s="6" t="n">
        <s:v>10329</s:v>
      </s:c>
      <s:c r="D126" s="6" t="n">
        <s:v>21974</s:v>
      </s:c>
      <s:c r="E126" s="6" t="n">
        <s:v>9979</s:v>
      </s:c>
      <s:c r="F126" s="6" t="n">
        <s:v>10076</s:v>
      </s:c>
      <s:c r="G126" s="6" t="n">
        <s:v>21915</s:v>
      </s:c>
      <s:c r="H126" s="6" t="n">
        <s:v>22646</s:v>
      </s:c>
      <s:c r="I126" s="6" t="n">
        <s:v>4882</s:v>
      </s:c>
      <s:c r="J126" s="6" t="n">
        <s:f>IF(COUNT(C126:I126)=7,SUM(C126:I126),"")</s:f>
        <s:v>101801</s:v>
      </s:c>
    </s:row>
    <s:row r="127">
      <s:c r="A127" s="5" t="n">
        <s:v>46271</s:v>
      </s:c>
      <s:c r="B127" s="2" t="n">
        <s:v>2</s:v>
      </s:c>
      <s:c r="C127" s="6" t="n">
        <s:v>10309</s:v>
      </s:c>
      <s:c r="D127" s="6" t="n">
        <s:v>21766</s:v>
      </s:c>
      <s:c r="E127" s="6" t="n">
        <s:v>10159</s:v>
      </s:c>
      <s:c r="F127" s="6" t="n">
        <s:v>9880</s:v>
      </s:c>
      <s:c r="G127" s="6" t="n">
        <s:v>20802</s:v>
      </s:c>
      <s:c r="H127" s="6" t="n">
        <s:v>23205</s:v>
      </s:c>
      <s:c r="I127" s="6" t="n">
        <s:v>5070</s:v>
      </s:c>
      <s:c r="J127" s="6" t="n">
        <s:f>IF(COUNT(C127:I127)=7,SUM(C127:I127),"")</s:f>
        <s:v>101191</s:v>
      </s:c>
    </s:row>
    <s:row r="128">
      <s:c r="A128" s="5" t="n">
        <s:v>46271</s:v>
      </s:c>
      <s:c r="B128" s="2" t="n">
        <s:v>3</s:v>
      </s:c>
      <s:c r="C128" s="6" t="n">
        <s:v>10255</s:v>
      </s:c>
      <s:c r="D128" s="6" t="n">
        <s:v>21670</s:v>
      </s:c>
      <s:c r="E128" s="6" t="n">
        <s:v>10497</s:v>
      </s:c>
      <s:c r="F128" s="6" t="n">
        <s:v>10225</s:v>
      </s:c>
      <s:c r="G128" s="6" t="n">
        <s:v>20096</s:v>
      </s:c>
      <s:c r="H128" s="6" t="n">
        <s:v>23329</s:v>
      </s:c>
      <s:c r="I128" s="6" t="n">
        <s:v>5187</s:v>
      </s:c>
      <s:c r="J128" s="6" t="n">
        <s:f>IF(COUNT(C128:I128)=7,SUM(C128:I128),"")</s:f>
        <s:v>101259</s:v>
      </s:c>
    </s:row>
    <s:row r="129">
      <s:c r="A129" s="5" t="n">
        <s:v>46271</s:v>
      </s:c>
      <s:c r="B129" s="2" t="n">
        <s:v>4</s:v>
      </s:c>
      <s:c r="C129" s="6" t="n">
        <s:v>10267</s:v>
      </s:c>
      <s:c r="D129" s="6" t="n">
        <s:v>21664</s:v>
      </s:c>
      <s:c r="E129" s="6" t="n">
        <s:v>9771</s:v>
      </s:c>
      <s:c r="F129" s="6" t="n">
        <s:v>9794</s:v>
      </s:c>
      <s:c r="G129" s="6" t="n">
        <s:v>21022</s:v>
      </s:c>
      <s:c r="H129" s="6" t="n">
        <s:v>24051</s:v>
      </s:c>
      <s:c r="I129" s="6" t="n">
        <s:v>5185</s:v>
      </s:c>
      <s:c r="J129" s="6" t="n">
        <s:f>IF(COUNT(C129:I129)=7,SUM(C129:I129),"")</s:f>
        <s:v>101754</s:v>
      </s:c>
    </s:row>
    <s:row r="130">
      <s:c r="A130" s="5" t="n">
        <s:v>46271</s:v>
      </s:c>
      <s:c r="B130" s="2" t="n">
        <s:v>5</s:v>
      </s:c>
      <s:c r="C130" s="6" t="n">
        <s:v>10239</s:v>
      </s:c>
      <s:c r="D130" s="6" t="n">
        <s:v>21852</s:v>
      </s:c>
      <s:c r="E130" s="6" t="n">
        <s:v>9982</s:v>
      </s:c>
      <s:c r="F130" s="6" t="n">
        <s:v>9852</s:v>
      </s:c>
      <s:c r="G130" s="6" t="n">
        <s:v>21623</s:v>
      </s:c>
      <s:c r="H130" s="6" t="n">
        <s:v>24216</s:v>
      </s:c>
      <s:c r="I130" s="6" t="n">
        <s:v>5264</s:v>
      </s:c>
      <s:c r="J130" s="6" t="n">
        <s:f>IF(COUNT(C130:I130)=7,SUM(C130:I130),"")</s:f>
        <s:v>103028</s:v>
      </s:c>
    </s:row>
    <s:row r="131">
      <s:c r="A131" s="5" t="n">
        <s:v>46271</s:v>
      </s:c>
      <s:c r="B131" s="2" t="n">
        <s:v>6</s:v>
      </s:c>
      <s:c r="C131" s="6" t="n">
        <s:v>10293</s:v>
      </s:c>
      <s:c r="D131" s="6" t="n">
        <s:v>23175</s:v>
      </s:c>
      <s:c r="E131" s="6" t="n">
        <s:v>10628</s:v>
      </s:c>
      <s:c r="F131" s="6" t="n">
        <s:v>10678</s:v>
      </s:c>
      <s:c r="G131" s="6" t="n">
        <s:v>22463</s:v>
      </s:c>
      <s:c r="H131" s="6" t="n">
        <s:v>24325</s:v>
      </s:c>
      <s:c r="I131" s="6" t="n">
        <s:v>5108</s:v>
      </s:c>
      <s:c r="J131" s="6" t="n">
        <s:f>IF(COUNT(C131:I131)=7,SUM(C131:I131),"")</s:f>
        <s:v>106670</s:v>
      </s:c>
    </s:row>
    <s:row r="132">
      <s:c r="A132" s="5" t="n">
        <s:v>46271</s:v>
      </s:c>
      <s:c r="B132" s="2" t="n">
        <s:v>7</s:v>
      </s:c>
      <s:c r="C132" s="6" t="n">
        <s:v>10530</s:v>
      </s:c>
      <s:c r="D132" s="6" t="n">
        <s:v>23347</s:v>
      </s:c>
      <s:c r="E132" s="6" t="n">
        <s:v>11006</s:v>
      </s:c>
      <s:c r="F132" s="6" t="n">
        <s:v>11136</s:v>
      </s:c>
      <s:c r="G132" s="6" t="n">
        <s:v>24553</s:v>
      </s:c>
      <s:c r="H132" s="6" t="n">
        <s:v>24150</s:v>
      </s:c>
      <s:c r="I132" s="6" t="n">
        <s:v>5315</s:v>
      </s:c>
      <s:c r="J132" s="6" t="n">
        <s:f>IF(COUNT(C132:I132)=7,SUM(C132:I132),"")</s:f>
        <s:v>110037</s:v>
      </s:c>
    </s:row>
    <s:row r="133">
      <s:c r="A133" s="5" t="n">
        <s:v>46271</s:v>
      </s:c>
      <s:c r="B133" s="2" t="n">
        <s:v>8</s:v>
      </s:c>
      <s:c r="C133" s="6" t="n">
        <s:v>10986</s:v>
      </s:c>
      <s:c r="D133" s="6" t="n">
        <s:v>24614</s:v>
      </s:c>
      <s:c r="E133" s="6" t="n">
        <s:v>11922</s:v>
      </s:c>
      <s:c r="F133" s="6" t="n">
        <s:v>11670</s:v>
      </s:c>
      <s:c r="G133" s="6" t="n">
        <s:v>26420</s:v>
      </s:c>
      <s:c r="H133" s="6" t="n">
        <s:v>24463</s:v>
      </s:c>
      <s:c r="I133" s="6" t="n">
        <s:v>5173</s:v>
      </s:c>
      <s:c r="J133" s="6" t="n">
        <s:f>IF(COUNT(C133:I133)=7,SUM(C133:I133),"")</s:f>
        <s:v>115248</s:v>
      </s:c>
    </s:row>
    <s:row r="134">
      <s:c r="A134" s="5" t="n">
        <s:v>46271</s:v>
      </s:c>
      <s:c r="B134" s="2" t="n">
        <s:v>9</s:v>
      </s:c>
      <s:c r="C134" s="6" t="n">
        <s:v>11255</s:v>
      </s:c>
      <s:c r="D134" s="6" t="n">
        <s:v>25428</s:v>
      </s:c>
      <s:c r="E134" s="6" t="n">
        <s:v>13331</s:v>
      </s:c>
      <s:c r="F134" s="6" t="n">
        <s:v>11598</s:v>
      </s:c>
      <s:c r="G134" s="6" t="n">
        <s:v>26618</s:v>
      </s:c>
      <s:c r="H134" s="6" t="n">
        <s:v>24347</s:v>
      </s:c>
      <s:c r="I134" s="6" t="n">
        <s:v>5232</s:v>
      </s:c>
      <s:c r="J134" s="6" t="n">
        <s:f>IF(COUNT(C134:I134)=7,SUM(C134:I134),"")</s:f>
        <s:v>117809</s:v>
      </s:c>
    </s:row>
    <s:row r="135">
      <s:c r="A135" s="5" t="n">
        <s:v>46271</s:v>
      </s:c>
      <s:c r="B135" s="2" t="n">
        <s:v>10</s:v>
      </s:c>
      <s:c r="C135" s="6" t="n">
        <s:v>11336</s:v>
      </s:c>
      <s:c r="D135" s="6" t="n">
        <s:v>25304</s:v>
      </s:c>
      <s:c r="E135" s="6" t="n">
        <s:v>14073</s:v>
      </s:c>
      <s:c r="F135" s="6" t="n">
        <s:v>11586</s:v>
      </s:c>
      <s:c r="G135" s="6" t="n">
        <s:v>26823</s:v>
      </s:c>
      <s:c r="H135" s="6" t="n">
        <s:v>24686</s:v>
      </s:c>
      <s:c r="I135" s="6" t="n">
        <s:v>5123</s:v>
      </s:c>
      <s:c r="J135" s="6" t="n">
        <s:f>IF(COUNT(C135:I135)=7,SUM(C135:I135),"")</s:f>
        <s:v>118931</s:v>
      </s:c>
    </s:row>
    <s:row r="136">
      <s:c r="A136" s="5" t="n">
        <s:v>46271</s:v>
      </s:c>
      <s:c r="B136" s="2" t="n">
        <s:v>11</s:v>
      </s:c>
      <s:c r="C136" s="6" t="n">
        <s:v>11407</s:v>
      </s:c>
      <s:c r="D136" s="6" t="n">
        <s:v>25777</s:v>
      </s:c>
      <s:c r="E136" s="6" t="n">
        <s:v>14132</s:v>
      </s:c>
      <s:c r="F136" s="6" t="n">
        <s:v>11521</s:v>
      </s:c>
      <s:c r="G136" s="6" t="n">
        <s:v>26888</s:v>
      </s:c>
      <s:c r="H136" s="6" t="n">
        <s:v>24431</s:v>
      </s:c>
      <s:c r="I136" s="6" t="n">
        <s:v>5277</s:v>
      </s:c>
      <s:c r="J136" s="6" t="n">
        <s:f>IF(COUNT(C136:I136)=7,SUM(C136:I136),"")</s:f>
        <s:v>119433</s:v>
      </s:c>
    </s:row>
    <s:row r="137">
      <s:c r="A137" s="5" t="n">
        <s:v>46271</s:v>
      </s:c>
      <s:c r="B137" s="2" t="n">
        <s:v>12</s:v>
      </s:c>
      <s:c r="C137" s="6" t="n">
        <s:v>11416</s:v>
      </s:c>
      <s:c r="D137" s="6" t="n">
        <s:v>25903</s:v>
      </s:c>
      <s:c r="E137" s="6" t="n">
        <s:v>14237</s:v>
      </s:c>
      <s:c r="F137" s="6" t="n">
        <s:v>12089</s:v>
      </s:c>
      <s:c r="G137" s="6" t="n">
        <s:v>26981</s:v>
      </s:c>
      <s:c r="H137" s="6" t="n">
        <s:v>25007</s:v>
      </s:c>
      <s:c r="I137" s="6" t="n">
        <s:v>5359</s:v>
      </s:c>
      <s:c r="J137" s="6" t="n">
        <s:f>IF(COUNT(C137:I137)=7,SUM(C137:I137),"")</s:f>
        <s:v>120992</s:v>
      </s:c>
    </s:row>
    <s:row r="138">
      <s:c r="A138" s="5" t="n">
        <s:v>46271</s:v>
      </s:c>
      <s:c r="B138" s="2" t="n">
        <s:v>13</s:v>
      </s:c>
      <s:c r="C138" s="6" t="n">
        <s:v>11443</s:v>
      </s:c>
      <s:c r="D138" s="6" t="n">
        <s:v>25892</s:v>
      </s:c>
      <s:c r="E138" s="6" t="n">
        <s:v>14257</s:v>
      </s:c>
      <s:c r="F138" s="6" t="n">
        <s:v>12434</s:v>
      </s:c>
      <s:c r="G138" s="6" t="n">
        <s:v>26662</s:v>
      </s:c>
      <s:c r="H138" s="6" t="n">
        <s:v>25146</s:v>
      </s:c>
      <s:c r="I138" s="6" t="n">
        <s:v>5419</s:v>
      </s:c>
      <s:c r="J138" s="6" t="n">
        <s:f>IF(COUNT(C138:I138)=7,SUM(C138:I138),"")</s:f>
        <s:v>121253</s:v>
      </s:c>
    </s:row>
    <s:row r="139">
      <s:c r="A139" s="5" t="n">
        <s:v>46271</s:v>
      </s:c>
      <s:c r="B139" s="2" t="n">
        <s:v>14</s:v>
      </s:c>
      <s:c r="C139" s="6" t="n">
        <s:v>11527</s:v>
      </s:c>
      <s:c r="D139" s="6" t="n">
        <s:v>25906</s:v>
      </s:c>
      <s:c r="E139" s="6" t="n">
        <s:v>14349</s:v>
      </s:c>
      <s:c r="F139" s="6" t="n">
        <s:v>12458</s:v>
      </s:c>
      <s:c r="G139" s="6" t="n">
        <s:v>26734</s:v>
      </s:c>
      <s:c r="H139" s="6" t="n">
        <s:v>25725</s:v>
      </s:c>
      <s:c r="I139" s="6" t="n">
        <s:v>5313</s:v>
      </s:c>
      <s:c r="J139" s="6" t="n">
        <s:f>IF(COUNT(C139:I139)=7,SUM(C139:I139),"")</s:f>
        <s:v>122012</s:v>
      </s:c>
    </s:row>
    <s:row r="140">
      <s:c r="A140" s="5" t="n">
        <s:v>46271</s:v>
      </s:c>
      <s:c r="B140" s="2" t="n">
        <s:v>15</s:v>
      </s:c>
      <s:c r="C140" s="6" t="n">
        <s:v>11507</s:v>
      </s:c>
      <s:c r="D140" s="6" t="n">
        <s:v>26616</s:v>
      </s:c>
      <s:c r="E140" s="6" t="n">
        <s:v>14505</s:v>
      </s:c>
      <s:c r="F140" s="6" t="n">
        <s:v>12652</s:v>
      </s:c>
      <s:c r="G140" s="6" t="n">
        <s:v>26389</s:v>
      </s:c>
      <s:c r="H140" s="6" t="n">
        <s:v>25625</s:v>
      </s:c>
      <s:c r="I140" s="6" t="n">
        <s:v>4958</s:v>
      </s:c>
      <s:c r="J140" s="6" t="n">
        <s:f>IF(COUNT(C140:I140)=7,SUM(C140:I140),"")</s:f>
        <s:v>122252</s:v>
      </s:c>
    </s:row>
    <s:row r="141">
      <s:c r="A141" s="5" t="n">
        <s:v>46271</s:v>
      </s:c>
      <s:c r="B141" s="2" t="n">
        <s:v>16</s:v>
      </s:c>
      <s:c r="C141" s="6" t="n">
        <s:v>11516</s:v>
      </s:c>
      <s:c r="D141" s="6" t="n">
        <s:v>26820</s:v>
      </s:c>
      <s:c r="E141" s="6" t="n">
        <s:v>14195</s:v>
      </s:c>
      <s:c r="F141" s="6" t="n">
        <s:v>12829</s:v>
      </s:c>
      <s:c r="G141" s="6" t="n">
        <s:v>26598</s:v>
      </s:c>
      <s:c r="H141" s="6" t="n">
        <s:v>25599</s:v>
      </s:c>
      <s:c r="I141" s="6" t="n">
        <s:v>4742</s:v>
      </s:c>
      <s:c r="J141" s="6" t="n">
        <s:f>IF(COUNT(C141:I141)=7,SUM(C141:I141),"")</s:f>
        <s:v>122299</s:v>
      </s:c>
    </s:row>
    <s:row r="142">
      <s:c r="A142" s="5" t="n">
        <s:v>46271</s:v>
      </s:c>
      <s:c r="B142" s="2" t="n">
        <s:v>17</s:v>
      </s:c>
      <s:c r="C142" s="6" t="n">
        <s:v>11404</s:v>
      </s:c>
      <s:c r="D142" s="6" t="n">
        <s:v>26845</s:v>
      </s:c>
      <s:c r="E142" s="6" t="n">
        <s:v>13987</s:v>
      </s:c>
      <s:c r="F142" s="6" t="n">
        <s:v>12681</s:v>
      </s:c>
      <s:c r="G142" s="6" t="n">
        <s:v>26618</s:v>
      </s:c>
      <s:c r="H142" s="6" t="n">
        <s:v>25132</s:v>
      </s:c>
      <s:c r="I142" s="6" t="n">
        <s:v>4449</s:v>
      </s:c>
      <s:c r="J142" s="6" t="n">
        <s:f>IF(COUNT(C142:I142)=7,SUM(C142:I142),"")</s:f>
        <s:v>121116</s:v>
      </s:c>
    </s:row>
    <s:row r="143">
      <s:c r="A143" s="5" t="n">
        <s:v>46271</s:v>
      </s:c>
      <s:c r="B143" s="2" t="n">
        <s:v>18</s:v>
      </s:c>
      <s:c r="C143" s="6" t="n">
        <s:v>11367</s:v>
      </s:c>
      <s:c r="D143" s="6" t="n">
        <s:v>27103</s:v>
      </s:c>
      <s:c r="E143" s="6" t="n">
        <s:v>13806</s:v>
      </s:c>
      <s:c r="F143" s="6" t="n">
        <s:v>12626</s:v>
      </s:c>
      <s:c r="G143" s="6" t="n">
        <s:v>26958</s:v>
      </s:c>
      <s:c r="H143" s="6" t="n">
        <s:v>24192</s:v>
      </s:c>
      <s:c r="I143" s="6" t="n">
        <s:v>4449</s:v>
      </s:c>
      <s:c r="J143" s="6" t="n">
        <s:f>IF(COUNT(C143:I143)=7,SUM(C143:I143),"")</s:f>
        <s:v>120501</s:v>
      </s:c>
    </s:row>
    <s:row r="144">
      <s:c r="A144" s="5" t="n">
        <s:v>46271</s:v>
      </s:c>
      <s:c r="B144" s="2" t="n">
        <s:v>19</s:v>
      </s:c>
      <s:c r="C144" s="6" t="n">
        <s:v>11380</s:v>
      </s:c>
      <s:c r="D144" s="6" t="n">
        <s:v>27004</s:v>
      </s:c>
      <s:c r="E144" s="6" t="n">
        <s:v>14109</s:v>
      </s:c>
      <s:c r="F144" s="6" t="n">
        <s:v>12453</s:v>
      </s:c>
      <s:c r="G144" s="6" t="n">
        <s:v>26938</s:v>
      </s:c>
      <s:c r="H144" s="6" t="n">
        <s:v>23924</s:v>
      </s:c>
      <s:c r="I144" s="6" t="n">
        <s:v>4329</s:v>
      </s:c>
      <s:c r="J144" s="6" t="n">
        <s:f>IF(COUNT(C144:I144)=7,SUM(C144:I144),"")</s:f>
        <s:v>120137</s:v>
      </s:c>
    </s:row>
    <s:row r="145">
      <s:c r="A145" s="5" t="n">
        <s:v>46271</s:v>
      </s:c>
      <s:c r="B145" s="2" t="n">
        <s:v>20</s:v>
      </s:c>
      <s:c r="C145" s="6" t="n">
        <s:v>11474</s:v>
      </s:c>
      <s:c r="D145" s="6" t="n">
        <s:v>26668</s:v>
      </s:c>
      <s:c r="E145" s="6" t="n">
        <s:v>13890</s:v>
      </s:c>
      <s:c r="F145" s="6" t="n">
        <s:v>11608</s:v>
      </s:c>
      <s:c r="G145" s="6" t="n">
        <s:v>26414</s:v>
      </s:c>
      <s:c r="H145" s="6" t="n">
        <s:v>23065</s:v>
      </s:c>
      <s:c r="I145" s="6" t="n">
        <s:v>4419</s:v>
      </s:c>
      <s:c r="J145" s="6" t="n">
        <s:f>IF(COUNT(C145:I145)=7,SUM(C145:I145),"")</s:f>
        <s:v>117538</s:v>
      </s:c>
    </s:row>
    <s:row r="146">
      <s:c r="A146" s="5" t="n">
        <s:v>46271</s:v>
      </s:c>
      <s:c r="B146" s="2" t="n">
        <s:v>21</s:v>
      </s:c>
      <s:c r="C146" s="6" t="n">
        <s:v>11436</s:v>
      </s:c>
      <s:c r="D146" s="6" t="n">
        <s:v>25805</s:v>
      </s:c>
      <s:c r="E146" s="6" t="n">
        <s:v>12898</s:v>
      </s:c>
      <s:c r="F146" s="6" t="n">
        <s:v>10707</s:v>
      </s:c>
      <s:c r="G146" s="6" t="n">
        <s:v>25122</s:v>
      </s:c>
      <s:c r="H146" s="6" t="n">
        <s:v>22599</s:v>
      </s:c>
      <s:c r="I146" s="6" t="n">
        <s:v>4323</s:v>
      </s:c>
      <s:c r="J146" s="6" t="n">
        <s:f>IF(COUNT(C146:I146)=7,SUM(C146:I146),"")</s:f>
        <s:v>112890</s:v>
      </s:c>
    </s:row>
    <s:row r="147">
      <s:c r="A147" s="5" t="n">
        <s:v>46271</s:v>
      </s:c>
      <s:c r="B147" s="2" t="n">
        <s:v>22</s:v>
      </s:c>
      <s:c r="C147" s="6" t="n">
        <s:v>11257</s:v>
      </s:c>
      <s:c r="D147" s="6" t="n">
        <s:v>25058</s:v>
      </s:c>
      <s:c r="E147" s="6" t="n">
        <s:v>11257</s:v>
      </s:c>
      <s:c r="F147" s="6" t="n">
        <s:v>10465</s:v>
      </s:c>
      <s:c r="G147" s="6" t="n">
        <s:v>23735</s:v>
      </s:c>
      <s:c r="H147" s="6" t="n">
        <s:v>21952</s:v>
      </s:c>
      <s:c r="I147" s="6" t="n">
        <s:v>4399</s:v>
      </s:c>
      <s:c r="J147" s="6" t="n">
        <s:f>IF(COUNT(C147:I147)=7,SUM(C147:I147),"")</s:f>
        <s:v>108123</s:v>
      </s:c>
    </s:row>
    <s:row r="148">
      <s:c r="A148" s="5" t="n">
        <s:v>46271</s:v>
      </s:c>
      <s:c r="B148" s="2" t="n">
        <s:v>23</s:v>
      </s:c>
      <s:c r="C148" s="6" t="n">
        <s:v>10576</s:v>
      </s:c>
      <s:c r="D148" s="6" t="n">
        <s:v>22624</s:v>
      </s:c>
      <s:c r="E148" s="6" t="n">
        <s:v>10754</s:v>
      </s:c>
      <s:c r="F148" s="6" t="n">
        <s:v>10956</s:v>
      </s:c>
      <s:c r="G148" s="6" t="n">
        <s:v>22932</s:v>
      </s:c>
      <s:c r="H148" s="6" t="n">
        <s:v>22416</s:v>
      </s:c>
      <s:c r="I148" s="6" t="n">
        <s:v>4697</s:v>
      </s:c>
      <s:c r="J148" s="6" t="n">
        <s:f>IF(COUNT(C148:I148)=7,SUM(C148:I148),"")</s:f>
        <s:v>104955</s:v>
      </s:c>
    </s:row>
    <s:row r="149">
      <s:c r="A149" s="5" t="n">
        <s:v>46272</s:v>
      </s:c>
      <s:c r="B149" s="2" t="n">
        <s:v>0</s:v>
      </s:c>
      <s:c r="C149" s="6" t="n">
        <s:v>10667</s:v>
      </s:c>
      <s:c r="D149" s="6" t="n">
        <s:v>22400</s:v>
      </s:c>
      <s:c r="E149" s="6" t="n">
        <s:v>10540</s:v>
      </s:c>
      <s:c r="F149" s="6" t="n">
        <s:v>9984</s:v>
      </s:c>
      <s:c r="G149" s="6" t="n">
        <s:v>22081</s:v>
      </s:c>
      <s:c r="H149" s="6" t="n">
        <s:v>22440</s:v>
      </s:c>
      <s:c r="I149" s="6" t="n">
        <s:v>4868</s:v>
      </s:c>
      <s:c r="J149" s="6" t="n">
        <s:f>IF(COUNT(C149:I149)=7,SUM(C149:I149),"")</s:f>
        <s:v>102980</s:v>
      </s:c>
    </s:row>
    <s:row r="150">
      <s:c r="A150" s="5" t="n">
        <s:v>46272</s:v>
      </s:c>
      <s:c r="B150" s="2" t="n">
        <s:v>1</s:v>
      </s:c>
      <s:c r="C150" s="6" t="n">
        <s:v>10611</s:v>
      </s:c>
      <s:c r="D150" s="6" t="n">
        <s:v>21775</s:v>
      </s:c>
      <s:c r="E150" s="6" t="n">
        <s:v>10369</s:v>
      </s:c>
      <s:c r="F150" s="6" t="n">
        <s:v>9880</s:v>
      </s:c>
      <s:c r="G150" s="6" t="n">
        <s:v>21550</s:v>
      </s:c>
      <s:c r="H150" s="6" t="n">
        <s:v>23157</s:v>
      </s:c>
      <s:c r="I150" s="6" t="n">
        <s:v>5050</s:v>
      </s:c>
      <s:c r="J150" s="6" t="n">
        <s:f>IF(COUNT(C150:I150)=7,SUM(C150:I150),"")</s:f>
        <s:v>102392</s:v>
      </s:c>
    </s:row>
    <s:row r="151">
      <s:c r="A151" s="5" t="n">
        <s:v>46272</s:v>
      </s:c>
      <s:c r="B151" s="2" t="n">
        <s:v>2</s:v>
      </s:c>
      <s:c r="C151" s="6" t="n">
        <s:v>10570</s:v>
      </s:c>
      <s:c r="D151" s="6" t="n">
        <s:v>21633</s:v>
      </s:c>
      <s:c r="E151" s="6" t="n">
        <s:v>10302</s:v>
      </s:c>
      <s:c r="F151" s="6" t="n">
        <s:v>9986</s:v>
      </s:c>
      <s:c r="G151" s="6" t="n">
        <s:v>21445</s:v>
      </s:c>
      <s:c r="H151" s="6" t="n">
        <s:v>23792</s:v>
      </s:c>
      <s:c r="I151" s="6" t="n">
        <s:v>5081</s:v>
      </s:c>
      <s:c r="J151" s="6" t="n">
        <s:f>IF(COUNT(C151:I151)=7,SUM(C151:I151),"")</s:f>
        <s:v>102809</s:v>
      </s:c>
    </s:row>
    <s:row r="152">
      <s:c r="A152" s="5" t="n">
        <s:v>46272</s:v>
      </s:c>
      <s:c r="B152" s="2" t="n">
        <s:v>3</s:v>
      </s:c>
      <s:c r="C152" s="6" t="n">
        <s:v>10582</s:v>
      </s:c>
      <s:c r="D152" s="6" t="n">
        <s:v>21705</s:v>
      </s:c>
      <s:c r="E152" s="6" t="n">
        <s:v>10263</s:v>
      </s:c>
      <s:c r="F152" s="6" t="n">
        <s:v>10533</s:v>
      </s:c>
      <s:c r="G152" s="6" t="n">
        <s:v>21514</s:v>
      </s:c>
      <s:c r="H152" s="6" t="n">
        <s:v>23871</s:v>
      </s:c>
      <s:c r="I152" s="6" t="n">
        <s:v>5293</s:v>
      </s:c>
      <s:c r="J152" s="6" t="n">
        <s:f>IF(COUNT(C152:I152)=7,SUM(C152:I152),"")</s:f>
        <s:v>103761</s:v>
      </s:c>
    </s:row>
    <s:row r="153">
      <s:c r="A153" s="5" t="n">
        <s:v>46272</s:v>
      </s:c>
      <s:c r="B153" s="2" t="n">
        <s:v>4</s:v>
      </s:c>
      <s:c r="C153" s="6" t="n">
        <s:v>10582</s:v>
      </s:c>
      <s:c r="D153" s="6" t="n">
        <s:v>21941</s:v>
      </s:c>
      <s:c r="E153" s="6" t="n">
        <s:v>10315</s:v>
      </s:c>
      <s:c r="F153" s="6" t="n">
        <s:v>10909</s:v>
      </s:c>
      <s:c r="G153" s="6" t="n">
        <s:v>22577</s:v>
      </s:c>
      <s:c r="H153" s="6" t="n">
        <s:v>24603</s:v>
      </s:c>
      <s:c r="I153" s="6" t="n">
        <s:v>5175</s:v>
      </s:c>
      <s:c r="J153" s="6" t="n">
        <s:f>IF(COUNT(C153:I153)=7,SUM(C153:I153),"")</s:f>
        <s:v>106102</s:v>
      </s:c>
    </s:row>
    <s:row r="154">
      <s:c r="A154" s="5" t="n">
        <s:v>46272</s:v>
      </s:c>
      <s:c r="B154" s="2" t="n">
        <s:v>5</s:v>
      </s:c>
      <s:c r="C154" s="6" t="n">
        <s:v>10513</s:v>
      </s:c>
      <s:c r="D154" s="6" t="n">
        <s:v>22477</s:v>
      </s:c>
      <s:c r="E154" s="6" t="n">
        <s:v>10607</s:v>
      </s:c>
      <s:c r="F154" s="6" t="n">
        <s:v>10440</s:v>
      </s:c>
      <s:c r="G154" s="6" t="n">
        <s:v>24707</s:v>
      </s:c>
      <s:c r="H154" s="6" t="n">
        <s:v>24719</s:v>
      </s:c>
      <s:c r="I154" s="6" t="n">
        <s:v>5116</s:v>
      </s:c>
      <s:c r="J154" s="6" t="n">
        <s:f>IF(COUNT(C154:I154)=7,SUM(C154:I154),"")</s:f>
        <s:v>108579</s:v>
      </s:c>
    </s:row>
    <s:row r="155">
      <s:c r="A155" s="5" t="n">
        <s:v>46272</s:v>
      </s:c>
      <s:c r="B155" s="2" t="n">
        <s:v>6</s:v>
      </s:c>
      <s:c r="C155" s="6" t="n">
        <s:v>11080</s:v>
      </s:c>
      <s:c r="D155" s="6" t="n">
        <s:v>24942</s:v>
      </s:c>
      <s:c r="E155" s="6" t="n">
        <s:v>11569</s:v>
      </s:c>
      <s:c r="F155" s="6" t="n">
        <s:v>11358</s:v>
      </s:c>
      <s:c r="G155" s="6" t="n">
        <s:v>25723</s:v>
      </s:c>
      <s:c r="H155" s="6" t="n">
        <s:v>24800</s:v>
      </s:c>
      <s:c r="I155" s="6" t="n">
        <s:v>5130</s:v>
      </s:c>
      <s:c r="J155" s="6" t="n">
        <s:f>IF(COUNT(C155:I155)=7,SUM(C155:I155),"")</s:f>
        <s:v>114602</s:v>
      </s:c>
    </s:row>
    <s:row r="156">
      <s:c r="A156" s="5" t="n">
        <s:v>46272</s:v>
      </s:c>
      <s:c r="B156" s="2" t="n">
        <s:v>7</s:v>
      </s:c>
      <s:c r="C156" s="6" t="n">
        <s:v>11342</s:v>
      </s:c>
      <s:c r="D156" s="6" t="n">
        <s:v>26411</s:v>
      </s:c>
      <s:c r="E156" s="6" t="n">
        <s:v>12125</s:v>
      </s:c>
      <s:c r="F156" s="6" t="n">
        <s:v>12102</s:v>
      </s:c>
      <s:c r="G156" s="6" t="n">
        <s:v>26896</s:v>
      </s:c>
      <s:c r="H156" s="6" t="n">
        <s:v>24425</s:v>
      </s:c>
      <s:c r="I156" s="6" t="n">
        <s:v>5112</s:v>
      </s:c>
      <s:c r="J156" s="6" t="n">
        <s:f>IF(COUNT(C156:I156)=7,SUM(C156:I156),"")</s:f>
        <s:v>118413</s:v>
      </s:c>
    </s:row>
    <s:row r="157">
      <s:c r="A157" s="5" t="n">
        <s:v>46272</s:v>
      </s:c>
      <s:c r="B157" s="2" t="n">
        <s:v>8</s:v>
      </s:c>
      <s:c r="C157" s="6" t="n">
        <s:v>11547</s:v>
      </s:c>
      <s:c r="D157" s="6" t="n">
        <s:v>27959</s:v>
      </s:c>
      <s:c r="E157" s="6" t="n">
        <s:v>13171</s:v>
      </s:c>
      <s:c r="F157" s="6" t="n">
        <s:v>13377</s:v>
      </s:c>
      <s:c r="G157" s="6" t="n">
        <s:v>27820</s:v>
      </s:c>
      <s:c r="H157" s="6" t="n">
        <s:v>24297</s:v>
      </s:c>
      <s:c r="I157" s="6" t="n">
        <s:v>5111</s:v>
      </s:c>
      <s:c r="J157" s="6" t="n">
        <s:f>IF(COUNT(C157:I157)=7,SUM(C157:I157),"")</s:f>
        <s:v>123282</s:v>
      </s:c>
    </s:row>
    <s:row r="158">
      <s:c r="A158" s="5" t="n">
        <s:v>46272</s:v>
      </s:c>
      <s:c r="B158" s="2" t="n">
        <s:v>9</s:v>
      </s:c>
      <s:c r="C158" s="6" t="n">
        <s:v>11835</s:v>
      </s:c>
      <s:c r="D158" s="6" t="n">
        <s:v>28083</s:v>
      </s:c>
      <s:c r="E158" s="6" t="n">
        <s:v>13485</s:v>
      </s:c>
      <s:c r="F158" s="6" t="n">
        <s:v>13321</s:v>
      </s:c>
      <s:c r="G158" s="6" t="n">
        <s:v>27915</s:v>
      </s:c>
      <s:c r="H158" s="6" t="n">
        <s:v>24371</s:v>
      </s:c>
      <s:c r="I158" s="6" t="n">
        <s:v>5109</s:v>
      </s:c>
      <s:c r="J158" s="6" t="n">
        <s:f>IF(COUNT(C158:I158)=7,SUM(C158:I158),"")</s:f>
        <s:v>124119</s:v>
      </s:c>
    </s:row>
    <s:row r="159">
      <s:c r="A159" s="5" t="n">
        <s:v>46272</s:v>
      </s:c>
      <s:c r="B159" s="2" t="n">
        <s:v>10</s:v>
      </s:c>
      <s:c r="C159" s="6" t="n">
        <s:v>11969</s:v>
      </s:c>
      <s:c r="D159" s="6" t="n">
        <s:v>28136</s:v>
      </s:c>
      <s:c r="E159" s="6" t="n">
        <s:v>13780</s:v>
      </s:c>
      <s:c r="F159" s="6" t="n">
        <s:v>12788</s:v>
      </s:c>
      <s:c r="G159" s="6" t="n">
        <s:v>28094</s:v>
      </s:c>
      <s:c r="H159" s="6" t="n">
        <s:v>24836</s:v>
      </s:c>
      <s:c r="I159" s="6" t="n">
        <s:v>5159</s:v>
      </s:c>
      <s:c r="J159" s="6" t="n">
        <s:f>IF(COUNT(C159:I159)=7,SUM(C159:I159),"")</s:f>
        <s:v>124762</s:v>
      </s:c>
    </s:row>
    <s:row r="160">
      <s:c r="A160" s="5" t="n">
        <s:v>46272</s:v>
      </s:c>
      <s:c r="B160" s="2" t="n">
        <s:v>11</s:v>
      </s:c>
      <s:c r="C160" s="6" t="n">
        <s:v>11988</s:v>
      </s:c>
      <s:c r="D160" s="6" t="n">
        <s:v>27556</s:v>
      </s:c>
      <s:c r="E160" s="6" t="n">
        <s:v>13555</s:v>
      </s:c>
      <s:c r="F160" s="6" t="n">
        <s:v>12844</s:v>
      </s:c>
      <s:c r="G160" s="6" t="n">
        <s:v>27916</s:v>
      </s:c>
      <s:c r="H160" s="6" t="n">
        <s:v>24384</s:v>
      </s:c>
      <s:c r="I160" s="6" t="n">
        <s:v>5200</s:v>
      </s:c>
      <s:c r="J160" s="6" t="n">
        <s:f>IF(COUNT(C160:I160)=7,SUM(C160:I160),"")</s:f>
        <s:v>123443</s:v>
      </s:c>
    </s:row>
    <s:row r="161">
      <s:c r="A161" s="5" t="n">
        <s:v>46272</s:v>
      </s:c>
      <s:c r="B161" s="2" t="n">
        <s:v>12</s:v>
      </s:c>
      <s:c r="C161" s="6" t="n">
        <s:v>11948</s:v>
      </s:c>
      <s:c r="D161" s="6" t="n">
        <s:v>27442</s:v>
      </s:c>
      <s:c r="E161" s="6" t="n">
        <s:v>13397</s:v>
      </s:c>
      <s:c r="F161" s="6" t="n">
        <s:v>12974</s:v>
      </s:c>
      <s:c r="G161" s="6" t="n">
        <s:v>27981</s:v>
      </s:c>
      <s:c r="H161" s="6" t="n">
        <s:v>24561</s:v>
      </s:c>
      <s:c r="I161" s="6" t="n">
        <s:v>5295</s:v>
      </s:c>
      <s:c r="J161" s="6" t="n">
        <s:f>IF(COUNT(C161:I161)=7,SUM(C161:I161),"")</s:f>
        <s:v>123598</s:v>
      </s:c>
    </s:row>
    <s:row r="162">
      <s:c r="A162" s="5" t="n">
        <s:v>46272</s:v>
      </s:c>
      <s:c r="B162" s="2" t="n">
        <s:v>13</s:v>
      </s:c>
      <s:c r="C162" s="6" t="n">
        <s:v>11902</s:v>
      </s:c>
      <s:c r="D162" s="6" t="n">
        <s:v>27406</s:v>
      </s:c>
      <s:c r="E162" s="6" t="n">
        <s:v>13409</s:v>
      </s:c>
      <s:c r="F162" s="6" t="n">
        <s:v>13345</s:v>
      </s:c>
      <s:c r="G162" s="6" t="n">
        <s:v>27868</s:v>
      </s:c>
      <s:c r="H162" s="6" t="n">
        <s:v>24589</s:v>
      </s:c>
      <s:c r="I162" s="6" t="n">
        <s:v>5308</s:v>
      </s:c>
      <s:c r="J162" s="6" t="n">
        <s:f>IF(COUNT(C162:I162)=7,SUM(C162:I162),"")</s:f>
        <s:v>123827</s:v>
      </s:c>
    </s:row>
    <s:row r="163">
      <s:c r="A163" s="5" t="n">
        <s:v>46272</s:v>
      </s:c>
      <s:c r="B163" s="2" t="n">
        <s:v>14</s:v>
      </s:c>
      <s:c r="C163" s="6" t="n">
        <s:v>11731</s:v>
      </s:c>
      <s:c r="D163" s="6" t="n">
        <s:v>27916</s:v>
      </s:c>
      <s:c r="E163" s="6" t="n">
        <s:v>13222</s:v>
      </s:c>
      <s:c r="F163" s="6" t="n">
        <s:v>12873</s:v>
      </s:c>
      <s:c r="G163" s="6" t="n">
        <s:v>27678</s:v>
      </s:c>
      <s:c r="H163" s="6" t="n">
        <s:v>24499</s:v>
      </s:c>
      <s:c r="I163" s="6" t="n">
        <s:v>5212</s:v>
      </s:c>
      <s:c r="J163" s="6" t="n">
        <s:f>IF(COUNT(C163:I163)=7,SUM(C163:I163),"")</s:f>
        <s:v>123131</s:v>
      </s:c>
    </s:row>
    <s:row r="164">
      <s:c r="A164" s="5" t="n">
        <s:v>46272</s:v>
      </s:c>
      <s:c r="B164" s="2" t="n">
        <s:v>15</s:v>
      </s:c>
      <s:c r="C164" s="6" t="n">
        <s:v>11754</s:v>
      </s:c>
      <s:c r="D164" s="6" t="n">
        <s:v>27573</s:v>
      </s:c>
      <s:c r="E164" s="6" t="n">
        <s:v>13097</s:v>
      </s:c>
      <s:c r="F164" s="6" t="n">
        <s:v>12892</s:v>
      </s:c>
      <s:c r="G164" s="6" t="n">
        <s:v>28163</s:v>
      </s:c>
      <s:c r="H164" s="6" t="n">
        <s:v>24543</s:v>
      </s:c>
      <s:c r="I164" s="6" t="n">
        <s:v>5058</s:v>
      </s:c>
      <s:c r="J164" s="6" t="n">
        <s:f>IF(COUNT(C164:I164)=7,SUM(C164:I164),"")</s:f>
        <s:v>123080</s:v>
      </s:c>
    </s:row>
    <s:row r="165">
      <s:c r="A165" s="5" t="n">
        <s:v>46272</s:v>
      </s:c>
      <s:c r="B165" s="2" t="n">
        <s:v>16</s:v>
      </s:c>
      <s:c r="C165" s="6" t="n">
        <s:v>11672</s:v>
      </s:c>
      <s:c r="D165" s="6" t="n">
        <s:v>27347</s:v>
      </s:c>
      <s:c r="E165" s="6" t="n">
        <s:v>13173</s:v>
      </s:c>
      <s:c r="F165" s="6" t="n">
        <s:v>12604</s:v>
      </s:c>
      <s:c r="G165" s="6" t="n">
        <s:v>27948</s:v>
      </s:c>
      <s:c r="H165" s="6" t="n">
        <s:v>24619</s:v>
      </s:c>
      <s:c r="I165" s="6" t="n">
        <s:v>4667</s:v>
      </s:c>
      <s:c r="J165" s="6" t="n">
        <s:f>IF(COUNT(C165:I165)=7,SUM(C165:I165),"")</s:f>
        <s:v>122030</s:v>
      </s:c>
    </s:row>
    <s:row r="166">
      <s:c r="A166" s="5" t="n">
        <s:v>46272</s:v>
      </s:c>
      <s:c r="B166" s="2" t="n">
        <s:v>17</s:v>
      </s:c>
      <s:c r="C166" s="6" t="n">
        <s:v>11565</s:v>
      </s:c>
      <s:c r="D166" s="6" t="n">
        <s:v>27651</s:v>
      </s:c>
      <s:c r="E166" s="6" t="n">
        <s:v>13133</s:v>
      </s:c>
      <s:c r="F166" s="6" t="n">
        <s:v>12378</s:v>
      </s:c>
      <s:c r="G166" s="6" t="n">
        <s:v>28182</s:v>
      </s:c>
      <s:c r="H166" s="6" t="n">
        <s:v>24213</s:v>
      </s:c>
      <s:c r="I166" s="6" t="n">
        <s:v>4536</s:v>
      </s:c>
      <s:c r="J166" s="6" t="n">
        <s:f>IF(COUNT(C166:I166)=7,SUM(C166:I166),"")</s:f>
        <s:v>121658</s:v>
      </s:c>
    </s:row>
    <s:row r="167">
      <s:c r="A167" s="5" t="n">
        <s:v>46272</s:v>
      </s:c>
      <s:c r="B167" s="2" t="n">
        <s:v>18</s:v>
      </s:c>
      <s:c r="C167" s="6" t="n">
        <s:v>11557</s:v>
      </s:c>
      <s:c r="D167" s="6" t="n">
        <s:v>27358</s:v>
      </s:c>
      <s:c r="E167" s="6" t="n">
        <s:v>13422</s:v>
      </s:c>
      <s:c r="F167" s="6" t="n">
        <s:v>12445</s:v>
      </s:c>
      <s:c r="G167" s="6" t="n">
        <s:v>28239</s:v>
      </s:c>
      <s:c r="H167" s="6" t="n">
        <s:v>24107</s:v>
      </s:c>
      <s:c r="I167" s="6" t="n">
        <s:v>4442</s:v>
      </s:c>
      <s:c r="J167" s="6" t="n">
        <s:f>IF(COUNT(C167:I167)=7,SUM(C167:I167),"")</s:f>
        <s:v>121570</s:v>
      </s:c>
    </s:row>
    <s:row r="168">
      <s:c r="A168" s="5" t="n">
        <s:v>46272</s:v>
      </s:c>
      <s:c r="B168" s="2" t="n">
        <s:v>19</s:v>
      </s:c>
      <s:c r="C168" s="6" t="n">
        <s:v>11565</s:v>
      </s:c>
      <s:c r="D168" s="6" t="n">
        <s:v>27759</s:v>
      </s:c>
      <s:c r="E168" s="6" t="n">
        <s:v>13410</s:v>
      </s:c>
      <s:c r="F168" s="6" t="n">
        <s:v>12525</s:v>
      </s:c>
      <s:c r="G168" s="6" t="n">
        <s:v>27992</s:v>
      </s:c>
      <s:c r="H168" s="6" t="n">
        <s:v>23294</s:v>
      </s:c>
      <s:c r="I168" s="6" t="n">
        <s:v>4442</s:v>
      </s:c>
      <s:c r="J168" s="6" t="n">
        <s:f>IF(COUNT(C168:I168)=7,SUM(C168:I168),"")</s:f>
        <s:v>120987</s:v>
      </s:c>
    </s:row>
    <s:row r="169">
      <s:c r="A169" s="5" t="n">
        <s:v>46272</s:v>
      </s:c>
      <s:c r="B169" s="2" t="n">
        <s:v>20</s:v>
      </s:c>
      <s:c r="C169" s="6" t="n">
        <s:v>11659</s:v>
      </s:c>
      <s:c r="D169" s="6" t="n">
        <s:v>27511</s:v>
      </s:c>
      <s:c r="E169" s="6" t="n">
        <s:v>13452</s:v>
      </s:c>
      <s:c r="F169" s="6" t="n">
        <s:v>11441</s:v>
      </s:c>
      <s:c r="G169" s="6" t="n">
        <s:v>27327</s:v>
      </s:c>
      <s:c r="H169" s="6" t="n">
        <s:v>22718</s:v>
      </s:c>
      <s:c r="I169" s="6" t="n">
        <s:v>4419</s:v>
      </s:c>
      <s:c r="J169" s="6" t="n">
        <s:f>IF(COUNT(C169:I169)=7,SUM(C169:I169),"")</s:f>
        <s:v>118527</s:v>
      </s:c>
    </s:row>
    <s:row r="170">
      <s:c r="A170" s="5" t="n">
        <s:v>46272</s:v>
      </s:c>
      <s:c r="B170" s="2" t="n">
        <s:v>21</s:v>
      </s:c>
      <s:c r="C170" s="6" t="n">
        <s:v>11586</s:v>
      </s:c>
      <s:c r="D170" s="6" t="n">
        <s:v>26188</s:v>
      </s:c>
      <s:c r="E170" s="6" t="n">
        <s:v>12930</s:v>
      </s:c>
      <s:c r="F170" s="6" t="n">
        <s:v>10448</s:v>
      </s:c>
      <s:c r="G170" s="6" t="n">
        <s:v>26155</s:v>
      </s:c>
      <s:c r="H170" s="6" t="n">
        <s:v>23092</s:v>
      </s:c>
      <s:c r="I170" s="6" t="n">
        <s:v>4396</s:v>
      </s:c>
      <s:c r="J170" s="6" t="n">
        <s:f>IF(COUNT(C170:I170)=7,SUM(C170:I170),"")</s:f>
        <s:v>114795</s:v>
      </s:c>
    </s:row>
    <s:row r="171">
      <s:c r="A171" s="5" t="n">
        <s:v>46272</s:v>
      </s:c>
      <s:c r="B171" s="2" t="n">
        <s:v>22</s:v>
      </s:c>
      <s:c r="C171" s="6" t="n">
        <s:v>11443</s:v>
      </s:c>
      <s:c r="D171" s="6" t="n">
        <s:v>24433</s:v>
      </s:c>
      <s:c r="E171" s="6" t="n">
        <s:v>12091</s:v>
      </s:c>
      <s:c r="F171" s="6" t="n">
        <s:v>9827</s:v>
      </s:c>
      <s:c r="G171" s="6" t="n">
        <s:v>24418</s:v>
      </s:c>
      <s:c r="H171" s="6" t="n">
        <s:v>22739</s:v>
      </s:c>
      <s:c r="I171" s="6" t="n">
        <s:v>4563</s:v>
      </s:c>
      <s:c r="J171" s="6" t="n">
        <s:f>IF(COUNT(C171:I171)=7,SUM(C171:I171),"")</s:f>
        <s:v>109514</s:v>
      </s:c>
    </s:row>
    <s:row r="172">
      <s:c r="A172" s="5" t="n">
        <s:v>46272</s:v>
      </s:c>
      <s:c r="B172" s="2" t="n">
        <s:v>23</s:v>
      </s:c>
      <s:c r="C172" s="6" t="n">
        <s:v>11232</s:v>
      </s:c>
      <s:c r="D172" s="6" t="n">
        <s:v>23358</s:v>
      </s:c>
      <s:c r="E172" s="6" t="n">
        <s:v>11260</s:v>
      </s:c>
      <s:c r="F172" s="6" t="n">
        <s:v>10560</s:v>
      </s:c>
      <s:c r="G172" s="6" t="n">
        <s:v>22501</s:v>
      </s:c>
      <s:c r="H172" s="6" t="n">
        <s:v>23056</s:v>
      </s:c>
      <s:c r="I172" s="6" t="n">
        <s:v>4783</s:v>
      </s:c>
      <s:c r="J172" s="6" t="n">
        <s:f>IF(COUNT(C172:I172)=7,SUM(C172:I172),"")</s:f>
        <s:v>106750</s:v>
      </s:c>
    </s:row>
    <s:row r="173">
      <s:c r="A173" s="5" t="n">
        <s:v>46273</s:v>
      </s:c>
      <s:c r="B173" s="2" t="n">
        <s:v>0</s:v>
      </s:c>
      <s:c r="C173" s="6" t="n">
        <s:v>10885</s:v>
      </s:c>
      <s:c r="D173" s="6" t="n">
        <s:v>22524</s:v>
      </s:c>
      <s:c r="E173" s="6" t="n">
        <s:v>10765</s:v>
      </s:c>
      <s:c r="F173" s="6" t="n">
        <s:v>10408</s:v>
      </s:c>
      <s:c r="G173" s="6" t="n">
        <s:v>22600</s:v>
      </s:c>
      <s:c r="H173" s="6" t="n">
        <s:v>23077</s:v>
      </s:c>
      <s:c r="I173" s="6" t="n">
        <s:v>4986</s:v>
      </s:c>
      <s:c r="J173" s="6" t="n">
        <s:f>IF(COUNT(C173:I173)=7,SUM(C173:I173),"")</s:f>
        <s:v>105245</s:v>
      </s:c>
    </s:row>
    <s:row r="174">
      <s:c r="A174" s="5" t="n">
        <s:v>46273</s:v>
      </s:c>
      <s:c r="B174" s="2" t="n">
        <s:v>1</s:v>
      </s:c>
      <s:c r="C174" s="6" t="n">
        <s:v>10796</s:v>
      </s:c>
      <s:c r="D174" s="6" t="n">
        <s:v>21803</s:v>
      </s:c>
      <s:c r="E174" s="6" t="n">
        <s:v>10340</s:v>
      </s:c>
      <s:c r="F174" s="6" t="n">
        <s:v>9937</s:v>
      </s:c>
      <s:c r="G174" s="6" t="n">
        <s:v>22568</s:v>
      </s:c>
      <s:c r="H174" s="6" t="n">
        <s:v>23470</s:v>
      </s:c>
      <s:c r="I174" s="6" t="n">
        <s:v>5176</s:v>
      </s:c>
      <s:c r="J174" s="6" t="n">
        <s:f>IF(COUNT(C174:I174)=7,SUM(C174:I174),"")</s:f>
        <s:v>104090</s:v>
      </s:c>
    </s:row>
    <s:row r="175">
      <s:c r="A175" s="5" t="n">
        <s:v>46273</s:v>
      </s:c>
      <s:c r="B175" s="2" t="n">
        <s:v>2</s:v>
      </s:c>
      <s:c r="C175" s="6" t="n">
        <s:v>10775</s:v>
      </s:c>
      <s:c r="D175" s="6" t="n">
        <s:v>21912</s:v>
      </s:c>
      <s:c r="E175" s="6" t="n">
        <s:v>9978</s:v>
      </s:c>
      <s:c r="F175" s="6" t="n">
        <s:v>9875</s:v>
      </s:c>
      <s:c r="G175" s="6" t="n">
        <s:v>22446</s:v>
      </s:c>
      <s:c r="H175" s="6" t="n">
        <s:v>23642</s:v>
      </s:c>
      <s:c r="I175" s="6" t="n">
        <s:v>5272</s:v>
      </s:c>
      <s:c r="J175" s="6" t="n">
        <s:f>IF(COUNT(C175:I175)=7,SUM(C175:I175),"")</s:f>
        <s:v>103900</s:v>
      </s:c>
    </s:row>
    <s:row r="176">
      <s:c r="A176" s="5" t="n">
        <s:v>46273</s:v>
      </s:c>
      <s:c r="B176" s="2" t="n">
        <s:v>3</s:v>
      </s:c>
      <s:c r="C176" s="6" t="n">
        <s:v>10772</s:v>
      </s:c>
      <s:c r="D176" s="6" t="n">
        <s:v>21964</s:v>
      </s:c>
      <s:c r="E176" s="6" t="n">
        <s:v>10157</s:v>
      </s:c>
      <s:c r="F176" s="6" t="n">
        <s:v>10068</s:v>
      </s:c>
      <s:c r="G176" s="6" t="n">
        <s:v>22803</s:v>
      </s:c>
      <s:c r="H176" s="6" t="n">
        <s:v>23665</s:v>
      </s:c>
      <s:c r="I176" s="6" t="n">
        <s:v>5137</s:v>
      </s:c>
      <s:c r="J176" s="6" t="n">
        <s:f>IF(COUNT(C176:I176)=7,SUM(C176:I176),"")</s:f>
        <s:v>104566</s:v>
      </s:c>
    </s:row>
    <s:row r="177">
      <s:c r="A177" s="5" t="n">
        <s:v>46273</s:v>
      </s:c>
      <s:c r="B177" s="2" t="n">
        <s:v>4</s:v>
      </s:c>
      <s:c r="C177" s="6" t="n">
        <s:v>10783</s:v>
      </s:c>
      <s:c r="D177" s="6" t="n">
        <s:v>22347</s:v>
      </s:c>
      <s:c r="E177" s="6" t="n">
        <s:v>10394</s:v>
      </s:c>
      <s:c r="F177" s="6" t="n">
        <s:v>10620</s:v>
      </s:c>
      <s:c r="G177" s="6" t="n">
        <s:v>23596</s:v>
      </s:c>
      <s:c r="H177" s="6" t="n">
        <s:v>24610</s:v>
      </s:c>
      <s:c r="I177" s="6" t="n">
        <s:v>5088</s:v>
      </s:c>
      <s:c r="J177" s="6" t="n">
        <s:f>IF(COUNT(C177:I177)=7,SUM(C177:I177),"")</s:f>
        <s:v>107438</s:v>
      </s:c>
    </s:row>
    <s:row r="178">
      <s:c r="A178" s="5" t="n">
        <s:v>46273</s:v>
      </s:c>
      <s:c r="B178" s="2" t="n">
        <s:v>5</s:v>
      </s:c>
      <s:c r="C178" s="6" t="n">
        <s:v>11072</s:v>
      </s:c>
      <s:c r="D178" s="6" t="n">
        <s:v>22801</s:v>
      </s:c>
      <s:c r="E178" s="6" t="n">
        <s:v>10541</s:v>
      </s:c>
      <s:c r="F178" s="6" t="n">
        <s:v>10672</s:v>
      </s:c>
      <s:c r="G178" s="6" t="n">
        <s:v>25456</s:v>
      </s:c>
      <s:c r="H178" s="6" t="n">
        <s:v>24792</s:v>
      </s:c>
      <s:c r="I178" s="6" t="n">
        <s:v>5017</s:v>
      </s:c>
      <s:c r="J178" s="6" t="n">
        <s:f>IF(COUNT(C178:I178)=7,SUM(C178:I178),"")</s:f>
        <s:v>110351</s:v>
      </s:c>
    </s:row>
    <s:row r="179">
      <s:c r="A179" s="5" t="n">
        <s:v>46273</s:v>
      </s:c>
      <s:c r="B179" s="2" t="n">
        <s:v>6</s:v>
      </s:c>
      <s:c r="C179" s="6" t="n">
        <s:v>11092</s:v>
      </s:c>
      <s:c r="D179" s="6" t="n">
        <s:v>25591</s:v>
      </s:c>
      <s:c r="E179" s="6" t="n">
        <s:v>11110</s:v>
      </s:c>
      <s:c r="F179" s="6" t="n">
        <s:v>10672</s:v>
      </s:c>
      <s:c r="G179" s="6" t="n">
        <s:v>27113</s:v>
      </s:c>
      <s:c r="H179" s="6" t="n">
        <s:v>23930</s:v>
      </s:c>
      <s:c r="I179" s="6" t="n">
        <s:v>4989</s:v>
      </s:c>
      <s:c r="J179" s="6" t="n">
        <s:f>IF(COUNT(C179:I179)=7,SUM(C179:I179),"")</s:f>
        <s:v>114497</s:v>
      </s:c>
    </s:row>
    <s:row r="180">
      <s:c r="A180" s="5" t="n">
        <s:v>46273</s:v>
      </s:c>
      <s:c r="B180" s="2" t="n">
        <s:v>7</s:v>
      </s:c>
      <s:c r="C180" s="6" t="n">
        <s:v>11216</s:v>
      </s:c>
      <s:c r="D180" s="6" t="n">
        <s:v>26518</s:v>
      </s:c>
      <s:c r="E180" s="6" t="n">
        <s:v>11839</s:v>
      </s:c>
      <s:c r="F180" s="6" t="n">
        <s:v>11794</s:v>
      </s:c>
      <s:c r="G180" s="6" t="n">
        <s:v>28219</s:v>
      </s:c>
      <s:c r="H180" s="6" t="n">
        <s:v>23931</s:v>
      </s:c>
      <s:c r="I180" s="6" t="n">
        <s:v>4905</s:v>
      </s:c>
      <s:c r="J180" s="6" t="n">
        <s:f>IF(COUNT(C180:I180)=7,SUM(C180:I180),"")</s:f>
        <s:v>118422</s:v>
      </s:c>
    </s:row>
    <s:row r="181">
      <s:c r="A181" s="5" t="n">
        <s:v>46273</s:v>
      </s:c>
      <s:c r="B181" s="2" t="n">
        <s:v>8</s:v>
      </s:c>
      <s:c r="C181" s="6" t="n">
        <s:v>11671</s:v>
      </s:c>
      <s:c r="D181" s="6" t="n">
        <s:v>27846</s:v>
      </s:c>
      <s:c r="E181" s="6" t="n">
        <s:v>13007</s:v>
      </s:c>
      <s:c r="F181" s="6" t="n">
        <s:v>12745</s:v>
      </s:c>
      <s:c r="G181" s="6" t="n">
        <s:v>28275</s:v>
      </s:c>
      <s:c r="H181" s="6" t="n">
        <s:v>24737</s:v>
      </s:c>
      <s:c r="I181" s="6" t="n">
        <s:v>5019</s:v>
      </s:c>
      <s:c r="J181" s="6" t="n">
        <s:f>IF(COUNT(C181:I181)=7,SUM(C181:I181),"")</s:f>
        <s:v>123300</s:v>
      </s:c>
    </s:row>
    <s:row r="182">
      <s:c r="A182" s="5" t="n">
        <s:v>46273</s:v>
      </s:c>
      <s:c r="B182" s="2" t="n">
        <s:v>9</s:v>
      </s:c>
      <s:c r="C182" s="6" t="n">
        <s:v>11759</s:v>
      </s:c>
      <s:c r="D182" s="6" t="n">
        <s:v>28149</s:v>
      </s:c>
      <s:c r="E182" s="6" t="n">
        <s:v>13360</s:v>
      </s:c>
      <s:c r="F182" s="6" t="n">
        <s:v>13003</s:v>
      </s:c>
      <s:c r="G182" s="6" t="n">
        <s:v>28259</s:v>
      </s:c>
      <s:c r="H182" s="6" t="n">
        <s:v>24776</s:v>
      </s:c>
      <s:c r="I182" s="6" t="n">
        <s:v>4949</s:v>
      </s:c>
      <s:c r="J182" s="6" t="n">
        <s:f>IF(COUNT(C182:I182)=7,SUM(C182:I182),"")</s:f>
        <s:v>124255</s:v>
      </s:c>
    </s:row>
    <s:row r="183">
      <s:c r="A183" s="5" t="n">
        <s:v>46273</s:v>
      </s:c>
      <s:c r="B183" s="2" t="n">
        <s:v>10</s:v>
      </s:c>
      <s:c r="C183" s="6" t="n">
        <s:v>11748</s:v>
      </s:c>
      <s:c r="D183" s="6" t="n">
        <s:v>27756</s:v>
      </s:c>
      <s:c r="E183" s="6" t="n">
        <s:v>13143</s:v>
      </s:c>
      <s:c r="F183" s="6" t="n">
        <s:v>12812</s:v>
      </s:c>
      <s:c r="G183" s="6" t="n">
        <s:v>28290</s:v>
      </s:c>
      <s:c r="H183" s="6" t="n">
        <s:v>24928</s:v>
      </s:c>
      <s:c r="I183" s="6" t="n">
        <s:v>5083</s:v>
      </s:c>
      <s:c r="J183" s="6" t="n">
        <s:f>IF(COUNT(C183:I183)=7,SUM(C183:I183),"")</s:f>
        <s:v>123760</s:v>
      </s:c>
    </s:row>
    <s:row r="184">
      <s:c r="A184" s="5" t="n">
        <s:v>46273</s:v>
      </s:c>
      <s:c r="B184" s="2" t="n">
        <s:v>11</s:v>
      </s:c>
      <s:c r="C184" s="6" t="n">
        <s:v>11536</s:v>
      </s:c>
      <s:c r="D184" s="6" t="n">
        <s:v>27821</s:v>
      </s:c>
      <s:c r="E184" s="6" t="n">
        <s:v>13064</s:v>
      </s:c>
      <s:c r="F184" s="6" t="n">
        <s:v>12842</s:v>
      </s:c>
      <s:c r="G184" s="6" t="n">
        <s:v>27998</s:v>
      </s:c>
      <s:c r="H184" s="6" t="n">
        <s:v>24745</s:v>
      </s:c>
      <s:c r="I184" s="6" t="n">
        <s:v>5048</s:v>
      </s:c>
      <s:c r="J184" s="6" t="n">
        <s:f>IF(COUNT(C184:I184)=7,SUM(C184:I184),"")</s:f>
        <s:v>123054</s:v>
      </s:c>
    </s:row>
    <s:row r="185">
      <s:c r="A185" s="5" t="n">
        <s:v>46273</s:v>
      </s:c>
      <s:c r="B185" s="2" t="n">
        <s:v>12</s:v>
      </s:c>
      <s:c r="C185" s="6" t="n">
        <s:v>11475</s:v>
      </s:c>
      <s:c r="D185" s="6" t="n">
        <s:v>28015</s:v>
      </s:c>
      <s:c r="E185" s="6" t="n">
        <s:v>13239</s:v>
      </s:c>
      <s:c r="F185" s="6" t="n">
        <s:v>13142</s:v>
      </s:c>
      <s:c r="G185" s="6" t="n">
        <s:v>27822</s:v>
      </s:c>
      <s:c r="H185" s="6" t="n">
        <s:v>24570</s:v>
      </s:c>
      <s:c r="I185" s="6" t="n">
        <s:v>5319</s:v>
      </s:c>
      <s:c r="J185" s="6" t="n">
        <s:f>IF(COUNT(C185:I185)=7,SUM(C185:I185),"")</s:f>
        <s:v>123582</s:v>
      </s:c>
    </s:row>
    <s:row r="186">
      <s:c r="A186" s="5" t="n">
        <s:v>46273</s:v>
      </s:c>
      <s:c r="B186" s="2" t="n">
        <s:v>13</s:v>
      </s:c>
      <s:c r="C186" s="6" t="n">
        <s:v>11498</s:v>
      </s:c>
      <s:c r="D186" s="6" t="n">
        <s:v>28042</s:v>
      </s:c>
      <s:c r="E186" s="6" t="n">
        <s:v>13202</s:v>
      </s:c>
      <s:c r="F186" s="6" t="n">
        <s:v>13649</s:v>
      </s:c>
      <s:c r="G186" s="6" t="n">
        <s:v>27856</s:v>
      </s:c>
      <s:c r="H186" s="6" t="n">
        <s:v>24667</s:v>
      </s:c>
      <s:c r="I186" s="6" t="n">
        <s:v>5458</s:v>
      </s:c>
      <s:c r="J186" s="6" t="n">
        <s:f>IF(COUNT(C186:I186)=7,SUM(C186:I186),"")</s:f>
        <s:v>124372</s:v>
      </s:c>
    </s:row>
    <s:row r="187">
      <s:c r="A187" s="5" t="n">
        <s:v>46273</s:v>
      </s:c>
      <s:c r="B187" s="2" t="n">
        <s:v>14</s:v>
      </s:c>
      <s:c r="C187" s="6" t="n">
        <s:v>11606</s:v>
      </s:c>
      <s:c r="D187" s="6" t="n">
        <s:v>27861</s:v>
      </s:c>
      <s:c r="E187" s="6" t="n">
        <s:v>13184</s:v>
      </s:c>
      <s:c r="F187" s="6" t="n">
        <s:v>13218</s:v>
      </s:c>
      <s:c r="G187" s="6" t="n">
        <s:v>27647</s:v>
      </s:c>
      <s:c r="H187" s="6" t="n">
        <s:v>24998</s:v>
      </s:c>
      <s:c r="I187" s="6" t="n">
        <s:v>5256</s:v>
      </s:c>
      <s:c r="J187" s="6" t="n">
        <s:f>IF(COUNT(C187:I187)=7,SUM(C187:I187),"")</s:f>
        <s:v>123770</s:v>
      </s:c>
    </s:row>
    <s:row r="188">
      <s:c r="A188" s="5" t="n">
        <s:v>46273</s:v>
      </s:c>
      <s:c r="B188" s="2" t="n">
        <s:v>15</s:v>
      </s:c>
      <s:c r="C188" s="6" t="n">
        <s:v>11865</s:v>
      </s:c>
      <s:c r="D188" s="6" t="n">
        <s:v>27359</s:v>
      </s:c>
      <s:c r="E188" s="6" t="n">
        <s:v>13266</s:v>
      </s:c>
      <s:c r="F188" s="6" t="n">
        <s:v>13656</s:v>
      </s:c>
      <s:c r="G188" s="6" t="n">
        <s:v>27410</s:v>
      </s:c>
      <s:c r="H188" s="6" t="n">
        <s:v>25103</s:v>
      </s:c>
      <s:c r="I188" s="6" t="n">
        <s:v>5050</s:v>
      </s:c>
      <s:c r="J188" s="6" t="n">
        <s:f>IF(COUNT(C188:I188)=7,SUM(C188:I188),"")</s:f>
        <s:v>123709</s:v>
      </s:c>
    </s:row>
    <s:row r="189">
      <s:c r="A189" s="5" t="n">
        <s:v>46273</s:v>
      </s:c>
      <s:c r="B189" s="2" t="n">
        <s:v>16</s:v>
      </s:c>
      <s:c r="C189" s="6" t="n">
        <s:v>11727</s:v>
      </s:c>
      <s:c r="D189" s="6" t="n">
        <s:v>27799</s:v>
      </s:c>
      <s:c r="E189" s="6" t="n">
        <s:v>12856</s:v>
      </s:c>
      <s:c r="F189" s="6" t="n">
        <s:v>12810</s:v>
      </s:c>
      <s:c r="G189" s="6" t="n">
        <s:v>27768</s:v>
      </s:c>
      <s:c r="H189" s="6" t="n">
        <s:v>24861</s:v>
      </s:c>
      <s:c r="I189" s="6" t="n">
        <s:v>4816</s:v>
      </s:c>
      <s:c r="J189" s="6" t="n">
        <s:f>IF(COUNT(C189:I189)=7,SUM(C189:I189),"")</s:f>
        <s:v>122637</s:v>
      </s:c>
    </s:row>
    <s:row r="190">
      <s:c r="A190" s="5" t="n">
        <s:v>46273</s:v>
      </s:c>
      <s:c r="B190" s="2" t="n">
        <s:v>17</s:v>
      </s:c>
      <s:c r="C190" s="6" t="n">
        <s:v>11761</s:v>
      </s:c>
      <s:c r="D190" s="6" t="n">
        <s:v>27601</s:v>
      </s:c>
      <s:c r="E190" s="6" t="n">
        <s:v>12901</s:v>
      </s:c>
      <s:c r="F190" s="6" t="n">
        <s:v>13066</s:v>
      </s:c>
      <s:c r="G190" s="6" t="n">
        <s:v>27712</s:v>
      </s:c>
      <s:c r="H190" s="6" t="n">
        <s:v>24637</s:v>
      </s:c>
      <s:c r="I190" s="6" t="n">
        <s:v>4529</s:v>
      </s:c>
      <s:c r="J190" s="6" t="n">
        <s:f>IF(COUNT(C190:I190)=7,SUM(C190:I190),"")</s:f>
        <s:v>122207</s:v>
      </s:c>
    </s:row>
    <s:row r="191">
      <s:c r="A191" s="5" t="n">
        <s:v>46273</s:v>
      </s:c>
      <s:c r="B191" s="2" t="n">
        <s:v>18</s:v>
      </s:c>
      <s:c r="C191" s="6" t="n">
        <s:v>11460</s:v>
      </s:c>
      <s:c r="D191" s="6" t="n">
        <s:v>28184</s:v>
      </s:c>
      <s:c r="E191" s="6" t="n">
        <s:v>12977</s:v>
      </s:c>
      <s:c r="F191" s="6" t="n">
        <s:v>12909</s:v>
      </s:c>
      <s:c r="G191" s="6" t="n">
        <s:v>27950</s:v>
      </s:c>
      <s:c r="H191" s="6" t="n">
        <s:v>24342</s:v>
      </s:c>
      <s:c r="I191" s="6" t="n">
        <s:v>4536</s:v>
      </s:c>
      <s:c r="J191" s="6" t="n">
        <s:f>IF(COUNT(C191:I191)=7,SUM(C191:I191),"")</s:f>
        <s:v>122358</s:v>
      </s:c>
    </s:row>
    <s:row r="192">
      <s:c r="A192" s="5" t="n">
        <s:v>46273</s:v>
      </s:c>
      <s:c r="B192" s="2" t="n">
        <s:v>19</s:v>
      </s:c>
      <s:c r="C192" s="6" t="n">
        <s:v>10958</s:v>
      </s:c>
      <s:c r="D192" s="6" t="n">
        <s:v>28155</s:v>
      </s:c>
      <s:c r="E192" s="6" t="n">
        <s:v>13447</s:v>
      </s:c>
      <s:c r="F192" s="6" t="n">
        <s:v>13105</s:v>
      </s:c>
      <s:c r="G192" s="6" t="n">
        <s:v>27941</s:v>
      </s:c>
      <s:c r="H192" s="6" t="n">
        <s:v>23670</s:v>
      </s:c>
      <s:c r="I192" s="6" t="n">
        <s:v>4300</s:v>
      </s:c>
      <s:c r="J192" s="6" t="n">
        <s:f>IF(COUNT(C192:I192)=7,SUM(C192:I192),"")</s:f>
        <s:v>121576</s:v>
      </s:c>
    </s:row>
    <s:row r="193">
      <s:c r="A193" s="5" t="n">
        <s:v>46273</s:v>
      </s:c>
      <s:c r="B193" s="2" t="n">
        <s:v>20</s:v>
      </s:c>
      <s:c r="C193" s="6" t="n">
        <s:v>10926</s:v>
      </s:c>
      <s:c r="D193" s="6" t="n">
        <s:v>27614</s:v>
      </s:c>
      <s:c r="E193" s="6" t="n">
        <s:v>13427</s:v>
      </s:c>
      <s:c r="F193" s="6" t="n">
        <s:v>12220</s:v>
      </s:c>
      <s:c r="G193" s="6" t="n">
        <s:v>27320</s:v>
      </s:c>
      <s:c r="H193" s="6" t="n">
        <s:v>23008</s:v>
      </s:c>
      <s:c r="I193" s="6" t="n">
        <s:v>4433</s:v>
      </s:c>
      <s:c r="J193" s="6" t="n">
        <s:f>IF(COUNT(C193:I193)=7,SUM(C193:I193),"")</s:f>
        <s:v>118948</s:v>
      </s:c>
    </s:row>
    <s:row r="194">
      <s:c r="A194" s="5" t="n">
        <s:v>46273</s:v>
      </s:c>
      <s:c r="B194" s="2" t="n">
        <s:v>21</s:v>
      </s:c>
      <s:c r="C194" s="6" t="n">
        <s:v>10878</s:v>
      </s:c>
      <s:c r="D194" s="6" t="n">
        <s:v>26514</s:v>
      </s:c>
      <s:c r="E194" s="6" t="n">
        <s:v>12615</s:v>
      </s:c>
      <s:c r="F194" s="6" t="n">
        <s:v>11386</s:v>
      </s:c>
      <s:c r="G194" s="6" t="n">
        <s:v>26404</s:v>
      </s:c>
      <s:c r="H194" s="6" t="n">
        <s:v>23131</s:v>
      </s:c>
      <s:c r="I194" s="6" t="n">
        <s:v>4408</s:v>
      </s:c>
      <s:c r="J194" s="6" t="n">
        <s:f>IF(COUNT(C194:I194)=7,SUM(C194:I194),"")</s:f>
        <s:v>115336</s:v>
      </s:c>
    </s:row>
    <s:row r="195">
      <s:c r="A195" s="5" t="n">
        <s:v>46273</s:v>
      </s:c>
      <s:c r="B195" s="2" t="n">
        <s:v>22</s:v>
      </s:c>
      <s:c r="C195" s="6" t="n">
        <s:v>10832</s:v>
      </s:c>
      <s:c r="D195" s="6" t="n">
        <s:v>25337</s:v>
      </s:c>
      <s:c r="E195" s="6" t="n">
        <s:v>11329</s:v>
      </s:c>
      <s:c r="F195" s="6" t="n">
        <s:v>10790</s:v>
      </s:c>
      <s:c r="G195" s="6" t="n">
        <s:v>24420</s:v>
      </s:c>
      <s:c r="H195" s="6" t="n">
        <s:v>23273</s:v>
      </s:c>
      <s:c r="I195" s="6" t="n">
        <s:v>4671</s:v>
      </s:c>
      <s:c r="J195" s="6" t="n">
        <s:f>IF(COUNT(C195:I195)=7,SUM(C195:I195),"")</s:f>
        <s:v>110652</s:v>
      </s:c>
    </s:row>
    <s:row r="196">
      <s:c r="A196" s="5" t="n">
        <s:v>46273</s:v>
      </s:c>
      <s:c r="B196" s="2" t="n">
        <s:v>23</s:v>
      </s:c>
      <s:c r="C196" s="6" t="n">
        <s:v>10509</s:v>
      </s:c>
      <s:c r="D196" s="6" t="n">
        <s:v>23360</s:v>
      </s:c>
      <s:c r="E196" s="6" t="n">
        <s:v>10883</s:v>
      </s:c>
      <s:c r="F196" s="6" t="n">
        <s:v>10602</s:v>
      </s:c>
      <s:c r="G196" s="6" t="n">
        <s:v>23101</s:v>
      </s:c>
      <s:c r="H196" s="6" t="n">
        <s:v>23167</s:v>
      </s:c>
      <s:c r="I196" s="6" t="n">
        <s:v>4827</s:v>
      </s:c>
      <s:c r="J196" s="6" t="n">
        <s:f>IF(COUNT(C196:I196)=7,SUM(C196:I196),"")</s:f>
        <s:v>106449</s:v>
      </s:c>
    </s:row>
    <s:row r="197">
      <s:c r="A197" s="5" t="n">
        <s:v>46274</s:v>
      </s:c>
      <s:c r="B197" s="2" t="n">
        <s:v>0</s:v>
      </s:c>
      <s:c r="C197" s="6" t="n">
        <s:v>10195</s:v>
      </s:c>
      <s:c r="D197" s="6" t="n">
        <s:v>22653</s:v>
      </s:c>
      <s:c r="E197" s="6" t="n">
        <s:v>10434</s:v>
      </s:c>
      <s:c r="F197" s="6" t="n">
        <s:v>10090</s:v>
      </s:c>
      <s:c r="G197" s="6" t="n">
        <s:v>22475</s:v>
      </s:c>
      <s:c r="H197" s="6" t="n">
        <s:v>23304</s:v>
      </s:c>
      <s:c r="I197" s="6" t="n">
        <s:v>4978</s:v>
      </s:c>
      <s:c r="J197" s="6" t="n">
        <s:f>IF(COUNT(C197:I197)=7,SUM(C197:I197),"")</s:f>
        <s:v>104129</s:v>
      </s:c>
    </s:row>
    <s:row r="198">
      <s:c r="A198" s="5" t="n">
        <s:v>46274</s:v>
      </s:c>
      <s:c r="B198" s="2" t="n">
        <s:v>1</s:v>
      </s:c>
      <s:c r="C198" s="6" t="n">
        <s:v>10020</s:v>
      </s:c>
      <s:c r="D198" s="6" t="n">
        <s:v>21810</s:v>
      </s:c>
      <s:c r="E198" s="6" t="n">
        <s:v>10311</s:v>
      </s:c>
      <s:c r="F198" s="6" t="n">
        <s:v>10064</s:v>
      </s:c>
      <s:c r="G198" s="6" t="n">
        <s:v>22657</s:v>
      </s:c>
      <s:c r="H198" s="6" t="n">
        <s:v>23502</s:v>
      </s:c>
      <s:c r="I198" s="6" t="n">
        <s:v>5293</s:v>
      </s:c>
      <s:c r="J198" s="6" t="n">
        <s:f>IF(COUNT(C198:I198)=7,SUM(C198:I198),"")</s:f>
        <s:v>103657</s:v>
      </s:c>
    </s:row>
    <s:row r="199">
      <s:c r="A199" s="5" t="n">
        <s:v>46274</s:v>
      </s:c>
      <s:c r="B199" s="2" t="n">
        <s:v>2</s:v>
      </s:c>
      <s:c r="C199" s="6" t="n">
        <s:v>9763</s:v>
      </s:c>
      <s:c r="D199" s="6" t="n">
        <s:v>21693</s:v>
      </s:c>
      <s:c r="E199" s="6" t="n">
        <s:v>10210</s:v>
      </s:c>
      <s:c r="F199" s="6" t="n">
        <s:v>10423</s:v>
      </s:c>
      <s:c r="G199" s="6" t="n">
        <s:v>22779</s:v>
      </s:c>
      <s:c r="H199" s="6" t="n">
        <s:v>24091</s:v>
      </s:c>
      <s:c r="I199" s="6" t="n">
        <s:v>5289</s:v>
      </s:c>
      <s:c r="J199" s="6" t="n">
        <s:f>IF(COUNT(C199:I199)=7,SUM(C199:I199),"")</s:f>
        <s:v>104248</s:v>
      </s:c>
    </s:row>
    <s:row r="200">
      <s:c r="A200" s="5" t="n">
        <s:v>46274</s:v>
      </s:c>
      <s:c r="B200" s="2" t="n">
        <s:v>3</s:v>
      </s:c>
      <s:c r="C200" s="6" t="n">
        <s:v>9755</s:v>
      </s:c>
      <s:c r="D200" s="6" t="n">
        <s:v>21516</s:v>
      </s:c>
      <s:c r="E200" s="6" t="n">
        <s:v>10182</s:v>
      </s:c>
      <s:c r="F200" s="6" t="n">
        <s:v>10911</s:v>
      </s:c>
      <s:c r="G200" s="6" t="n">
        <s:v>22720</s:v>
      </s:c>
      <s:c r="H200" s="6" t="n">
        <s:v>24327</s:v>
      </s:c>
      <s:c r="I200" s="6" t="n">
        <s:v>5331</s:v>
      </s:c>
      <s:c r="J200" s="6" t="n">
        <s:f>IF(COUNT(C200:I200)=7,SUM(C200:I200),"")</s:f>
        <s:v>104742</s:v>
      </s:c>
    </s:row>
    <s:row r="201">
      <s:c r="A201" s="5" t="n">
        <s:v>46274</s:v>
      </s:c>
      <s:c r="B201" s="2" t="n">
        <s:v>4</s:v>
      </s:c>
      <s:c r="C201" s="6" t="n">
        <s:v>10081</s:v>
      </s:c>
      <s:c r="D201" s="6" t="n">
        <s:v>22046</s:v>
      </s:c>
      <s:c r="E201" s="6" t="n">
        <s:v>10134</s:v>
      </s:c>
      <s:c r="F201" s="6" t="n">
        <s:v>10375</s:v>
      </s:c>
      <s:c r="G201" s="6" t="n">
        <s:v>24654</s:v>
      </s:c>
      <s:c r="H201" s="6" t="n">
        <s:v>24662</s:v>
      </s:c>
      <s:c r="I201" s="6" t="n">
        <s:v>5246</s:v>
      </s:c>
      <s:c r="J201" s="6" t="n">
        <s:f>IF(COUNT(C201:I201)=7,SUM(C201:I201),"")</s:f>
        <s:v>107198</s:v>
      </s:c>
    </s:row>
    <s:row r="202">
      <s:c r="A202" s="5" t="n">
        <s:v>46274</s:v>
      </s:c>
      <s:c r="B202" s="2" t="n">
        <s:v>5</s:v>
      </s:c>
      <s:c r="C202" s="6" t="n">
        <s:v>10153</s:v>
      </s:c>
      <s:c r="D202" s="6" t="n">
        <s:v>22293</s:v>
      </s:c>
      <s:c r="E202" s="6" t="n">
        <s:v>10240</s:v>
      </s:c>
      <s:c r="F202" s="6" t="n">
        <s:v>11233</s:v>
      </s:c>
      <s:c r="G202" s="6" t="n">
        <s:v>26453</s:v>
      </s:c>
      <s:c r="H202" s="6" t="n">
        <s:v>24937</s:v>
      </s:c>
      <s:c r="I202" s="6" t="n">
        <s:v>5184</s:v>
      </s:c>
      <s:c r="J202" s="6" t="n">
        <s:f>IF(COUNT(C202:I202)=7,SUM(C202:I202),"")</s:f>
        <s:v>110493</s:v>
      </s:c>
    </s:row>
    <s:row r="203">
      <s:c r="A203" s="5" t="n">
        <s:v>46274</s:v>
      </s:c>
      <s:c r="B203" s="2" t="n">
        <s:v>6</s:v>
      </s:c>
      <s:c r="C203" s="6" t="n">
        <s:v>10164</s:v>
      </s:c>
      <s:c r="D203" s="6" t="n">
        <s:v>25436</s:v>
      </s:c>
      <s:c r="E203" s="6" t="n">
        <s:v>10916</s:v>
      </s:c>
      <s:c r="F203" s="6" t="n">
        <s:v>11470</s:v>
      </s:c>
      <s:c r="G203" s="6" t="n">
        <s:v>27712</s:v>
      </s:c>
      <s:c r="H203" s="6" t="n">
        <s:v>24508</s:v>
      </s:c>
      <s:c r="I203" s="6" t="n">
        <s:v>5197</s:v>
      </s:c>
      <s:c r="J203" s="6" t="n">
        <s:f>IF(COUNT(C203:I203)=7,SUM(C203:I203),"")</s:f>
        <s:v>115403</s:v>
      </s:c>
    </s:row>
    <s:row r="204">
      <s:c r="A204" s="5" t="n">
        <s:v>46274</s:v>
      </s:c>
      <s:c r="B204" s="2" t="n">
        <s:v>7</s:v>
      </s:c>
      <s:c r="C204" s="6" t="n">
        <s:v>10448</s:v>
      </s:c>
      <s:c r="D204" s="6" t="n">
        <s:v>26240</s:v>
      </s:c>
      <s:c r="E204" s="6" t="n">
        <s:v>11833</s:v>
      </s:c>
      <s:c r="F204" s="6" t="n">
        <s:v>12944</s:v>
      </s:c>
      <s:c r="G204" s="6" t="n">
        <s:v>28285</s:v>
      </s:c>
      <s:c r="H204" s="6" t="n">
        <s:v>24339</s:v>
      </s:c>
      <s:c r="I204" s="6" t="n">
        <s:v>5155</s:v>
      </s:c>
      <s:c r="J204" s="6" t="n">
        <s:f>IF(COUNT(C204:I204)=7,SUM(C204:I204),"")</s:f>
        <s:v>119244</s:v>
      </s:c>
    </s:row>
    <s:row r="205">
      <s:c r="A205" s="5" t="n">
        <s:v>46274</s:v>
      </s:c>
      <s:c r="B205" s="2" t="n">
        <s:v>8</s:v>
      </s:c>
      <s:c r="C205" s="6" t="n">
        <s:v>11132</s:v>
      </s:c>
      <s:c r="D205" s="6" t="n">
        <s:v>27316</s:v>
      </s:c>
      <s:c r="E205" s="6" t="n">
        <s:v>12030</s:v>
      </s:c>
      <s:c r="F205" s="6" t="n">
        <s:v>13678</s:v>
      </s:c>
      <s:c r="G205" s="6" t="n">
        <s:v>28835</s:v>
      </s:c>
      <s:c r="H205" s="6" t="n">
        <s:v>25018</s:v>
      </s:c>
      <s:c r="I205" s="6" t="n">
        <s:v>5185</s:v>
      </s:c>
      <s:c r="J205" s="6" t="n">
        <s:f>IF(COUNT(C205:I205)=7,SUM(C205:I205),"")</s:f>
        <s:v>123194</s:v>
      </s:c>
    </s:row>
    <s:row r="206">
      <s:c r="A206" s="5" t="n">
        <s:v>46274</s:v>
      </s:c>
      <s:c r="B206" s="2" t="n">
        <s:v>9</s:v>
      </s:c>
      <s:c r="C206" s="6" t="n">
        <s:v>11372</s:v>
      </s:c>
      <s:c r="D206" s="6" t="n">
        <s:v>27501</s:v>
      </s:c>
      <s:c r="E206" s="6" t="n">
        <s:v>12715</s:v>
      </s:c>
      <s:c r="F206" s="6" t="n">
        <s:v>14457</s:v>
      </s:c>
      <s:c r="G206" s="6" t="n">
        <s:v>28186</s:v>
      </s:c>
      <s:c r="H206" s="6" t="n">
        <s:v>25028</s:v>
      </s:c>
      <s:c r="I206" s="6" t="n">
        <s:v>5022</s:v>
      </s:c>
      <s:c r="J206" s="6" t="n">
        <s:f>IF(COUNT(C206:I206)=7,SUM(C206:I206),"")</s:f>
        <s:v>124281</s:v>
      </s:c>
    </s:row>
    <s:row r="207">
      <s:c r="A207" s="5" t="n">
        <s:v>46274</s:v>
      </s:c>
      <s:c r="B207" s="2" t="n">
        <s:v>10</s:v>
      </s:c>
      <s:c r="C207" s="6" t="n">
        <s:v>11397</s:v>
      </s:c>
      <s:c r="D207" s="6" t="n">
        <s:v>27568</s:v>
      </s:c>
      <s:c r="E207" s="6" t="n">
        <s:v>13257</s:v>
      </s:c>
      <s:c r="F207" s="6" t="n">
        <s:v>13986</s:v>
      </s:c>
      <s:c r="G207" s="6" t="n">
        <s:v>27687</s:v>
      </s:c>
      <s:c r="H207" s="6" t="n">
        <s:v>25045</s:v>
      </s:c>
      <s:c r="I207" s="6" t="n">
        <s:v>5292</s:v>
      </s:c>
      <s:c r="J207" s="6" t="n">
        <s:f>IF(COUNT(C207:I207)=7,SUM(C207:I207),"")</s:f>
        <s:v>124232</s:v>
      </s:c>
    </s:row>
    <s:row r="208">
      <s:c r="A208" s="5" t="n">
        <s:v>46274</s:v>
      </s:c>
      <s:c r="B208" s="2" t="n">
        <s:v>11</s:v>
      </s:c>
      <s:c r="C208" s="6" t="n">
        <s:v>11317</s:v>
      </s:c>
      <s:c r="D208" s="6" t="n">
        <s:v>27573</s:v>
      </s:c>
      <s:c r="E208" s="6" t="n">
        <s:v>13083</s:v>
      </s:c>
      <s:c r="F208" s="6" t="n">
        <s:v>13563</s:v>
      </s:c>
      <s:c r="G208" s="6" t="n">
        <s:v>27876</s:v>
      </s:c>
      <s:c r="H208" s="6" t="n">
        <s:v>24617</s:v>
      </s:c>
      <s:c r="I208" s="6" t="n">
        <s:v>5227</s:v>
      </s:c>
      <s:c r="J208" s="6" t="n">
        <s:f>IF(COUNT(C208:I208)=7,SUM(C208:I208),"")</s:f>
        <s:v>123256</s:v>
      </s:c>
    </s:row>
    <s:row r="209">
      <s:c r="A209" s="5" t="n">
        <s:v>46274</s:v>
      </s:c>
      <s:c r="B209" s="2" t="n">
        <s:v>12</s:v>
      </s:c>
      <s:c r="C209" s="6" t="n">
        <s:v>11318</s:v>
      </s:c>
      <s:c r="D209" s="6" t="n">
        <s:v>27520</s:v>
      </s:c>
      <s:c r="E209" s="6" t="n">
        <s:v>13434</s:v>
      </s:c>
      <s:c r="F209" s="6" t="n">
        <s:v>13399</s:v>
      </s:c>
      <s:c r="G209" s="6" t="n">
        <s:v>28051</s:v>
      </s:c>
      <s:c r="H209" s="6" t="n">
        <s:v>24705</s:v>
      </s:c>
      <s:c r="I209" s="6" t="n">
        <s:v>5365</s:v>
      </s:c>
      <s:c r="J209" s="6" t="n">
        <s:f>IF(COUNT(C209:I209)=7,SUM(C209:I209),"")</s:f>
        <s:v>123792</s:v>
      </s:c>
    </s:row>
    <s:row r="210">
      <s:c r="A210" s="5" t="n">
        <s:v>46274</s:v>
      </s:c>
      <s:c r="B210" s="2" t="n">
        <s:v>13</s:v>
      </s:c>
      <s:c r="C210" s="6" t="n">
        <s:v>11292</s:v>
      </s:c>
      <s:c r="D210" s="6" t="n">
        <s:v>27567</s:v>
      </s:c>
      <s:c r="E210" s="6" t="n">
        <s:v>13226</s:v>
      </s:c>
      <s:c r="F210" s="6" t="n">
        <s:v>13691</s:v>
      </s:c>
      <s:c r="G210" s="6" t="n">
        <s:v>28346</s:v>
      </s:c>
      <s:c r="H210" s="6" t="n">
        <s:v>24821</s:v>
      </s:c>
      <s:c r="I210" s="6" t="n">
        <s:v>5490</s:v>
      </s:c>
      <s:c r="J210" s="6" t="n">
        <s:f>IF(COUNT(C210:I210)=7,SUM(C210:I210),"")</s:f>
        <s:v>124433</s:v>
      </s:c>
    </s:row>
    <s:row r="211">
      <s:c r="A211" s="5" t="n">
        <s:v>46274</s:v>
      </s:c>
      <s:c r="B211" s="2" t="n">
        <s:v>14</s:v>
      </s:c>
      <s:c r="C211" s="6" t="n">
        <s:v>11208</s:v>
      </s:c>
      <s:c r="D211" s="6" t="n">
        <s:v>27723</s:v>
      </s:c>
      <s:c r="E211" s="6" t="n">
        <s:v>13200</s:v>
      </s:c>
      <s:c r="F211" s="6" t="n">
        <s:v>12871</s:v>
      </s:c>
      <s:c r="G211" s="6" t="n">
        <s:v>28635</s:v>
      </s:c>
      <s:c r="H211" s="6" t="n">
        <s:v>25036</s:v>
      </s:c>
      <s:c r="I211" s="6" t="n">
        <s:v>5464</s:v>
      </s:c>
      <s:c r="J211" s="6" t="n">
        <s:f>IF(COUNT(C211:I211)=7,SUM(C211:I211),"")</s:f>
        <s:v>124137</s:v>
      </s:c>
    </s:row>
    <s:row r="212">
      <s:c r="A212" s="5" t="n">
        <s:v>46274</s:v>
      </s:c>
      <s:c r="B212" s="2" t="n">
        <s:v>15</s:v>
      </s:c>
      <s:c r="C212" s="6" t="n">
        <s:v>11263</s:v>
      </s:c>
      <s:c r="D212" s="6" t="n">
        <s:v>27812</s:v>
      </s:c>
      <s:c r="E212" s="6" t="n">
        <s:v>13213</s:v>
      </s:c>
      <s:c r="F212" s="6" t="n">
        <s:v>12967</s:v>
      </s:c>
      <s:c r="G212" s="6" t="n">
        <s:v>28501</s:v>
      </s:c>
      <s:c r="H212" s="6" t="n">
        <s:v>24780</s:v>
      </s:c>
      <s:c r="I212" s="6" t="n">
        <s:v>5052</s:v>
      </s:c>
      <s:c r="J212" s="6" t="n">
        <s:f>IF(COUNT(C212:I212)=7,SUM(C212:I212),"")</s:f>
        <s:v>123588</s:v>
      </s:c>
    </s:row>
    <s:row r="213">
      <s:c r="A213" s="5" t="n">
        <s:v>46274</s:v>
      </s:c>
      <s:c r="B213" s="2" t="n">
        <s:v>16</s:v>
      </s:c>
      <s:c r="C213" s="6" t="n">
        <s:v>11207</s:v>
      </s:c>
      <s:c r="D213" s="6" t="n">
        <s:v>27836</s:v>
      </s:c>
      <s:c r="E213" s="6" t="n">
        <s:v>12449</s:v>
      </s:c>
      <s:c r="F213" s="6" t="n">
        <s:v>12844</s:v>
      </s:c>
      <s:c r="G213" s="6" t="n">
        <s:v>28711</s:v>
      </s:c>
      <s:c r="H213" s="6" t="n">
        <s:v>24969</s:v>
      </s:c>
      <s:c r="I213" s="6" t="n">
        <s:v>4983</s:v>
      </s:c>
      <s:c r="J213" s="6" t="n">
        <s:f>IF(COUNT(C213:I213)=7,SUM(C213:I213),"")</s:f>
        <s:v>122999</s:v>
      </s:c>
    </s:row>
    <s:row r="214">
      <s:c r="A214" s="5" t="n">
        <s:v>46274</s:v>
      </s:c>
      <s:c r="B214" s="2" t="n">
        <s:v>17</s:v>
      </s:c>
      <s:c r="C214" s="6" t="n">
        <s:v>11195</s:v>
      </s:c>
      <s:c r="D214" s="6" t="n">
        <s:v>27653</s:v>
      </s:c>
      <s:c r="E214" s="6" t="n">
        <s:v>12154</s:v>
      </s:c>
      <s:c r="F214" s="6" t="n">
        <s:v>12733</s:v>
      </s:c>
      <s:c r="G214" s="6" t="n">
        <s:v>28774</s:v>
      </s:c>
      <s:c r="H214" s="6" t="n">
        <s:v>24818</s:v>
      </s:c>
      <s:c r="I214" s="6" t="n">
        <s:v>4682</s:v>
      </s:c>
      <s:c r="J214" s="6" t="n">
        <s:f>IF(COUNT(C214:I214)=7,SUM(C214:I214),"")</s:f>
        <s:v>122009</s:v>
      </s:c>
    </s:row>
    <s:row r="215">
      <s:c r="A215" s="5" t="n">
        <s:v>46274</s:v>
      </s:c>
      <s:c r="B215" s="2" t="n">
        <s:v>18</s:v>
      </s:c>
      <s:c r="C215" s="6" t="n">
        <s:v>11173</s:v>
      </s:c>
      <s:c r="D215" s="6" t="n">
        <s:v>27648</s:v>
      </s:c>
      <s:c r="E215" s="6" t="n">
        <s:v>12838</s:v>
      </s:c>
      <s:c r="F215" s="6" t="n">
        <s:v>12588</s:v>
      </s:c>
      <s:c r="G215" s="6" t="n">
        <s:v>28780</s:v>
      </s:c>
      <s:c r="H215" s="6" t="n">
        <s:v>24134</s:v>
      </s:c>
      <s:c r="I215" s="6" t="n">
        <s:v>4620</s:v>
      </s:c>
      <s:c r="J215" s="6" t="n">
        <s:f>IF(COUNT(C215:I215)=7,SUM(C215:I215),"")</s:f>
        <s:v>121781</s:v>
      </s:c>
    </s:row>
    <s:row r="216">
      <s:c r="A216" s="5" t="n">
        <s:v>46274</s:v>
      </s:c>
      <s:c r="B216" s="2" t="n">
        <s:v>19</s:v>
      </s:c>
      <s:c r="C216" s="6" t="n">
        <s:v>11168</s:v>
      </s:c>
      <s:c r="D216" s="6" t="n">
        <s:v>27851</s:v>
      </s:c>
      <s:c r="E216" s="6" t="n">
        <s:v>13789</s:v>
      </s:c>
      <s:c r="F216" s="6" t="n">
        <s:v>12667</s:v>
      </s:c>
      <s:c r="G216" s="6" t="n">
        <s:v>27791</s:v>
      </s:c>
      <s:c r="H216" s="6" t="n">
        <s:v>23676</s:v>
      </s:c>
      <s:c r="I216" s="6" t="n">
        <s:v>4509</s:v>
      </s:c>
      <s:c r="J216" s="6" t="n">
        <s:f>IF(COUNT(C216:I216)=7,SUM(C216:I216),"")</s:f>
        <s:v>121451</s:v>
      </s:c>
    </s:row>
    <s:row r="217">
      <s:c r="A217" s="5" t="n">
        <s:v>46274</s:v>
      </s:c>
      <s:c r="B217" s="2" t="n">
        <s:v>20</s:v>
      </s:c>
      <s:c r="C217" s="6" t="n">
        <s:v>11233</s:v>
      </s:c>
      <s:c r="D217" s="6" t="n">
        <s:v>27050</s:v>
      </s:c>
      <s:c r="E217" s="6" t="n">
        <s:v>13107</s:v>
      </s:c>
      <s:c r="F217" s="6" t="n">
        <s:v>12314</s:v>
      </s:c>
      <s:c r="G217" s="6" t="n">
        <s:v>27117</s:v>
      </s:c>
      <s:c r="H217" s="6" t="n">
        <s:v>23090</s:v>
      </s:c>
      <s:c r="I217" s="6" t="n">
        <s:v>4519</s:v>
      </s:c>
      <s:c r="J217" s="6" t="n">
        <s:f>IF(COUNT(C217:I217)=7,SUM(C217:I217),"")</s:f>
        <s:v>118430</s:v>
      </s:c>
    </s:row>
    <s:row r="218">
      <s:c r="A218" s="5" t="n">
        <s:v>46274</s:v>
      </s:c>
      <s:c r="B218" s="2" t="n">
        <s:v>21</s:v>
      </s:c>
      <s:c r="C218" s="6" t="n">
        <s:v>11238</s:v>
      </s:c>
      <s:c r="D218" s="6" t="n">
        <s:v>25878</s:v>
      </s:c>
      <s:c r="E218" s="6" t="n">
        <s:v>12633</s:v>
      </s:c>
      <s:c r="F218" s="6" t="n">
        <s:v>11227</s:v>
      </s:c>
      <s:c r="G218" s="6" t="n">
        <s:v>25987</s:v>
      </s:c>
      <s:c r="H218" s="6" t="n">
        <s:v>23231</s:v>
      </s:c>
      <s:c r="I218" s="6" t="n">
        <s:v>4381</s:v>
      </s:c>
      <s:c r="J218" s="6" t="n">
        <s:f>IF(COUNT(C218:I218)=7,SUM(C218:I218),"")</s:f>
        <s:v>114575</s:v>
      </s:c>
    </s:row>
    <s:row r="219">
      <s:c r="A219" s="5" t="n">
        <s:v>46274</s:v>
      </s:c>
      <s:c r="B219" s="2" t="n">
        <s:v>22</s:v>
      </s:c>
      <s:c r="C219" s="6" t="n">
        <s:v>10989</s:v>
      </s:c>
      <s:c r="D219" s="6" t="n">
        <s:v>24383</s:v>
      </s:c>
      <s:c r="E219" s="6" t="n">
        <s:v>11378</s:v>
      </s:c>
      <s:c r="F219" s="6" t="n">
        <s:v>11223</s:v>
      </s:c>
      <s:c r="G219" s="6" t="n">
        <s:v>24169</s:v>
      </s:c>
      <s:c r="H219" s="6" t="n">
        <s:v>22903</s:v>
      </s:c>
      <s:c r="I219" s="6" t="n">
        <s:v>4671</s:v>
      </s:c>
      <s:c r="J219" s="6" t="n">
        <s:f>IF(COUNT(C219:I219)=7,SUM(C219:I219),"")</s:f>
        <s:v>109716</s:v>
      </s:c>
    </s:row>
    <s:row r="220">
      <s:c r="A220" s="5" t="n">
        <s:v>46274</s:v>
      </s:c>
      <s:c r="B220" s="2" t="n">
        <s:v>23</s:v>
      </s:c>
      <s:c r="C220" s="6" t="n">
        <s:v>10695</s:v>
      </s:c>
      <s:c r="D220" s="6" t="n">
        <s:v>22775</s:v>
      </s:c>
      <s:c r="E220" s="6" t="n">
        <s:v>10601</s:v>
      </s:c>
      <s:c r="F220" s="6" t="n">
        <s:v>10846</s:v>
      </s:c>
      <s:c r="G220" s="6" t="n">
        <s:v>23422</s:v>
      </s:c>
      <s:c r="H220" s="6" t="n">
        <s:v>22991</s:v>
      </s:c>
      <s:c r="I220" s="6" t="n">
        <s:v>4866</s:v>
      </s:c>
      <s:c r="J220" s="6" t="n">
        <s:f>IF(COUNT(C220:I220)=7,SUM(C220:I220),"")</s:f>
        <s:v>106196</s:v>
      </s:c>
    </s:row>
    <s:row r="221">
      <s:c r="A221" s="5" t="n">
        <s:v>46275</s:v>
      </s:c>
      <s:c r="B221" s="2" t="n">
        <s:v>0</s:v>
      </s:c>
      <s:c r="C221" s="6" t="n">
        <s:v>10216</s:v>
      </s:c>
      <s:c r="D221" s="6" t="n">
        <s:v>21758</s:v>
      </s:c>
      <s:c r="E221" s="6" t="n">
        <s:v>10201</s:v>
      </s:c>
      <s:c r="F221" s="6" t="n">
        <s:v>10609</s:v>
      </s:c>
      <s:c r="G221" s="6" t="n">
        <s:v>22791</s:v>
      </s:c>
      <s:c r="H221" s="6" t="n">
        <s:v>23050</s:v>
      </s:c>
      <s:c r="I221" s="6" t="n">
        <s:v>5032</s:v>
      </s:c>
      <s:c r="J221" s="6" t="n">
        <s:f>IF(COUNT(C221:I221)=7,SUM(C221:I221),"")</s:f>
        <s:v>103657</s:v>
      </s:c>
    </s:row>
    <s:row r="222">
      <s:c r="A222" s="5" t="n">
        <s:v>46275</s:v>
      </s:c>
      <s:c r="B222" s="2" t="n">
        <s:v>1</s:v>
      </s:c>
      <s:c r="C222" s="6" t="n">
        <s:v>10134</s:v>
      </s:c>
      <s:c r="D222" s="6" t="n">
        <s:v>21444</s:v>
      </s:c>
      <s:c r="E222" s="6" t="n">
        <s:v>9860</s:v>
      </s:c>
      <s:c r="F222" s="6" t="n">
        <s:v>9783</s:v>
      </s:c>
      <s:c r="G222" s="6" t="n">
        <s:v>22893</s:v>
      </s:c>
      <s:c r="H222" s="6" t="n">
        <s:v>23493</s:v>
      </s:c>
      <s:c r="I222" s="6" t="n">
        <s:v>5139</s:v>
      </s:c>
      <s:c r="J222" s="6" t="n">
        <s:f>IF(COUNT(C222:I222)=7,SUM(C222:I222),"")</s:f>
        <s:v>102746</s:v>
      </s:c>
    </s:row>
    <s:row r="223">
      <s:c r="A223" s="5" t="n">
        <s:v>46275</s:v>
      </s:c>
      <s:c r="B223" s="2" t="n">
        <s:v>2</s:v>
      </s:c>
      <s:c r="C223" s="6" t="n">
        <s:v>10057</s:v>
      </s:c>
      <s:c r="D223" s="6" t="n">
        <s:v>21453</s:v>
      </s:c>
      <s:c r="E223" s="6" t="n">
        <s:v>9942</s:v>
      </s:c>
      <s:c r="F223" s="6" t="n">
        <s:v>10271</s:v>
      </s:c>
      <s:c r="G223" s="6" t="n">
        <s:v>22282</s:v>
      </s:c>
      <s:c r="H223" s="6" t="n">
        <s:v>23811</s:v>
      </s:c>
      <s:c r="I223" s="6" t="n">
        <s:v>5270</s:v>
      </s:c>
      <s:c r="J223" s="6" t="n">
        <s:f>IF(COUNT(C223:I223)=7,SUM(C223:I223),"")</s:f>
        <s:v>103086</s:v>
      </s:c>
    </s:row>
    <s:row r="224">
      <s:c r="A224" s="5" t="n">
        <s:v>46275</s:v>
      </s:c>
      <s:c r="B224" s="2" t="n">
        <s:v>3</s:v>
      </s:c>
      <s:c r="C224" s="6" t="n">
        <s:v>10074</s:v>
      </s:c>
      <s:c r="D224" s="6" t="n">
        <s:v>21337</s:v>
      </s:c>
      <s:c r="E224" s="6" t="n">
        <s:v>9772</s:v>
      </s:c>
      <s:c r="F224" s="6" t="n">
        <s:v>10510</s:v>
      </s:c>
      <s:c r="G224" s="6" t="n">
        <s:v>22245</s:v>
      </s:c>
      <s:c r="H224" s="6" t="n">
        <s:v>24360</s:v>
      </s:c>
      <s:c r="I224" s="6" t="n">
        <s:v>5157</s:v>
      </s:c>
      <s:c r="J224" s="6" t="n">
        <s:f>IF(COUNT(C224:I224)=7,SUM(C224:I224),"")</s:f>
        <s:v>103455</s:v>
      </s:c>
    </s:row>
    <s:row r="225">
      <s:c r="A225" s="5" t="n">
        <s:v>46275</s:v>
      </s:c>
      <s:c r="B225" s="2" t="n">
        <s:v>4</s:v>
      </s:c>
      <s:c r="C225" s="6" t="n">
        <s:v>10087</s:v>
      </s:c>
      <s:c r="D225" s="6" t="n">
        <s:v>21485</s:v>
      </s:c>
      <s:c r="E225" s="6" t="n">
        <s:v>9811</s:v>
      </s:c>
      <s:c r="F225" s="6" t="n">
        <s:v>10601</s:v>
      </s:c>
      <s:c r="G225" s="6" t="n">
        <s:v>23892</s:v>
      </s:c>
      <s:c r="H225" s="6" t="n">
        <s:v>24834</s:v>
      </s:c>
      <s:c r="I225" s="6" t="n">
        <s:v>5187</s:v>
      </s:c>
      <s:c r="J225" s="6" t="n">
        <s:f>IF(COUNT(C225:I225)=7,SUM(C225:I225),"")</s:f>
        <s:v>105897</s:v>
      </s:c>
    </s:row>
    <s:row r="226">
      <s:c r="A226" s="5" t="n">
        <s:v>46275</s:v>
      </s:c>
      <s:c r="B226" s="2" t="n">
        <s:v>5</s:v>
      </s:c>
      <s:c r="C226" s="6" t="n">
        <s:v>10255</s:v>
      </s:c>
      <s:c r="D226" s="6" t="n">
        <s:v>22426</s:v>
      </s:c>
      <s:c r="E226" s="6" t="n">
        <s:v>10030</s:v>
      </s:c>
      <s:c r="F226" s="6" t="n">
        <s:v>10429</s:v>
      </s:c>
      <s:c r="G226" s="6" t="n">
        <s:v>26065</s:v>
      </s:c>
      <s:c r="H226" s="6" t="n">
        <s:v>24625</s:v>
      </s:c>
      <s:c r="I226" s="6" t="n">
        <s:v>5158</s:v>
      </s:c>
      <s:c r="J226" s="6" t="n">
        <s:f>IF(COUNT(C226:I226)=7,SUM(C226:I226),"")</s:f>
        <s:v>108988</s:v>
      </s:c>
    </s:row>
    <s:row r="227">
      <s:c r="A227" s="5" t="n">
        <s:v>46275</s:v>
      </s:c>
      <s:c r="B227" s="2" t="n">
        <s:v>6</s:v>
      </s:c>
      <s:c r="C227" s="6" t="n">
        <s:v>10565</s:v>
      </s:c>
      <s:c r="D227" s="6" t="n">
        <s:v>24538</s:v>
      </s:c>
      <s:c r="E227" s="6" t="n">
        <s:v>10824</s:v>
      </s:c>
      <s:c r="F227" s="6" t="n">
        <s:v>10913</s:v>
      </s:c>
      <s:c r="G227" s="6" t="n">
        <s:v>27670</s:v>
      </s:c>
      <s:c r="H227" s="6" t="n">
        <s:v>24668</s:v>
      </s:c>
      <s:c r="I227" s="6" t="n">
        <s:v>5153</s:v>
      </s:c>
      <s:c r="J227" s="6" t="n">
        <s:f>IF(COUNT(C227:I227)=7,SUM(C227:I227),"")</s:f>
        <s:v>114331</s:v>
      </s:c>
    </s:row>
    <s:row r="228">
      <s:c r="A228" s="5" t="n">
        <s:v>46275</s:v>
      </s:c>
      <s:c r="B228" s="2" t="n">
        <s:v>7</s:v>
      </s:c>
      <s:c r="C228" s="6" t="n">
        <s:v>10815</s:v>
      </s:c>
      <s:c r="D228" s="6" t="n">
        <s:v>25484</s:v>
      </s:c>
      <s:c r="E228" s="6" t="n">
        <s:v>11547</s:v>
      </s:c>
      <s:c r="F228" s="6" t="n">
        <s:v>11655</s:v>
      </s:c>
      <s:c r="G228" s="6" t="n">
        <s:v>28786</s:v>
      </s:c>
      <s:c r="H228" s="6" t="n">
        <s:v>24287</s:v>
      </s:c>
      <s:c r="I228" s="6" t="n">
        <s:v>5205</s:v>
      </s:c>
      <s:c r="J228" s="6" t="n">
        <s:f>IF(COUNT(C228:I228)=7,SUM(C228:I228),"")</s:f>
        <s:v>117779</s:v>
      </s:c>
    </s:row>
    <s:row r="229">
      <s:c r="A229" s="5" t="n">
        <s:v>46275</s:v>
      </s:c>
      <s:c r="B229" s="2" t="n">
        <s:v>8</s:v>
      </s:c>
      <s:c r="C229" s="6" t="n">
        <s:v>11025</s:v>
      </s:c>
      <s:c r="D229" s="6" t="n">
        <s:v>26893</s:v>
      </s:c>
      <s:c r="E229" s="6" t="n">
        <s:v>12614</s:v>
      </s:c>
      <s:c r="F229" s="6" t="n">
        <s:v>12983</s:v>
      </s:c>
      <s:c r="G229" s="6" t="n">
        <s:v>28952</s:v>
      </s:c>
      <s:c r="H229" s="6" t="n">
        <s:v>25272</s:v>
      </s:c>
      <s:c r="I229" s="6" t="n">
        <s:v>5032</s:v>
      </s:c>
      <s:c r="J229" s="6" t="n">
        <s:f>IF(COUNT(C229:I229)=7,SUM(C229:I229),"")</s:f>
        <s:v>122771</s:v>
      </s:c>
    </s:row>
    <s:row r="230">
      <s:c r="A230" s="5" t="n">
        <s:v>46275</s:v>
      </s:c>
      <s:c r="B230" s="2" t="n">
        <s:v>9</s:v>
      </s:c>
      <s:c r="C230" s="6" t="n">
        <s:v>11125</s:v>
      </s:c>
      <s:c r="D230" s="6" t="n">
        <s:v>27009</s:v>
      </s:c>
      <s:c r="E230" s="6" t="n">
        <s:v>12869</s:v>
      </s:c>
      <s:c r="F230" s="6" t="n">
        <s:v>13917</s:v>
      </s:c>
      <s:c r="G230" s="6" t="n">
        <s:v>28826</s:v>
      </s:c>
      <s:c r="H230" s="6" t="n">
        <s:v>25051</s:v>
      </s:c>
      <s:c r="I230" s="6" t="n">
        <s:v>5111</s:v>
      </s:c>
      <s:c r="J230" s="6" t="n">
        <s:f>IF(COUNT(C230:I230)=7,SUM(C230:I230),"")</s:f>
        <s:v>123908</s:v>
      </s:c>
    </s:row>
    <s:row r="231">
      <s:c r="A231" s="5" t="n">
        <s:v>46275</s:v>
      </s:c>
      <s:c r="B231" s="2" t="n">
        <s:v>10</s:v>
      </s:c>
      <s:c r="C231" s="6" t="n">
        <s:v>11122</s:v>
      </s:c>
      <s:c r="D231" s="6" t="n">
        <s:v>27053</s:v>
      </s:c>
      <s:c r="E231" s="6" t="n">
        <s:v>13086</s:v>
      </s:c>
      <s:c r="F231" s="6" t="n">
        <s:v>13684</s:v>
      </s:c>
      <s:c r="G231" s="6" t="n">
        <s:v>28775</s:v>
      </s:c>
      <s:c r="H231" s="6" t="n">
        <s:v>24934</s:v>
      </s:c>
      <s:c r="I231" s="6" t="n">
        <s:v>5103</s:v>
      </s:c>
      <s:c r="J231" s="6" t="n">
        <s:f>IF(COUNT(C231:I231)=7,SUM(C231:I231),"")</s:f>
        <s:v>123757</s:v>
      </s:c>
    </s:row>
    <s:row r="232">
      <s:c r="A232" s="5" t="n">
        <s:v>46275</s:v>
      </s:c>
      <s:c r="B232" s="2" t="n">
        <s:v>11</s:v>
      </s:c>
      <s:c r="C232" s="6" t="n">
        <s:v>11078</s:v>
      </s:c>
      <s:c r="D232" s="6" t="n">
        <s:v>27034</s:v>
      </s:c>
      <s:c r="E232" s="6" t="n">
        <s:v>13084</s:v>
      </s:c>
      <s:c r="F232" s="6" t="n">
        <s:v>13370</s:v>
      </s:c>
      <s:c r="G232" s="6" t="n">
        <s:v>28665</s:v>
      </s:c>
      <s:c r="H232" s="6" t="n">
        <s:v>24485</s:v>
      </s:c>
      <s:c r="I232" s="6" t="n">
        <s:v>5072</s:v>
      </s:c>
      <s:c r="J232" s="6" t="n">
        <s:f>IF(COUNT(C232:I232)=7,SUM(C232:I232),"")</s:f>
        <s:v>122788</s:v>
      </s:c>
    </s:row>
    <s:row r="233">
      <s:c r="A233" s="5" t="n">
        <s:v>46275</s:v>
      </s:c>
      <s:c r="B233" s="2" t="n">
        <s:v>12</s:v>
      </s:c>
      <s:c r="C233" s="6" t="n">
        <s:v>11074</s:v>
      </s:c>
      <s:c r="D233" s="6" t="n">
        <s:v>26500</s:v>
      </s:c>
      <s:c r="E233" s="6" t="n">
        <s:v>13303</s:v>
      </s:c>
      <s:c r="F233" s="6" t="n">
        <s:v>13963</s:v>
      </s:c>
      <s:c r="G233" s="6" t="n">
        <s:v>28847</s:v>
      </s:c>
      <s:c r="H233" s="6" t="n">
        <s:v>24584</s:v>
      </s:c>
      <s:c r="I233" s="6" t="n">
        <s:v>5359</s:v>
      </s:c>
      <s:c r="J233" s="6" t="n">
        <s:f>IF(COUNT(C233:I233)=7,SUM(C233:I233),"")</s:f>
        <s:v>123630</s:v>
      </s:c>
    </s:row>
    <s:row r="234">
      <s:c r="A234" s="5" t="n">
        <s:v>46275</s:v>
      </s:c>
      <s:c r="B234" s="2" t="n">
        <s:v>13</s:v>
      </s:c>
      <s:c r="C234" s="6" t="n">
        <s:v>11190</s:v>
      </s:c>
      <s:c r="D234" s="6" t="n">
        <s:v>26977</s:v>
      </s:c>
      <s:c r="E234" s="6" t="n">
        <s:v>13593</s:v>
      </s:c>
      <s:c r="F234" s="6" t="n">
        <s:v>13713</s:v>
      </s:c>
      <s:c r="G234" s="6" t="n">
        <s:v>28963</s:v>
      </s:c>
      <s:c r="H234" s="6" t="n">
        <s:v>24828</s:v>
      </s:c>
      <s:c r="I234" s="6" t="n">
        <s:v>5393</s:v>
      </s:c>
      <s:c r="J234" s="6" t="n">
        <s:f>IF(COUNT(C234:I234)=7,SUM(C234:I234),"")</s:f>
        <s:v>124657</s:v>
      </s:c>
    </s:row>
    <s:row r="235">
      <s:c r="A235" s="5" t="n">
        <s:v>46275</s:v>
      </s:c>
      <s:c r="B235" s="2" t="n">
        <s:v>14</s:v>
      </s:c>
      <s:c r="C235" s="6" t="n">
        <s:v>11207</s:v>
      </s:c>
      <s:c r="D235" s="6" t="n">
        <s:v>27268</s:v>
      </s:c>
      <s:c r="E235" s="6" t="n">
        <s:v>13471</s:v>
      </s:c>
      <s:c r="F235" s="6" t="n">
        <s:v>13701</s:v>
      </s:c>
      <s:c r="G235" s="6" t="n">
        <s:v>29063</s:v>
      </s:c>
      <s:c r="H235" s="6" t="n">
        <s:v>24945</s:v>
      </s:c>
      <s:c r="I235" s="6" t="n">
        <s:v>5236</s:v>
      </s:c>
      <s:c r="J235" s="6" t="n">
        <s:f>IF(COUNT(C235:I235)=7,SUM(C235:I235),"")</s:f>
        <s:v>124891</s:v>
      </s:c>
    </s:row>
    <s:row r="236">
      <s:c r="A236" s="5" t="n">
        <s:v>46275</s:v>
      </s:c>
      <s:c r="B236" s="2" t="n">
        <s:v>15</s:v>
      </s:c>
      <s:c r="C236" s="6" t="n">
        <s:v>11165</s:v>
      </s:c>
      <s:c r="D236" s="6" t="n">
        <s:v>27361</s:v>
      </s:c>
      <s:c r="E236" s="6" t="n">
        <s:v>13054</s:v>
      </s:c>
      <s:c r="F236" s="6" t="n">
        <s:v>13341</s:v>
      </s:c>
      <s:c r="G236" s="6" t="n">
        <s:v>29259</s:v>
      </s:c>
      <s:c r="H236" s="6" t="n">
        <s:v>24801</s:v>
      </s:c>
      <s:c r="I236" s="6" t="n">
        <s:v>5023</s:v>
      </s:c>
      <s:c r="J236" s="6" t="n">
        <s:f>IF(COUNT(C236:I236)=7,SUM(C236:I236),"")</s:f>
        <s:v>124004</s:v>
      </s:c>
    </s:row>
    <s:row r="237">
      <s:c r="A237" s="5" t="n">
        <s:v>46275</s:v>
      </s:c>
      <s:c r="B237" s="2" t="n">
        <s:v>16</s:v>
      </s:c>
      <s:c r="C237" s="6" t="n">
        <s:v>11055</s:v>
      </s:c>
      <s:c r="D237" s="6" t="n">
        <s:v>27540</s:v>
      </s:c>
      <s:c r="E237" s="6" t="n">
        <s:v>12776</s:v>
      </s:c>
      <s:c r="F237" s="6" t="n">
        <s:v>13027</s:v>
      </s:c>
      <s:c r="G237" s="6" t="n">
        <s:v>29404</s:v>
      </s:c>
      <s:c r="H237" s="6" t="n">
        <s:v>24891</s:v>
      </s:c>
      <s:c r="I237" s="6" t="n">
        <s:v>4801</s:v>
      </s:c>
      <s:c r="J237" s="6" t="n">
        <s:f>IF(COUNT(C237:I237)=7,SUM(C237:I237),"")</s:f>
        <s:v>123494</s:v>
      </s:c>
    </s:row>
    <s:row r="238">
      <s:c r="A238" s="5" t="n">
        <s:v>46275</s:v>
      </s:c>
      <s:c r="B238" s="2" t="n">
        <s:v>17</s:v>
      </s:c>
      <s:c r="C238" s="6" t="n">
        <s:v>11041</s:v>
      </s:c>
      <s:c r="D238" s="6" t="n">
        <s:v>27145</s:v>
      </s:c>
      <s:c r="E238" s="6" t="n">
        <s:v>12355</s:v>
      </s:c>
      <s:c r="F238" s="6" t="n">
        <s:v>12553</s:v>
      </s:c>
      <s:c r="G238" s="6" t="n">
        <s:v>29648</s:v>
      </s:c>
      <s:c r="H238" s="6" t="n">
        <s:v>24998</s:v>
      </s:c>
      <s:c r="I238" s="6" t="n">
        <s:v>4609</s:v>
      </s:c>
      <s:c r="J238" s="6" t="n">
        <s:f>IF(COUNT(C238:I238)=7,SUM(C238:I238),"")</s:f>
        <s:v>122349</s:v>
      </s:c>
    </s:row>
    <s:row r="239">
      <s:c r="A239" s="5" t="n">
        <s:v>46275</s:v>
      </s:c>
      <s:c r="B239" s="2" t="n">
        <s:v>18</s:v>
      </s:c>
      <s:c r="C239" s="6" t="n">
        <s:v>11174</s:v>
      </s:c>
      <s:c r="D239" s="6" t="n">
        <s:v>26952</s:v>
      </s:c>
      <s:c r="E239" s="6" t="n">
        <s:v>12978</s:v>
      </s:c>
      <s:c r="F239" s="6" t="n">
        <s:v>12887</s:v>
      </s:c>
      <s:c r="G239" s="6" t="n">
        <s:v>29693</s:v>
      </s:c>
      <s:c r="H239" s="6" t="n">
        <s:v>24416</s:v>
      </s:c>
      <s:c r="I239" s="6" t="n">
        <s:v>4329</s:v>
      </s:c>
      <s:c r="J239" s="6" t="n">
        <s:f>IF(COUNT(C239:I239)=7,SUM(C239:I239),"")</s:f>
        <s:v>122429</s:v>
      </s:c>
    </s:row>
    <s:row r="240">
      <s:c r="A240" s="5" t="n">
        <s:v>46275</s:v>
      </s:c>
      <s:c r="B240" s="2" t="n">
        <s:v>19</s:v>
      </s:c>
      <s:c r="C240" s="6" t="n">
        <s:v>11164</s:v>
      </s:c>
      <s:c r="D240" s="6" t="n">
        <s:v>27240</s:v>
      </s:c>
      <s:c r="E240" s="6" t="n">
        <s:v>12990</s:v>
      </s:c>
      <s:c r="F240" s="6" t="n">
        <s:v>12672</s:v>
      </s:c>
      <s:c r="G240" s="6" t="n">
        <s:v>29093</s:v>
      </s:c>
      <s:c r="H240" s="6" t="n">
        <s:v>23538</s:v>
      </s:c>
      <s:c r="I240" s="6" t="n">
        <s:v>4320</s:v>
      </s:c>
      <s:c r="J240" s="6" t="n">
        <s:f>IF(COUNT(C240:I240)=7,SUM(C240:I240),"")</s:f>
        <s:v>121017</s:v>
      </s:c>
    </s:row>
    <s:row r="241">
      <s:c r="A241" s="5" t="n">
        <s:v>46275</s:v>
      </s:c>
      <s:c r="B241" s="2" t="n">
        <s:v>20</s:v>
      </s:c>
      <s:c r="C241" s="6" t="n">
        <s:v>11171</s:v>
      </s:c>
      <s:c r="D241" s="6" t="n">
        <s:v>26421</s:v>
      </s:c>
      <s:c r="E241" s="6" t="n">
        <s:v>12661</s:v>
      </s:c>
      <s:c r="F241" s="6" t="n">
        <s:v>12825</s:v>
      </s:c>
      <s:c r="G241" s="6" t="n">
        <s:v>27728</s:v>
      </s:c>
      <s:c r="H241" s="6" t="n">
        <s:v>23297</s:v>
      </s:c>
      <s:c r="I241" s="6" t="n">
        <s:v>4364</s:v>
      </s:c>
      <s:c r="J241" s="6" t="n">
        <s:f>IF(COUNT(C241:I241)=7,SUM(C241:I241),"")</s:f>
        <s:v>118467</s:v>
      </s:c>
    </s:row>
    <s:row r="242">
      <s:c r="A242" s="5" t="n">
        <s:v>46275</s:v>
      </s:c>
      <s:c r="B242" s="2" t="n">
        <s:v>21</s:v>
      </s:c>
      <s:c r="C242" s="6" t="n">
        <s:v>11082</s:v>
      </s:c>
      <s:c r="D242" s="6" t="n">
        <s:v>26336</s:v>
      </s:c>
      <s:c r="E242" s="6" t="n">
        <s:v>11931</s:v>
      </s:c>
      <s:c r="F242" s="6" t="n">
        <s:v>11502</s:v>
      </s:c>
      <s:c r="G242" s="6" t="n">
        <s:v>26122</s:v>
      </s:c>
      <s:c r="H242" s="6" t="n">
        <s:v>23153</s:v>
      </s:c>
      <s:c r="I242" s="6" t="n">
        <s:v>4312</s:v>
      </s:c>
      <s:c r="J242" s="6" t="n">
        <s:f>IF(COUNT(C242:I242)=7,SUM(C242:I242),"")</s:f>
        <s:v>114438</s:v>
      </s:c>
    </s:row>
    <s:row r="243">
      <s:c r="A243" s="5" t="n">
        <s:v>46275</s:v>
      </s:c>
      <s:c r="B243" s="2" t="n">
        <s:v>22</s:v>
      </s:c>
      <s:c r="C243" s="6" t="n">
        <s:v>10690</s:v>
      </s:c>
      <s:c r="D243" s="6" t="n">
        <s:v>24534</s:v>
      </s:c>
      <s:c r="E243" s="6" t="n">
        <s:v>11022</s:v>
      </s:c>
      <s:c r="F243" s="6" t="n">
        <s:v>10878</s:v>
      </s:c>
      <s:c r="G243" s="6" t="n">
        <s:v>24577</s:v>
      </s:c>
      <s:c r="H243" s="6" t="n">
        <s:v>23146</s:v>
      </s:c>
      <s:c r="I243" s="6" t="n">
        <s:v>4390</s:v>
      </s:c>
      <s:c r="J243" s="6" t="n">
        <s:f>IF(COUNT(C243:I243)=7,SUM(C243:I243),"")</s:f>
        <s:v>109237</s:v>
      </s:c>
    </s:row>
    <s:row r="244">
      <s:c r="A244" s="5" t="n">
        <s:v>46275</s:v>
      </s:c>
      <s:c r="B244" s="2" t="n">
        <s:v>23</s:v>
      </s:c>
      <s:c r="C244" s="6" t="n">
        <s:v>10340</s:v>
      </s:c>
      <s:c r="D244" s="6" t="n">
        <s:v>22975</s:v>
      </s:c>
      <s:c r="E244" s="6" t="n">
        <s:v>10132</s:v>
      </s:c>
      <s:c r="F244" s="6" t="n">
        <s:v>10373</s:v>
      </s:c>
      <s:c r="G244" s="6" t="n">
        <s:v>24116</s:v>
      </s:c>
      <s:c r="H244" s="6" t="n">
        <s:v>22845</s:v>
      </s:c>
      <s:c r="I244" s="6" t="n">
        <s:v>4659</s:v>
      </s:c>
      <s:c r="J244" s="6" t="n">
        <s:f>IF(COUNT(C244:I244)=7,SUM(C244:I244),"")</s:f>
        <s:v>105440</s:v>
      </s:c>
    </s:row>
    <s:row r="245">
      <s:c r="A245" s="5" t="n">
        <s:v>46276</s:v>
      </s:c>
      <s:c r="B245" s="2" t="n">
        <s:v>0</s:v>
      </s:c>
      <s:c r="C245" s="6" t="n">
        <s:v>10076</s:v>
      </s:c>
      <s:c r="D245" s="6" t="n">
        <s:v>21900</s:v>
      </s:c>
      <s:c r="E245" s="6" t="n">
        <s:v>10079</s:v>
      </s:c>
      <s:c r="F245" s="6" t="n">
        <s:v>10793</s:v>
      </s:c>
      <s:c r="G245" s="6" t="n">
        <s:v>23365</s:v>
      </s:c>
      <s:c r="H245" s="6" t="n">
        <s:v>23173</s:v>
      </s:c>
      <s:c r="I245" s="6" t="n">
        <s:v>4918</s:v>
      </s:c>
      <s:c r="J245" s="6" t="n">
        <s:f>IF(COUNT(C245:I245)=7,SUM(C245:I245),"")</s:f>
        <s:v>104304</s:v>
      </s:c>
    </s:row>
    <s:row r="246">
      <s:c r="A246" s="5" t="n">
        <s:v>46276</s:v>
      </s:c>
      <s:c r="B246" s="2" t="n">
        <s:v>1</s:v>
      </s:c>
      <s:c r="C246" s="6" t="n">
        <s:v>9937</s:v>
      </s:c>
      <s:c r="D246" s="6" t="n">
        <s:v>21724</s:v>
      </s:c>
      <s:c r="E246" s="6" t="n">
        <s:v>9975</s:v>
      </s:c>
      <s:c r="F246" s="6" t="n">
        <s:v>10101</s:v>
      </s:c>
      <s:c r="G246" s="6" t="n">
        <s:v>23295</s:v>
      </s:c>
      <s:c r="H246" s="6" t="n">
        <s:v>23462</s:v>
      </s:c>
      <s:c r="I246" s="6" t="n">
        <s:v>5146</s:v>
      </s:c>
      <s:c r="J246" s="6" t="n">
        <s:f>IF(COUNT(C246:I246)=7,SUM(C246:I246),"")</s:f>
        <s:v>103640</s:v>
      </s:c>
    </s:row>
    <s:row r="247">
      <s:c r="A247" s="5" t="n">
        <s:v>46276</s:v>
      </s:c>
      <s:c r="B247" s="2" t="n">
        <s:v>2</s:v>
      </s:c>
      <s:c r="C247" s="6" t="n">
        <s:v>9817</s:v>
      </s:c>
      <s:c r="D247" s="6" t="n">
        <s:v>21763</s:v>
      </s:c>
      <s:c r="E247" s="6" t="n">
        <s:v>9517</s:v>
      </s:c>
      <s:c r="F247" s="6" t="n">
        <s:v>9676</s:v>
      </s:c>
      <s:c r="G247" s="6" t="n">
        <s:v>23112</s:v>
      </s:c>
      <s:c r="H247" s="6" t="n">
        <s:v>24160</s:v>
      </s:c>
      <s:c r="I247" s="6" t="n">
        <s:v>5295</s:v>
      </s:c>
      <s:c r="J247" s="6" t="n">
        <s:f>IF(COUNT(C247:I247)=7,SUM(C247:I247),"")</s:f>
        <s:v>103340</s:v>
      </s:c>
    </s:row>
    <s:row r="248">
      <s:c r="A248" s="5" t="n">
        <s:v>46276</s:v>
      </s:c>
      <s:c r="B248" s="2" t="n">
        <s:v>3</s:v>
      </s:c>
      <s:c r="C248" s="6" t="n">
        <s:v>9816</s:v>
      </s:c>
      <s:c r="D248" s="6" t="n">
        <s:v>21796</s:v>
      </s:c>
      <s:c r="E248" s="6" t="n">
        <s:v>9797</s:v>
      </s:c>
      <s:c r="F248" s="6" t="n">
        <s:v>10093</s:v>
      </s:c>
      <s:c r="G248" s="6" t="n">
        <s:v>23527</s:v>
      </s:c>
      <s:c r="H248" s="6" t="n">
        <s:v>24287</s:v>
      </s:c>
      <s:c r="I248" s="6" t="n">
        <s:v>5185</s:v>
      </s:c>
      <s:c r="J248" s="6" t="n">
        <s:f>IF(COUNT(C248:I248)=7,SUM(C248:I248),"")</s:f>
        <s:v>104501</s:v>
      </s:c>
    </s:row>
    <s:row r="249">
      <s:c r="A249" s="5" t="n">
        <s:v>46276</s:v>
      </s:c>
      <s:c r="B249" s="2" t="n">
        <s:v>4</s:v>
      </s:c>
      <s:c r="C249" s="6" t="n">
        <s:v>9859</s:v>
      </s:c>
      <s:c r="D249" s="6" t="n">
        <s:v>21707</s:v>
      </s:c>
      <s:c r="E249" s="6" t="n">
        <s:v>10003</s:v>
      </s:c>
      <s:c r="F249" s="6" t="n">
        <s:v>10259</s:v>
      </s:c>
      <s:c r="G249" s="6" t="n">
        <s:v>24942</s:v>
      </s:c>
      <s:c r="H249" s="6" t="n">
        <s:v>24510</s:v>
      </s:c>
      <s:c r="I249" s="6" t="n">
        <s:v>5134</s:v>
      </s:c>
      <s:c r="J249" s="6" t="n">
        <s:f>IF(COUNT(C249:I249)=7,SUM(C249:I249),"")</s:f>
        <s:v>106414</s:v>
      </s:c>
    </s:row>
    <s:row r="250">
      <s:c r="A250" s="5" t="n">
        <s:v>46276</s:v>
      </s:c>
      <s:c r="B250" s="2" t="n">
        <s:v>5</s:v>
      </s:c>
      <s:c r="C250" s="6" t="n">
        <s:v>9933</s:v>
      </s:c>
      <s:c r="D250" s="6" t="n">
        <s:v>22588</s:v>
      </s:c>
      <s:c r="E250" s="6" t="n">
        <s:v>10227</s:v>
      </s:c>
      <s:c r="F250" s="6" t="n">
        <s:v>10657</s:v>
      </s:c>
      <s:c r="G250" s="6" t="n">
        <s:v>26564</s:v>
      </s:c>
      <s:c r="H250" s="6" t="n">
        <s:v>24649</s:v>
      </s:c>
      <s:c r="I250" s="6" t="n">
        <s:v>5116</s:v>
      </s:c>
      <s:c r="J250" s="6" t="n">
        <s:f>IF(COUNT(C250:I250)=7,SUM(C250:I250),"")</s:f>
        <s:v>109734</s:v>
      </s:c>
    </s:row>
    <s:row r="251">
      <s:c r="A251" s="5" t="n">
        <s:v>46276</s:v>
      </s:c>
      <s:c r="B251" s="2" t="n">
        <s:v>6</s:v>
      </s:c>
      <s:c r="C251" s="6" t="n">
        <s:v>10053</s:v>
      </s:c>
      <s:c r="D251" s="6" t="n">
        <s:v>24585</s:v>
      </s:c>
      <s:c r="E251" s="6" t="n">
        <s:v>10792</s:v>
      </s:c>
      <s:c r="F251" s="6" t="n">
        <s:v>11260</s:v>
      </s:c>
      <s:c r="G251" s="6" t="n">
        <s:v>28372</s:v>
      </s:c>
      <s:c r="H251" s="6" t="n">
        <s:v>24521</s:v>
      </s:c>
      <s:c r="I251" s="6" t="n">
        <s:v>5198</s:v>
      </s:c>
      <s:c r="J251" s="6" t="n">
        <s:f>IF(COUNT(C251:I251)=7,SUM(C251:I251),"")</s:f>
        <s:v>114781</s:v>
      </s:c>
    </s:row>
    <s:row r="252">
      <s:c r="A252" s="5" t="n">
        <s:v>46276</s:v>
      </s:c>
      <s:c r="B252" s="2" t="n">
        <s:v>7</s:v>
      </s:c>
      <s:c r="C252" s="6" t="n">
        <s:v>10273</s:v>
      </s:c>
      <s:c r="D252" s="6" t="n">
        <s:v>25492</s:v>
      </s:c>
      <s:c r="E252" s="6" t="n">
        <s:v>11703</s:v>
      </s:c>
      <s:c r="F252" s="6" t="n">
        <s:v>11929</s:v>
      </s:c>
      <s:c r="G252" s="6" t="n">
        <s:v>29146</s:v>
      </s:c>
      <s:c r="H252" s="6" t="n">
        <s:v>24328</s:v>
      </s:c>
      <s:c r="I252" s="6" t="n">
        <s:v>5115</s:v>
      </s:c>
      <s:c r="J252" s="6" t="n">
        <s:f>IF(COUNT(C252:I252)=7,SUM(C252:I252),"")</s:f>
        <s:v>117986</s:v>
      </s:c>
    </s:row>
    <s:row r="253">
      <s:c r="A253" s="5" t="n">
        <s:v>46276</s:v>
      </s:c>
      <s:c r="B253" s="2" t="n">
        <s:v>8</s:v>
      </s:c>
      <s:c r="C253" s="6" t="n">
        <s:v>10796</s:v>
      </s:c>
      <s:c r="D253" s="6" t="n">
        <s:v>27807</s:v>
      </s:c>
      <s:c r="E253" s="6" t="n">
        <s:v>12563</s:v>
      </s:c>
      <s:c r="F253" s="6" t="n">
        <s:v>12716</s:v>
      </s:c>
      <s:c r="G253" s="6" t="n">
        <s:v>28641</s:v>
      </s:c>
      <s:c r="H253" s="6" t="n">
        <s:v>25139</s:v>
      </s:c>
      <s:c r="I253" s="6" t="n">
        <s:v>5168</s:v>
      </s:c>
      <s:c r="J253" s="6" t="n">
        <s:f>IF(COUNT(C253:I253)=7,SUM(C253:I253),"")</s:f>
        <s:v>122830</s:v>
      </s:c>
    </s:row>
    <s:row r="254">
      <s:c r="A254" s="5" t="n">
        <s:v>46276</s:v>
      </s:c>
      <s:c r="B254" s="2" t="n">
        <s:v>9</s:v>
      </s:c>
      <s:c r="C254" s="6" t="n">
        <s:v>10926</s:v>
      </s:c>
      <s:c r="D254" s="6" t="n">
        <s:v>27874</s:v>
      </s:c>
      <s:c r="E254" s="6" t="n">
        <s:v>12715</s:v>
      </s:c>
      <s:c r="F254" s="6" t="n">
        <s:v>13045</s:v>
      </s:c>
      <s:c r="G254" s="6" t="n">
        <s:v>28908</s:v>
      </s:c>
      <s:c r="H254" s="6" t="n">
        <s:v>24959</s:v>
      </s:c>
      <s:c r="I254" s="6" t="n">
        <s:v>4984</s:v>
      </s:c>
      <s:c r="J254" s="6" t="n">
        <s:f>IF(COUNT(C254:I254)=7,SUM(C254:I254),"")</s:f>
        <s:v>123411</s:v>
      </s:c>
    </s:row>
    <s:row r="255">
      <s:c r="A255" s="5" t="n">
        <s:v>46276</s:v>
      </s:c>
      <s:c r="B255" s="2" t="n">
        <s:v>10</s:v>
      </s:c>
      <s:c r="C255" s="6" t="n">
        <s:v>10959</s:v>
      </s:c>
      <s:c r="D255" s="6" t="n">
        <s:v>27919</s:v>
      </s:c>
      <s:c r="E255" s="6" t="n">
        <s:v>12871</s:v>
      </s:c>
      <s:c r="F255" s="6" t="n">
        <s:v>13100</s:v>
      </s:c>
      <s:c r="G255" s="6" t="n">
        <s:v>28669</s:v>
      </s:c>
      <s:c r="H255" s="6" t="n">
        <s:v>25185</s:v>
      </s:c>
      <s:c r="I255" s="6" t="n">
        <s:v>5123</s:v>
      </s:c>
      <s:c r="J255" s="6" t="n">
        <s:f>IF(COUNT(C255:I255)=7,SUM(C255:I255),"")</s:f>
        <s:v>123826</s:v>
      </s:c>
    </s:row>
    <s:row r="256">
      <s:c r="A256" s="5" t="n">
        <s:v>46276</s:v>
      </s:c>
      <s:c r="B256" s="2" t="n">
        <s:v>11</s:v>
      </s:c>
      <s:c r="C256" s="6" t="n">
        <s:v>10955</s:v>
      </s:c>
      <s:c r="D256" s="6" t="n">
        <s:v>27927</s:v>
      </s:c>
      <s:c r="E256" s="6" t="n">
        <s:v>12776</s:v>
      </s:c>
      <s:c r="F256" s="6" t="n">
        <s:v>13339</s:v>
      </s:c>
      <s:c r="G256" s="6" t="n">
        <s:v>28562</s:v>
      </s:c>
      <s:c r="H256" s="6" t="n">
        <s:v>24953</s:v>
      </s:c>
      <s:c r="I256" s="6" t="n">
        <s:v>5117</s:v>
      </s:c>
      <s:c r="J256" s="6" t="n">
        <s:f>IF(COUNT(C256:I256)=7,SUM(C256:I256),"")</s:f>
        <s:v>123629</s:v>
      </s:c>
    </s:row>
    <s:row r="257">
      <s:c r="A257" s="5" t="n">
        <s:v>46276</s:v>
      </s:c>
      <s:c r="B257" s="2" t="n">
        <s:v>12</s:v>
      </s:c>
      <s:c r="C257" s="6" t="n">
        <s:v>11099</s:v>
      </s:c>
      <s:c r="D257" s="6" t="n">
        <s:v>27494</s:v>
      </s:c>
      <s:c r="E257" s="6" t="n">
        <s:v>13010</s:v>
      </s:c>
      <s:c r="F257" s="6" t="n">
        <s:v>13332</s:v>
      </s:c>
      <s:c r="G257" s="6" t="n">
        <s:v>28625</s:v>
      </s:c>
      <s:c r="H257" s="6" t="n">
        <s:v>24982</s:v>
      </s:c>
      <s:c r="I257" s="6" t="n">
        <s:v>5339</s:v>
      </s:c>
      <s:c r="J257" s="6" t="n">
        <s:f>IF(COUNT(C257:I257)=7,SUM(C257:I257),"")</s:f>
        <s:v>123881</s:v>
      </s:c>
    </s:row>
    <s:row r="258">
      <s:c r="A258" s="5" t="n">
        <s:v>46276</s:v>
      </s:c>
      <s:c r="B258" s="2" t="n">
        <s:v>13</s:v>
      </s:c>
      <s:c r="C258" s="6" t="n">
        <s:v>11191</s:v>
      </s:c>
      <s:c r="D258" s="6" t="n">
        <s:v>27408</s:v>
      </s:c>
      <s:c r="E258" s="6" t="n">
        <s:v>13257</s:v>
      </s:c>
      <s:c r="F258" s="6" t="n">
        <s:v>13300</s:v>
      </s:c>
      <s:c r="G258" s="6" t="n">
        <s:v>28734</s:v>
      </s:c>
      <s:c r="H258" s="6" t="n">
        <s:v>24950</s:v>
      </s:c>
      <s:c r="I258" s="6" t="n">
        <s:v>5419</s:v>
      </s:c>
      <s:c r="J258" s="6" t="n">
        <s:f>IF(COUNT(C258:I258)=7,SUM(C258:I258),"")</s:f>
        <s:v>124259</s:v>
      </s:c>
    </s:row>
    <s:row r="259">
      <s:c r="A259" s="5" t="n">
        <s:v>46276</s:v>
      </s:c>
      <s:c r="B259" s="2" t="n">
        <s:v>14</s:v>
      </s:c>
      <s:c r="C259" s="6" t="n">
        <s:v>11123</s:v>
      </s:c>
      <s:c r="D259" s="6" t="n">
        <s:v>27696</s:v>
      </s:c>
      <s:c r="E259" s="6" t="n">
        <s:v>13388</s:v>
      </s:c>
      <s:c r="F259" s="6" t="n">
        <s:v>13134</s:v>
      </s:c>
      <s:c r="G259" s="6" t="n">
        <s:v>28451</s:v>
      </s:c>
      <s:c r="H259" s="6" t="n">
        <s:v>24880</s:v>
      </s:c>
      <s:c r="I259" s="6" t="n">
        <s:v>5214</s:v>
      </s:c>
      <s:c r="J259" s="6" t="n">
        <s:f>IF(COUNT(C259:I259)=7,SUM(C259:I259),"")</s:f>
        <s:v>123886</s:v>
      </s:c>
    </s:row>
    <s:row r="260">
      <s:c r="A260" s="5" t="n">
        <s:v>46276</s:v>
      </s:c>
      <s:c r="B260" s="2" t="n">
        <s:v>15</s:v>
      </s:c>
      <s:c r="C260" s="6" t="n">
        <s:v>11298</s:v>
      </s:c>
      <s:c r="D260" s="6" t="n">
        <s:v>27904</s:v>
      </s:c>
      <s:c r="E260" s="6" t="n">
        <s:v>13017</s:v>
      </s:c>
      <s:c r="F260" s="6" t="n">
        <s:v>12742</s:v>
      </s:c>
      <s:c r="G260" s="6" t="n">
        <s:v>28580</s:v>
      </s:c>
      <s:c r="H260" s="6" t="n">
        <s:v>24934</s:v>
      </s:c>
      <s:c r="I260" s="6" t="n">
        <s:v>4999</s:v>
      </s:c>
      <s:c r="J260" s="6" t="n">
        <s:f>IF(COUNT(C260:I260)=7,SUM(C260:I260),"")</s:f>
        <s:v>123474</s:v>
      </s:c>
    </s:row>
    <s:row r="261">
      <s:c r="A261" s="5" t="n">
        <s:v>46276</s:v>
      </s:c>
      <s:c r="B261" s="2" t="n">
        <s:v>16</s:v>
      </s:c>
      <s:c r="C261" s="6" t="n">
        <s:v>11213</s:v>
      </s:c>
      <s:c r="D261" s="6" t="n">
        <s:v>28093</s:v>
      </s:c>
      <s:c r="E261" s="6" t="n">
        <s:v>12646</s:v>
      </s:c>
      <s:c r="F261" s="6" t="n">
        <s:v>12464</s:v>
      </s:c>
      <s:c r="G261" s="6" t="n">
        <s:v>28689</s:v>
      </s:c>
      <s:c r="H261" s="6" t="n">
        <s:v>24683</s:v>
      </s:c>
      <s:c r="I261" s="6" t="n">
        <s:v>4807</s:v>
      </s:c>
      <s:c r="J261" s="6" t="n">
        <s:f>IF(COUNT(C261:I261)=7,SUM(C261:I261),"")</s:f>
        <s:v>122595</s:v>
      </s:c>
    </s:row>
    <s:row r="262">
      <s:c r="A262" s="5" t="n">
        <s:v>46276</s:v>
      </s:c>
      <s:c r="B262" s="2" t="n">
        <s:v>17</s:v>
      </s:c>
      <s:c r="C262" s="6" t="n">
        <s:v>11255</s:v>
      </s:c>
      <s:c r="D262" s="6" t="n">
        <s:v>27926</s:v>
      </s:c>
      <s:c r="E262" s="6" t="n">
        <s:v>12840</s:v>
      </s:c>
      <s:c r="F262" s="6" t="n">
        <s:v>12800</s:v>
      </s:c>
      <s:c r="G262" s="6" t="n">
        <s:v>28019</s:v>
      </s:c>
      <s:c r="H262" s="6" t="n">
        <s:v>25139</s:v>
      </s:c>
      <s:c r="I262" s="6" t="n">
        <s:v>4787</s:v>
      </s:c>
      <s:c r="J262" s="6" t="n">
        <s:f>IF(COUNT(C262:I262)=7,SUM(C262:I262),"")</s:f>
        <s:v>122766</s:v>
      </s:c>
    </s:row>
    <s:row r="263">
      <s:c r="A263" s="5" t="n">
        <s:v>46276</s:v>
      </s:c>
      <s:c r="B263" s="2" t="n">
        <s:v>18</s:v>
      </s:c>
      <s:c r="C263" s="6" t="n">
        <s:v>11301</s:v>
      </s:c>
      <s:c r="D263" s="6" t="n">
        <s:v>27886</s:v>
      </s:c>
      <s:c r="E263" s="6" t="n">
        <s:v>13476</s:v>
      </s:c>
      <s:c r="F263" s="6" t="n">
        <s:v>13059</s:v>
      </s:c>
      <s:c r="G263" s="6" t="n">
        <s:v>27974</s:v>
      </s:c>
      <s:c r="H263" s="6" t="n">
        <s:v>24375</s:v>
      </s:c>
      <s:c r="I263" s="6" t="n">
        <s:v>4542</s:v>
      </s:c>
      <s:c r="J263" s="6" t="n">
        <s:f>IF(COUNT(C263:I263)=7,SUM(C263:I263),"")</s:f>
        <s:v>122613</s:v>
      </s:c>
    </s:row>
    <s:row r="264">
      <s:c r="A264" s="5" t="n">
        <s:v>46276</s:v>
      </s:c>
      <s:c r="B264" s="2" t="n">
        <s:v>19</s:v>
      </s:c>
      <s:c r="C264" s="6" t="n">
        <s:v>11304</s:v>
      </s:c>
      <s:c r="D264" s="6" t="n">
        <s:v>28468</s:v>
      </s:c>
      <s:c r="E264" s="6" t="n">
        <s:v>13352</s:v>
      </s:c>
      <s:c r="F264" s="6" t="n">
        <s:v>12414</s:v>
      </s:c>
      <s:c r="G264" s="6" t="n">
        <s:v>28193</s:v>
      </s:c>
      <s:c r="H264" s="6" t="n">
        <s:v>23778</s:v>
      </s:c>
      <s:c r="I264" s="6" t="n">
        <s:v>4582</s:v>
      </s:c>
      <s:c r="J264" s="6" t="n">
        <s:f>IF(COUNT(C264:I264)=7,SUM(C264:I264),"")</s:f>
        <s:v>122091</s:v>
      </s:c>
    </s:row>
    <s:row r="265">
      <s:c r="A265" s="5" t="n">
        <s:v>46276</s:v>
      </s:c>
      <s:c r="B265" s="2" t="n">
        <s:v>20</s:v>
      </s:c>
      <s:c r="C265" s="6" t="n">
        <s:v>11438</s:v>
      </s:c>
      <s:c r="D265" s="6" t="n">
        <s:v>27258</s:v>
      </s:c>
      <s:c r="E265" s="6" t="n">
        <s:v>12917</s:v>
      </s:c>
      <s:c r="F265" s="6" t="n">
        <s:v>12013</s:v>
      </s:c>
      <s:c r="G265" s="6" t="n">
        <s:v>27136</s:v>
      </s:c>
      <s:c r="H265" s="6" t="n">
        <s:v>23605</s:v>
      </s:c>
      <s:c r="I265" s="6" t="n">
        <s:v>4444</s:v>
      </s:c>
      <s:c r="J265" s="6" t="n">
        <s:f>IF(COUNT(C265:I265)=7,SUM(C265:I265),"")</s:f>
        <s:v>118811</s:v>
      </s:c>
    </s:row>
    <s:row r="266">
      <s:c r="A266" s="5" t="n">
        <s:v>46276</s:v>
      </s:c>
      <s:c r="B266" s="2" t="n">
        <s:v>21</s:v>
      </s:c>
      <s:c r="C266" s="6" t="n">
        <s:v>11442</s:v>
      </s:c>
      <s:c r="D266" s="6" t="n">
        <s:v>26556</s:v>
      </s:c>
      <s:c r="E266" s="6" t="n">
        <s:v>12143</s:v>
      </s:c>
      <s:c r="F266" s="6" t="n">
        <s:v>11045</s:v>
      </s:c>
      <s:c r="G266" s="6" t="n">
        <s:v>26549</s:v>
      </s:c>
      <s:c r="H266" s="6" t="n">
        <s:v>23297</s:v>
      </s:c>
      <s:c r="I266" s="6" t="n">
        <s:v>4426</s:v>
      </s:c>
      <s:c r="J266" s="6" t="n">
        <s:f>IF(COUNT(C266:I266)=7,SUM(C266:I266),"")</s:f>
        <s:v>115458</s:v>
      </s:c>
    </s:row>
    <s:row r="267">
      <s:c r="A267" s="5" t="n">
        <s:v>46276</s:v>
      </s:c>
      <s:c r="B267" s="2" t="n">
        <s:v>22</s:v>
      </s:c>
      <s:c r="C267" s="6" t="n">
        <s:v>11059</s:v>
      </s:c>
      <s:c r="D267" s="6" t="n">
        <s:v>25683</s:v>
      </s:c>
      <s:c r="E267" s="6" t="n">
        <s:v>11432</s:v>
      </s:c>
      <s:c r="F267" s="6" t="n">
        <s:v>11035</s:v>
      </s:c>
      <s:c r="G267" s="6" t="n">
        <s:v>24670</s:v>
      </s:c>
      <s:c r="H267" s="6" t="n">
        <s:v>23228</s:v>
      </s:c>
      <s:c r="I267" s="6" t="n">
        <s:v>4493</s:v>
      </s:c>
      <s:c r="J267" s="6" t="n">
        <s:f>IF(COUNT(C267:I267)=7,SUM(C267:I267),"")</s:f>
        <s:v>111600</s:v>
      </s:c>
    </s:row>
    <s:row r="268">
      <s:c r="A268" s="5" t="n">
        <s:v>46276</s:v>
      </s:c>
      <s:c r="B268" s="2" t="n">
        <s:v>23</s:v>
      </s:c>
      <s:c r="C268" s="6" t="n">
        <s:v>10640</s:v>
      </s:c>
      <s:c r="D268" s="6" t="n">
        <s:v>23659</s:v>
      </s:c>
      <s:c r="E268" s="6" t="n">
        <s:v>10380</s:v>
      </s:c>
      <s:c r="F268" s="6" t="n">
        <s:v>10887</s:v>
      </s:c>
      <s:c r="G268" s="6" t="n">
        <s:v>24578</s:v>
      </s:c>
      <s:c r="H268" s="6" t="n">
        <s:v>23128</s:v>
      </s:c>
      <s:c r="I268" s="6" t="n">
        <s:v>4634</s:v>
      </s:c>
      <s:c r="J268" s="6" t="n">
        <s:f>IF(COUNT(C268:I268)=7,SUM(C268:I268),"")</s:f>
        <s:v>107906</s:v>
      </s:c>
    </s:row>
    <s:row r="269">
      <s:c r="A269" s="5" t="n">
        <s:v>46277</s:v>
      </s:c>
      <s:c r="B269" s="2" t="n">
        <s:v>0</s:v>
      </s:c>
      <s:c r="C269" s="6" t="n">
        <s:v>10469</s:v>
      </s:c>
      <s:c r="D269" s="6" t="n">
        <s:v>22954</s:v>
      </s:c>
      <s:c r="E269" s="6" t="n">
        <s:v>10236</s:v>
      </s:c>
      <s:c r="F269" s="6" t="n">
        <s:v>10595</s:v>
      </s:c>
      <s:c r="G269" s="6" t="n">
        <s:v>23416</s:v>
      </s:c>
      <s:c r="H269" s="6" t="n">
        <s:v>23198</s:v>
      </s:c>
      <s:c r="I269" s="6" t="n">
        <s:v>4900</s:v>
      </s:c>
      <s:c r="J269" s="6" t="n">
        <s:f>IF(COUNT(C269:I269)=7,SUM(C269:I269),"")</s:f>
        <s:v>105768</s:v>
      </s:c>
    </s:row>
    <s:row r="270">
      <s:c r="A270" s="5" t="n">
        <s:v>46277</s:v>
      </s:c>
      <s:c r="B270" s="2" t="n">
        <s:v>1</s:v>
      </s:c>
      <s:c r="C270" s="6" t="n">
        <s:v>10296</s:v>
      </s:c>
      <s:c r="D270" s="6" t="n">
        <s:v>22103</s:v>
      </s:c>
      <s:c r="E270" s="6" t="n">
        <s:v>9609</s:v>
      </s:c>
      <s:c r="F270" s="6" t="n">
        <s:v>10025</s:v>
      </s:c>
      <s:c r="G270" s="6" t="n">
        <s:v>23459</s:v>
      </s:c>
      <s:c r="H270" s="6" t="n">
        <s:v>23075</s:v>
      </s:c>
      <s:c r="I270" s="6" t="n">
        <s:v>5103</s:v>
      </s:c>
      <s:c r="J270" s="6" t="n">
        <s:f>IF(COUNT(C270:I270)=7,SUM(C270:I270),"")</s:f>
        <s:v>103670</s:v>
      </s:c>
    </s:row>
    <s:row r="271">
      <s:c r="A271" s="5" t="n">
        <s:v>46277</s:v>
      </s:c>
      <s:c r="B271" s="2" t="n">
        <s:v>2</s:v>
      </s:c>
      <s:c r="C271" s="6" t="n">
        <s:v>10283</s:v>
      </s:c>
      <s:c r="D271" s="6" t="n">
        <s:v>21984</s:v>
      </s:c>
      <s:c r="E271" s="6" t="n">
        <s:v>9477</s:v>
      </s:c>
      <s:c r="F271" s="6" t="n">
        <s:v>10025</s:v>
      </s:c>
      <s:c r="G271" s="6" t="n">
        <s:v>23008</s:v>
      </s:c>
      <s:c r="H271" s="6" t="n">
        <s:v>23598</s:v>
      </s:c>
      <s:c r="I271" s="6" t="n">
        <s:v>5262</s:v>
      </s:c>
      <s:c r="J271" s="6" t="n">
        <s:f>IF(COUNT(C271:I271)=7,SUM(C271:I271),"")</s:f>
        <s:v>103637</s:v>
      </s:c>
    </s:row>
    <s:row r="272">
      <s:c r="A272" s="5" t="n">
        <s:v>46277</s:v>
      </s:c>
      <s:c r="B272" s="2" t="n">
        <s:v>3</s:v>
      </s:c>
      <s:c r="C272" s="6" t="n">
        <s:v>10250</s:v>
      </s:c>
      <s:c r="D272" s="6" t="n">
        <s:v>21934</s:v>
      </s:c>
      <s:c r="E272" s="6" t="n">
        <s:v>9511</s:v>
      </s:c>
      <s:c r="F272" s="6" t="n">
        <s:v>9920</s:v>
      </s:c>
      <s:c r="G272" s="6" t="n">
        <s:v>23243</s:v>
      </s:c>
      <s:c r="H272" s="6" t="n">
        <s:v>23776</s:v>
      </s:c>
      <s:c r="I272" s="6" t="n">
        <s:v>5407</s:v>
      </s:c>
      <s:c r="J272" s="6" t="n">
        <s:f>IF(COUNT(C272:I272)=7,SUM(C272:I272),"")</s:f>
        <s:v>104041</s:v>
      </s:c>
    </s:row>
    <s:row r="273">
      <s:c r="A273" s="5" t="n">
        <s:v>46277</s:v>
      </s:c>
      <s:c r="B273" s="2" t="n">
        <s:v>4</s:v>
      </s:c>
      <s:c r="C273" s="6" t="n">
        <s:v>10251</s:v>
      </s:c>
      <s:c r="D273" s="6" t="n">
        <s:v>22125</s:v>
      </s:c>
      <s:c r="E273" s="6" t="n">
        <s:v>9588</s:v>
      </s:c>
      <s:c r="F273" s="6" t="n">
        <s:v>9841</s:v>
      </s:c>
      <s:c r="G273" s="6" t="n">
        <s:v>23532</s:v>
      </s:c>
      <s:c r="H273" s="6" t="n">
        <s:v>24498</s:v>
      </s:c>
      <s:c r="I273" s="6" t="n">
        <s:v>5273</s:v>
      </s:c>
      <s:c r="J273" s="6" t="n">
        <s:f>IF(COUNT(C273:I273)=7,SUM(C273:I273),"")</s:f>
        <s:v>105108</s:v>
      </s:c>
    </s:row>
    <s:row r="274">
      <s:c r="A274" s="5" t="n">
        <s:v>46277</s:v>
      </s:c>
      <s:c r="B274" s="2" t="n">
        <s:v>5</s:v>
      </s:c>
      <s:c r="C274" s="6" t="n">
        <s:v>10278</s:v>
      </s:c>
      <s:c r="D274" s="6" t="n">
        <s:v>22214</s:v>
      </s:c>
      <s:c r="E274" s="6" t="n">
        <s:v>9647</s:v>
      </s:c>
      <s:c r="F274" s="6" t="n">
        <s:v>9737</s:v>
      </s:c>
      <s:c r="G274" s="6" t="n">
        <s:v>24665</s:v>
      </s:c>
      <s:c r="H274" s="6" t="n">
        <s:v>24971</s:v>
      </s:c>
      <s:c r="I274" s="6" t="n">
        <s:v>5379</s:v>
      </s:c>
      <s:c r="J274" s="6" t="n">
        <s:f>IF(COUNT(C274:I274)=7,SUM(C274:I274),"")</s:f>
        <s:v>106891</s:v>
      </s:c>
    </s:row>
    <s:row r="275">
      <s:c r="A275" s="5" t="n">
        <s:v>46277</s:v>
      </s:c>
      <s:c r="B275" s="2" t="n">
        <s:v>6</s:v>
      </s:c>
      <s:c r="C275" s="6" t="n">
        <s:v>10469</s:v>
      </s:c>
      <s:c r="D275" s="6" t="n">
        <s:v>23355</s:v>
      </s:c>
      <s:c r="E275" s="6" t="n">
        <s:v>10560</s:v>
      </s:c>
      <s:c r="F275" s="6" t="n">
        <s:v>10739</s:v>
      </s:c>
      <s:c r="G275" s="6" t="n">
        <s:v>25236</s:v>
      </s:c>
      <s:c r="H275" s="6" t="n">
        <s:v>25111</s:v>
      </s:c>
      <s:c r="I275" s="6" t="n">
        <s:v>5379</s:v>
      </s:c>
      <s:c r="J275" s="6" t="n">
        <s:f>IF(COUNT(C275:I275)=7,SUM(C275:I275),"")</s:f>
        <s:v>110849</s:v>
      </s:c>
    </s:row>
    <s:row r="276">
      <s:c r="A276" s="5" t="n">
        <s:v>46277</s:v>
      </s:c>
      <s:c r="B276" s="2" t="n">
        <s:v>7</s:v>
      </s:c>
      <s:c r="C276" s="6" t="n">
        <s:v>10449</s:v>
      </s:c>
      <s:c r="D276" s="6" t="n">
        <s:v>25063</s:v>
      </s:c>
      <s:c r="E276" s="6" t="n">
        <s:v>11459</s:v>
      </s:c>
      <s:c r="F276" s="6" t="n">
        <s:v>11032</s:v>
      </s:c>
      <s:c r="G276" s="6" t="n">
        <s:v>26155</s:v>
      </s:c>
      <s:c r="H276" s="6" t="n">
        <s:v>24740</s:v>
      </s:c>
      <s:c r="I276" s="6" t="n">
        <s:v>5294</s:v>
      </s:c>
      <s:c r="J276" s="6" t="n">
        <s:f>IF(COUNT(C276:I276)=7,SUM(C276:I276),"")</s:f>
        <s:v>114192</s:v>
      </s:c>
    </s:row>
    <s:row r="277">
      <s:c r="A277" s="5" t="n">
        <s:v>46277</s:v>
      </s:c>
      <s:c r="B277" s="2" t="n">
        <s:v>8</s:v>
      </s:c>
      <s:c r="C277" s="6" t="n">
        <s:v>10528</s:v>
      </s:c>
      <s:c r="D277" s="6" t="n">
        <s:v>26340</s:v>
      </s:c>
      <s:c r="E277" s="6" t="n">
        <s:v>12282</s:v>
      </s:c>
      <s:c r="F277" s="6" t="n">
        <s:v>11723</s:v>
      </s:c>
      <s:c r="G277" s="6" t="n">
        <s:v>27656</s:v>
      </s:c>
      <s:c r="H277" s="6" t="n">
        <s:v>24973</s:v>
      </s:c>
      <s:c r="I277" s="6" t="n">
        <s:v>5117</s:v>
      </s:c>
      <s:c r="J277" s="6" t="n">
        <s:f>IF(COUNT(C277:I277)=7,SUM(C277:I277),"")</s:f>
        <s:v>118619</s:v>
      </s:c>
    </s:row>
    <s:row r="278">
      <s:c r="A278" s="5" t="n">
        <s:v>46277</s:v>
      </s:c>
      <s:c r="B278" s="2" t="n">
        <s:v>9</s:v>
      </s:c>
      <s:c r="C278" s="6" t="n">
        <s:v>11057</s:v>
      </s:c>
      <s:c r="D278" s="6" t="n">
        <s:v>27172</s:v>
      </s:c>
      <s:c r="E278" s="6" t="n">
        <s:v>12956</s:v>
      </s:c>
      <s:c r="F278" s="6" t="n">
        <s:v>11873</s:v>
      </s:c>
      <s:c r="G278" s="6" t="n">
        <s:v>27863</s:v>
      </s:c>
      <s:c r="H278" s="6" t="n">
        <s:v>24946</s:v>
      </s:c>
      <s:c r="I278" s="6" t="n">
        <s:v>5235</s:v>
      </s:c>
      <s:c r="J278" s="6" t="n">
        <s:f>IF(COUNT(C278:I278)=7,SUM(C278:I278),"")</s:f>
        <s:v>121102</s:v>
      </s:c>
    </s:row>
    <s:row r="279">
      <s:c r="A279" s="5" t="n">
        <s:v>46277</s:v>
      </s:c>
      <s:c r="B279" s="2" t="n">
        <s:v>10</s:v>
      </s:c>
      <s:c r="C279" s="6" t="n">
        <s:v>11260</s:v>
      </s:c>
      <s:c r="D279" s="6" t="n">
        <s:v>27319</s:v>
      </s:c>
      <s:c r="E279" s="6" t="n">
        <s:v>12960</s:v>
      </s:c>
      <s:c r="F279" s="6" t="n">
        <s:v>11794</s:v>
      </s:c>
      <s:c r="G279" s="6" t="n">
        <s:v>28053</s:v>
      </s:c>
      <s:c r="H279" s="6" t="n">
        <s:v>24777</s:v>
      </s:c>
      <s:c r="I279" s="6" t="n">
        <s:v>5186</s:v>
      </s:c>
      <s:c r="J279" s="6" t="n">
        <s:f>IF(COUNT(C279:I279)=7,SUM(C279:I279),"")</s:f>
        <s:v>121349</s:v>
      </s:c>
    </s:row>
    <s:row r="280">
      <s:c r="A280" s="5" t="n">
        <s:v>46277</s:v>
      </s:c>
      <s:c r="B280" s="2" t="n">
        <s:v>11</s:v>
      </s:c>
      <s:c r="C280" s="6" t="n">
        <s:v>11308</s:v>
      </s:c>
      <s:c r="D280" s="6" t="n">
        <s:v>27386</s:v>
      </s:c>
      <s:c r="E280" s="6" t="n">
        <s:v>13150</s:v>
      </s:c>
      <s:c r="F280" s="6" t="n">
        <s:v>12042</s:v>
      </s:c>
      <s:c r="G280" s="6" t="n">
        <s:v>27880</s:v>
      </s:c>
      <s:c r="H280" s="6" t="n">
        <s:v>24759</s:v>
      </s:c>
      <s:c r="I280" s="6" t="n">
        <s:v>5309</s:v>
      </s:c>
      <s:c r="J280" s="6" t="n">
        <s:f>IF(COUNT(C280:I280)=7,SUM(C280:I280),"")</s:f>
        <s:v>121834</s:v>
      </s:c>
    </s:row>
    <s:row r="281">
      <s:c r="A281" s="5" t="n">
        <s:v>46277</s:v>
      </s:c>
      <s:c r="B281" s="2" t="n">
        <s:v>12</s:v>
      </s:c>
      <s:c r="C281" s="6" t="n">
        <s:v>11096</s:v>
      </s:c>
      <s:c r="D281" s="6" t="n">
        <s:v>27174</s:v>
      </s:c>
      <s:c r="E281" s="6" t="n">
        <s:v>13271</s:v>
      </s:c>
      <s:c r="F281" s="6" t="n">
        <s:v>11992</s:v>
      </s:c>
      <s:c r="G281" s="6" t="n">
        <s:v>28001</s:v>
      </s:c>
      <s:c r="H281" s="6" t="n">
        <s:v>25113</s:v>
      </s:c>
      <s:c r="I281" s="6" t="n">
        <s:v>5481</s:v>
      </s:c>
      <s:c r="J281" s="6" t="n">
        <s:f>IF(COUNT(C281:I281)=7,SUM(C281:I281),"")</s:f>
        <s:v>122128</s:v>
      </s:c>
    </s:row>
    <s:row r="282">
      <s:c r="A282" s="5" t="n">
        <s:v>46277</s:v>
      </s:c>
      <s:c r="B282" s="2" t="n">
        <s:v>13</s:v>
      </s:c>
      <s:c r="C282" s="6" t="n">
        <s:v>11258</s:v>
      </s:c>
      <s:c r="D282" s="6" t="n">
        <s:v>27020</s:v>
      </s:c>
      <s:c r="E282" s="6" t="n">
        <s:v>13202</s:v>
      </s:c>
      <s:c r="F282" s="6" t="n">
        <s:v>11604</s:v>
      </s:c>
      <s:c r="G282" s="6" t="n">
        <s:v>28156</s:v>
      </s:c>
      <s:c r="H282" s="6" t="n">
        <s:v>25068</s:v>
      </s:c>
      <s:c r="I282" s="6" t="n">
        <s:v>5388</s:v>
      </s:c>
      <s:c r="J282" s="6" t="n">
        <s:f>IF(COUNT(C282:I282)=7,SUM(C282:I282),"")</s:f>
        <s:v>121696</s:v>
      </s:c>
    </s:row>
    <s:row r="283">
      <s:c r="A283" s="5" t="n">
        <s:v>46277</s:v>
      </s:c>
      <s:c r="B283" s="2" t="n">
        <s:v>14</s:v>
      </s:c>
      <s:c r="C283" s="6" t="n">
        <s:v>11208</s:v>
      </s:c>
      <s:c r="D283" s="6" t="n">
        <s:v>27168</s:v>
      </s:c>
      <s:c r="E283" s="6" t="n">
        <s:v>12985</s:v>
      </s:c>
      <s:c r="F283" s="6" t="n">
        <s:v>11611</s:v>
      </s:c>
      <s:c r="G283" s="6" t="n">
        <s:v>27979</s:v>
      </s:c>
      <s:c r="H283" s="6" t="n">
        <s:v>25054</s:v>
      </s:c>
      <s:c r="I283" s="6" t="n">
        <s:v>5337</s:v>
      </s:c>
      <s:c r="J283" s="6" t="n">
        <s:f>IF(COUNT(C283:I283)=7,SUM(C283:I283),"")</s:f>
        <s:v>121342</s:v>
      </s:c>
    </s:row>
    <s:row r="284">
      <s:c r="A284" s="5" t="n">
        <s:v>46277</s:v>
      </s:c>
      <s:c r="B284" s="2" t="n">
        <s:v>15</s:v>
      </s:c>
      <s:c r="C284" s="6" t="n">
        <s:v>11229</s:v>
      </s:c>
      <s:c r="D284" s="6" t="n">
        <s:v>27440</s:v>
      </s:c>
      <s:c r="E284" s="6" t="n">
        <s:v>12959</s:v>
      </s:c>
      <s:c r="F284" s="6" t="n">
        <s:v>11756</s:v>
      </s:c>
      <s:c r="G284" s="6" t="n">
        <s:v>28156</s:v>
      </s:c>
      <s:c r="H284" s="6" t="n">
        <s:v>25107</s:v>
      </s:c>
      <s:c r="I284" s="6" t="n">
        <s:v>4983</s:v>
      </s:c>
      <s:c r="J284" s="6" t="n">
        <s:f>IF(COUNT(C284:I284)=7,SUM(C284:I284),"")</s:f>
        <s:v>121630</s:v>
      </s:c>
    </s:row>
    <s:row r="285">
      <s:c r="A285" s="5" t="n">
        <s:v>46277</s:v>
      </s:c>
      <s:c r="B285" s="2" t="n">
        <s:v>16</s:v>
      </s:c>
      <s:c r="C285" s="6" t="n">
        <s:v>11234</s:v>
      </s:c>
      <s:c r="D285" s="6" t="n">
        <s:v>27447</s:v>
      </s:c>
      <s:c r="E285" s="6" t="n">
        <s:v>12965</s:v>
      </s:c>
      <s:c r="F285" s="6" t="n">
        <s:v>11817</s:v>
      </s:c>
      <s:c r="G285" s="6" t="n">
        <s:v>28233</s:v>
      </s:c>
      <s:c r="H285" s="6" t="n">
        <s:v>25291</s:v>
      </s:c>
      <s:c r="I285" s="6" t="n">
        <s:v>4944</s:v>
      </s:c>
      <s:c r="J285" s="6" t="n">
        <s:f>IF(COUNT(C285:I285)=7,SUM(C285:I285),"")</s:f>
        <s:v>121931</s:v>
      </s:c>
    </s:row>
    <s:row r="286">
      <s:c r="A286" s="5" t="n">
        <s:v>46277</s:v>
      </s:c>
      <s:c r="B286" s="2" t="n">
        <s:v>17</s:v>
      </s:c>
      <s:c r="C286" s="6" t="n">
        <s:v>11262</s:v>
      </s:c>
      <s:c r="D286" s="6" t="n">
        <s:v>27393</s:v>
      </s:c>
      <s:c r="E286" s="6" t="n">
        <s:v>12780</s:v>
      </s:c>
      <s:c r="F286" s="6" t="n">
        <s:v>11884</s:v>
      </s:c>
      <s:c r="G286" s="6" t="n">
        <s:v>28414</s:v>
      </s:c>
      <s:c r="H286" s="6" t="n">
        <s:v>24690</s:v>
      </s:c>
      <s:c r="I286" s="6" t="n">
        <s:v>4665</s:v>
      </s:c>
      <s:c r="J286" s="6" t="n">
        <s:f>IF(COUNT(C286:I286)=7,SUM(C286:I286),"")</s:f>
        <s:v>121088</s:v>
      </s:c>
    </s:row>
    <s:row r="287">
      <s:c r="A287" s="5" t="n">
        <s:v>46277</s:v>
      </s:c>
      <s:c r="B287" s="2" t="n">
        <s:v>18</s:v>
      </s:c>
      <s:c r="C287" s="6" t="n">
        <s:v>11265</s:v>
      </s:c>
      <s:c r="D287" s="6" t="n">
        <s:v>27066</s:v>
      </s:c>
      <s:c r="E287" s="6" t="n">
        <s:v>13800</s:v>
      </s:c>
      <s:c r="F287" s="6" t="n">
        <s:v>11890</s:v>
      </s:c>
      <s:c r="G287" s="6" t="n">
        <s:v>28313</s:v>
      </s:c>
      <s:c r="H287" s="6" t="n">
        <s:v>24223</s:v>
      </s:c>
      <s:c r="I287" s="6" t="n">
        <s:v>4764</s:v>
      </s:c>
      <s:c r="J287" s="6" t="n">
        <s:f>IF(COUNT(C287:I287)=7,SUM(C287:I287),"")</s:f>
        <s:v>121321</s:v>
      </s:c>
    </s:row>
    <s:row r="288">
      <s:c r="A288" s="5" t="n">
        <s:v>46277</s:v>
      </s:c>
      <s:c r="B288" s="2" t="n">
        <s:v>19</s:v>
      </s:c>
      <s:c r="C288" s="6" t="n">
        <s:v>11343</s:v>
      </s:c>
      <s:c r="D288" s="6" t="n">
        <s:v>27749</s:v>
      </s:c>
      <s:c r="E288" s="6" t="n">
        <s:v>13327</s:v>
      </s:c>
      <s:c r="F288" s="6" t="n">
        <s:v>12050</s:v>
      </s:c>
      <s:c r="G288" s="6" t="n">
        <s:v>28287</s:v>
      </s:c>
      <s:c r="H288" s="6" t="n">
        <s:v>23244</s:v>
      </s:c>
      <s:c r="I288" s="6" t="n">
        <s:v>4506</s:v>
      </s:c>
      <s:c r="J288" s="6" t="n">
        <s:f>IF(COUNT(C288:I288)=7,SUM(C288:I288),"")</s:f>
        <s:v>120506</s:v>
      </s:c>
    </s:row>
    <s:row r="289">
      <s:c r="A289" s="5" t="n">
        <s:v>46277</s:v>
      </s:c>
      <s:c r="B289" s="2" t="n">
        <s:v>20</s:v>
      </s:c>
      <s:c r="C289" s="6" t="n">
        <s:v>11430</s:v>
      </s:c>
      <s:c r="D289" s="6" t="n">
        <s:v>26422</s:v>
      </s:c>
      <s:c r="E289" s="6" t="n">
        <s:v>13035</s:v>
      </s:c>
      <s:c r="F289" s="6" t="n">
        <s:v>11890</s:v>
      </s:c>
      <s:c r="G289" s="6" t="n">
        <s:v>27598</s:v>
      </s:c>
      <s:c r="H289" s="6" t="n">
        <s:v>22600</s:v>
      </s:c>
      <s:c r="I289" s="6" t="n">
        <s:v>4464</s:v>
      </s:c>
      <s:c r="J289" s="6" t="n">
        <s:f>IF(COUNT(C289:I289)=7,SUM(C289:I289),"")</s:f>
        <s:v>117439</s:v>
      </s:c>
    </s:row>
    <s:row r="290">
      <s:c r="A290" s="5" t="n">
        <s:v>46277</s:v>
      </s:c>
      <s:c r="B290" s="2" t="n">
        <s:v>21</s:v>
      </s:c>
      <s:c r="C290" s="6" t="n">
        <s:v>11293</s:v>
      </s:c>
      <s:c r="D290" s="6" t="n">
        <s:v>25352</s:v>
      </s:c>
      <s:c r="E290" s="6" t="n">
        <s:v>12232</s:v>
      </s:c>
      <s:c r="F290" s="6" t="n">
        <s:v>11722</s:v>
      </s:c>
      <s:c r="G290" s="6" t="n">
        <s:v>26515</s:v>
      </s:c>
      <s:c r="H290" s="6" t="n">
        <s:v>22398</s:v>
      </s:c>
      <s:c r="I290" s="6" t="n">
        <s:v>4477</s:v>
      </s:c>
      <s:c r="J290" s="6" t="n">
        <s:f>IF(COUNT(C290:I290)=7,SUM(C290:I290),"")</s:f>
        <s:v>113989</s:v>
      </s:c>
    </s:row>
    <s:row r="291">
      <s:c r="A291" s="5" t="n">
        <s:v>46277</s:v>
      </s:c>
      <s:c r="B291" s="2" t="n">
        <s:v>22</s:v>
      </s:c>
      <s:c r="C291" s="6" t="n">
        <s:v>11199</s:v>
      </s:c>
      <s:c r="D291" s="6" t="n">
        <s:v>25231</s:v>
      </s:c>
      <s:c r="E291" s="6" t="n">
        <s:v>11192</s:v>
      </s:c>
      <s:c r="F291" s="6" t="n">
        <s:v>11924</s:v>
      </s:c>
      <s:c r="G291" s="6" t="n">
        <s:v>23502</s:v>
      </s:c>
      <s:c r="H291" s="6" t="n">
        <s:v>21951</s:v>
      </s:c>
      <s:c r="I291" s="6" t="n">
        <s:v>4408</s:v>
      </s:c>
      <s:c r="J291" s="6" t="n">
        <s:f>IF(COUNT(C291:I291)=7,SUM(C291:I291),"")</s:f>
        <s:v>109407</s:v>
      </s:c>
    </s:row>
    <s:row r="292">
      <s:c r="A292" s="5" t="n">
        <s:v>46277</s:v>
      </s:c>
      <s:c r="B292" s="2" t="n">
        <s:v>23</s:v>
      </s:c>
      <s:c r="C292" s="6" t="n">
        <s:v>11081</s:v>
      </s:c>
      <s:c r="D292" s="6" t="n">
        <s:v>22705</s:v>
      </s:c>
      <s:c r="E292" s="6" t="n">
        <s:v>10463</s:v>
      </s:c>
      <s:c r="F292" s="6" t="n">
        <s:v>11523</s:v>
      </s:c>
      <s:c r="G292" s="6" t="n">
        <s:v>23879</s:v>
      </s:c>
      <s:c r="H292" s="6" t="n">
        <s:v>21603</s:v>
      </s:c>
      <s:c r="I292" s="6" t="n">
        <s:v>4558</s:v>
      </s:c>
      <s:c r="J292" s="6" t="n">
        <s:f>IF(COUNT(C292:I292)=7,SUM(C292:I292),"")</s:f>
        <s:v>105812</s:v>
      </s:c>
    </s:row>
    <s:row r="293">
      <s:c r="A293" s="5" t="n">
        <s:v>46278</s:v>
      </s:c>
      <s:c r="B293" s="2" t="n">
        <s:v>0</s:v>
      </s:c>
      <s:c r="C293" s="6" t="n">
        <s:v>10661</s:v>
      </s:c>
      <s:c r="D293" s="6" t="n">
        <s:v>22386</s:v>
      </s:c>
      <s:c r="E293" s="6" t="n">
        <s:v>10448</s:v>
      </s:c>
      <s:c r="F293" s="6" t="n">
        <s:v>10670</s:v>
      </s:c>
      <s:c r="G293" s="6" t="n">
        <s:v>23052</s:v>
      </s:c>
      <s:c r="H293" s="6" t="n">
        <s:v>21817</s:v>
      </s:c>
      <s:c r="I293" s="6" t="n">
        <s:v>4658</s:v>
      </s:c>
      <s:c r="J293" s="6" t="n">
        <s:f>IF(COUNT(C293:I293)=7,SUM(C293:I293),"")</s:f>
        <s:v>103692</s:v>
      </s:c>
    </s:row>
    <s:row r="294">
      <s:c r="A294" s="5" t="n">
        <s:v>46278</s:v>
      </s:c>
      <s:c r="B294" s="2" t="n">
        <s:v>1</s:v>
      </s:c>
      <s:c r="C294" s="6" t="n">
        <s:v>10199</s:v>
      </s:c>
      <s:c r="D294" s="6" t="n">
        <s:v>22387</s:v>
      </s:c>
      <s:c r="E294" s="6" t="n">
        <s:v>10231</s:v>
      </s:c>
      <s:c r="F294" s="6" t="n">
        <s:v>10746</s:v>
      </s:c>
      <s:c r="G294" s="6" t="n">
        <s:v>21730</s:v>
      </s:c>
      <s:c r="H294" s="6" t="n">
        <s:v>22198</s:v>
      </s:c>
      <s:c r="I294" s="6" t="n">
        <s:v>4973</s:v>
      </s:c>
      <s:c r="J294" s="6" t="n">
        <s:f>IF(COUNT(C294:I294)=7,SUM(C294:I294),"")</s:f>
        <s:v>102464</s:v>
      </s:c>
    </s:row>
    <s:row r="295">
      <s:c r="A295" s="5" t="n">
        <s:v>46278</s:v>
      </s:c>
      <s:c r="B295" s="2" t="n">
        <s:v>2</s:v>
      </s:c>
      <s:c r="C295" s="6" t="n">
        <s:v>10231</s:v>
      </s:c>
      <s:c r="D295" s="6" t="n">
        <s:v>22274</s:v>
      </s:c>
      <s:c r="E295" s="6" t="n">
        <s:v>10030</s:v>
      </s:c>
      <s:c r="F295" s="6" t="n">
        <s:v>10607</s:v>
      </s:c>
      <s:c r="G295" s="6" t="n">
        <s:v>22121</s:v>
      </s:c>
      <s:c r="H295" s="6" t="n">
        <s:v>22786</s:v>
      </s:c>
      <s:c r="I295" s="6" t="n">
        <s:v>5156</s:v>
      </s:c>
      <s:c r="J295" s="6" t="n">
        <s:f>IF(COUNT(C295:I295)=7,SUM(C295:I295),"")</s:f>
        <s:v>103205</s:v>
      </s:c>
    </s:row>
    <s:row r="296">
      <s:c r="A296" s="5" t="n">
        <s:v>46278</s:v>
      </s:c>
      <s:c r="B296" s="2" t="n">
        <s:v>3</s:v>
      </s:c>
      <s:c r="C296" s="6" t="n">
        <s:v>10163</s:v>
      </s:c>
      <s:c r="D296" s="6" t="n">
        <s:v>21952</s:v>
      </s:c>
      <s:c r="E296" s="6" t="n">
        <s:v>10010</s:v>
      </s:c>
      <s:c r="F296" s="6" t="n">
        <s:v>10605</s:v>
      </s:c>
      <s:c r="G296" s="6" t="n">
        <s:v>22171</s:v>
      </s:c>
      <s:c r="H296" s="6" t="n">
        <s:v>23013</s:v>
      </s:c>
      <s:c r="I296" s="6" t="n">
        <s:v>5307</s:v>
      </s:c>
      <s:c r="J296" s="6" t="n">
        <s:f>IF(COUNT(C296:I296)=7,SUM(C296:I296),"")</s:f>
        <s:v>103221</s:v>
      </s:c>
    </s:row>
    <s:row r="297">
      <s:c r="A297" s="5" t="n">
        <s:v>46278</s:v>
      </s:c>
      <s:c r="B297" s="2" t="n">
        <s:v>4</s:v>
      </s:c>
      <s:c r="C297" s="6" t="n">
        <s:v>10180</s:v>
      </s:c>
      <s:c r="D297" s="6" t="n">
        <s:v>21958</s:v>
      </s:c>
      <s:c r="E297" s="6" t="n">
        <s:v>10100</s:v>
      </s:c>
      <s:c r="F297" s="6" t="n">
        <s:v>10080</s:v>
      </s:c>
      <s:c r="G297" s="6" t="n">
        <s:v>22532</s:v>
      </s:c>
      <s:c r="H297" s="6" t="n">
        <s:v>23710</s:v>
      </s:c>
      <s:c r="I297" s="6" t="n">
        <s:v>5235</s:v>
      </s:c>
      <s:c r="J297" s="6" t="n">
        <s:f>IF(COUNT(C297:I297)=7,SUM(C297:I297),"")</s:f>
        <s:v>103795</s:v>
      </s:c>
    </s:row>
    <s:row r="298">
      <s:c r="A298" s="5" t="n">
        <s:v>46278</s:v>
      </s:c>
      <s:c r="B298" s="2" t="n">
        <s:v>5</s:v>
      </s:c>
      <s:c r="C298" s="6" t="n">
        <s:v>10159</s:v>
      </s:c>
      <s:c r="D298" s="6" t="n">
        <s:v>22118</s:v>
      </s:c>
      <s:c r="E298" s="6" t="n">
        <s:v>10192</s:v>
      </s:c>
      <s:c r="F298" s="6" t="n">
        <s:v>10061</s:v>
      </s:c>
      <s:c r="G298" s="6" t="n">
        <s:v>23391</s:v>
      </s:c>
      <s:c r="H298" s="6" t="n">
        <s:v>24286</s:v>
      </s:c>
      <s:c r="I298" s="6" t="n">
        <s:v>5325</s:v>
      </s:c>
      <s:c r="J298" s="6" t="n">
        <s:f>IF(COUNT(C298:I298)=7,SUM(C298:I298),"")</s:f>
        <s:v>105532</s:v>
      </s:c>
    </s:row>
    <s:row r="299">
      <s:c r="A299" s="5" t="n">
        <s:v>46278</s:v>
      </s:c>
      <s:c r="B299" s="2" t="n">
        <s:v>6</s:v>
      </s:c>
      <s:c r="C299" s="6" t="n">
        <s:v>10193</s:v>
      </s:c>
      <s:c r="D299" s="6" t="n">
        <s:v>23323</s:v>
      </s:c>
      <s:c r="E299" s="6" t="n">
        <s:v>10580</s:v>
      </s:c>
      <s:c r="F299" s="6" t="n">
        <s:v>10680</s:v>
      </s:c>
      <s:c r="G299" s="6" t="n">
        <s:v>23782</s:v>
      </s:c>
      <s:c r="H299" s="6" t="n">
        <s:v>24458</s:v>
      </s:c>
      <s:c r="I299" s="6" t="n">
        <s:v>5286</s:v>
      </s:c>
      <s:c r="J299" s="6" t="n">
        <s:f>IF(COUNT(C299:I299)=7,SUM(C299:I299),"")</s:f>
        <s:v>108302</s:v>
      </s:c>
    </s:row>
    <s:row r="300">
      <s:c r="A300" s="5" t="n">
        <s:v>46278</s:v>
      </s:c>
      <s:c r="B300" s="2" t="n">
        <s:v>7</s:v>
      </s:c>
      <s:c r="C300" s="6" t="n">
        <s:v>10111</s:v>
      </s:c>
      <s:c r="D300" s="6" t="n">
        <s:v>24466</s:v>
      </s:c>
      <s:c r="E300" s="6" t="n">
        <s:v>11342</s:v>
      </s:c>
      <s:c r="F300" s="6" t="n">
        <s:v>10924</s:v>
      </s:c>
      <s:c r="G300" s="6" t="n">
        <s:v>25249</s:v>
      </s:c>
      <s:c r="H300" s="6" t="n">
        <s:v>24518</s:v>
      </s:c>
      <s:c r="I300" s="6" t="n">
        <s:v>5136</s:v>
      </s:c>
      <s:c r="J300" s="6" t="n">
        <s:f>IF(COUNT(C300:I300)=7,SUM(C300:I300),"")</s:f>
        <s:v>111746</s:v>
      </s:c>
    </s:row>
    <s:row r="301">
      <s:c r="A301" s="5" t="n">
        <s:v>46278</s:v>
      </s:c>
      <s:c r="B301" s="2" t="n">
        <s:v>8</s:v>
      </s:c>
      <s:c r="C301" s="6" t="n">
        <s:v>10234</s:v>
      </s:c>
      <s:c r="D301" s="6" t="n">
        <s:v>25853</s:v>
      </s:c>
      <s:c r="E301" s="6" t="n">
        <s:v>12054</s:v>
      </s:c>
      <s:c r="F301" s="6" t="n">
        <s:v>11187</s:v>
      </s:c>
      <s:c r="G301" s="6" t="n">
        <s:v>27605</s:v>
      </s:c>
      <s:c r="H301" s="6" t="n">
        <s:v>24685</s:v>
      </s:c>
      <s:c r="I301" s="6" t="n">
        <s:v>5177</s:v>
      </s:c>
      <s:c r="J301" s="6" t="n">
        <s:f>IF(COUNT(C301:I301)=7,SUM(C301:I301),"")</s:f>
        <s:v>116795</s:v>
      </s:c>
    </s:row>
    <s:row r="302">
      <s:c r="A302" s="5" t="n">
        <s:v>46278</s:v>
      </s:c>
      <s:c r="B302" s="2" t="n">
        <s:v>9</s:v>
      </s:c>
      <s:c r="C302" s="6" t="n">
        <s:v>10791</s:v>
      </s:c>
      <s:c r="D302" s="6" t="n">
        <s:v>26471</s:v>
      </s:c>
      <s:c r="E302" s="6" t="n">
        <s:v>12532</s:v>
      </s:c>
      <s:c r="F302" s="6" t="n">
        <s:v>11424</s:v>
      </s:c>
      <s:c r="G302" s="6" t="n">
        <s:v>27890</s:v>
      </s:c>
      <s:c r="H302" s="6" t="n">
        <s:v>24678</s:v>
      </s:c>
      <s:c r="I302" s="6" t="n">
        <s:v>5191</s:v>
      </s:c>
      <s:c r="J302" s="6" t="n">
        <s:f>IF(COUNT(C302:I302)=7,SUM(C302:I302),"")</s:f>
        <s:v>118977</s:v>
      </s:c>
    </s:row>
    <s:row r="303">
      <s:c r="A303" s="5" t="n">
        <s:v>46278</s:v>
      </s:c>
      <s:c r="B303" s="2" t="n">
        <s:v>10</s:v>
      </s:c>
      <s:c r="C303" s="6" t="n">
        <s:v>10898</s:v>
      </s:c>
      <s:c r="D303" s="6" t="n">
        <s:v>26603</s:v>
      </s:c>
      <s:c r="E303" s="6" t="n">
        <s:v>13099</s:v>
      </s:c>
      <s:c r="F303" s="6" t="n">
        <s:v>11705</s:v>
      </s:c>
      <s:c r="G303" s="6" t="n">
        <s:v>28184</s:v>
      </s:c>
      <s:c r="H303" s="6" t="n">
        <s:v>25034</s:v>
      </s:c>
      <s:c r="I303" s="6" t="n">
        <s:v>5209</s:v>
      </s:c>
      <s:c r="J303" s="6" t="n">
        <s:f>IF(COUNT(C303:I303)=7,SUM(C303:I303),"")</s:f>
        <s:v>120732</s:v>
      </s:c>
    </s:row>
    <s:row r="304">
      <s:c r="A304" s="5" t="n">
        <s:v>46278</s:v>
      </s:c>
      <s:c r="B304" s="2" t="n">
        <s:v>11</s:v>
      </s:c>
      <s:c r="C304" s="6" t="n">
        <s:v>10923</s:v>
      </s:c>
      <s:c r="D304" s="6" t="n">
        <s:v>26137</s:v>
      </s:c>
      <s:c r="E304" s="6" t="n">
        <s:v>13346</s:v>
      </s:c>
      <s:c r="F304" s="6" t="n">
        <s:v>11551</s:v>
      </s:c>
      <s:c r="G304" s="6" t="n">
        <s:v>28186</s:v>
      </s:c>
      <s:c r="H304" s="6" t="n">
        <s:v>24783</s:v>
      </s:c>
      <s:c r="I304" s="6" t="n">
        <s:v>5316</s:v>
      </s:c>
      <s:c r="J304" s="6" t="n">
        <s:f>IF(COUNT(C304:I304)=7,SUM(C304:I304),"")</s:f>
        <s:v>120242</s:v>
      </s:c>
    </s:row>
    <s:row r="305">
      <s:c r="A305" s="5" t="n">
        <s:v>46278</s:v>
      </s:c>
      <s:c r="B305" s="2" t="n">
        <s:v>12</s:v>
      </s:c>
      <s:c r="C305" s="6" t="n">
        <s:v>10920</s:v>
      </s:c>
      <s:c r="D305" s="6" t="n">
        <s:v>26845</s:v>
      </s:c>
      <s:c r="E305" s="6" t="n">
        <s:v>13110</s:v>
      </s:c>
      <s:c r="F305" s="6" t="n">
        <s:v>11491</s:v>
      </s:c>
      <s:c r="G305" s="6" t="n">
        <s:v>28922</s:v>
      </s:c>
      <s:c r="H305" s="6" t="n">
        <s:v>25119</s:v>
      </s:c>
      <s:c r="I305" s="6" t="n">
        <s:v>5380</s:v>
      </s:c>
      <s:c r="J305" s="6" t="n">
        <s:f>IF(COUNT(C305:I305)=7,SUM(C305:I305),"")</s:f>
        <s:v>121787</s:v>
      </s:c>
    </s:row>
    <s:row r="306">
      <s:c r="A306" s="5" t="n">
        <s:v>46278</s:v>
      </s:c>
      <s:c r="B306" s="2" t="n">
        <s:v>13</s:v>
      </s:c>
      <s:c r="C306" s="6" t="n">
        <s:v>10944</s:v>
      </s:c>
      <s:c r="D306" s="6" t="n">
        <s:v>27333</s:v>
      </s:c>
      <s:c r="E306" s="6" t="n">
        <s:v>13151</s:v>
      </s:c>
      <s:c r="F306" s="6" t="n">
        <s:v>11284</s:v>
      </s:c>
      <s:c r="G306" s="6" t="n">
        <s:v>28815</s:v>
      </s:c>
      <s:c r="H306" s="6" t="n">
        <s:v>25293</s:v>
      </s:c>
      <s:c r="I306" s="6" t="n">
        <s:v>5449</s:v>
      </s:c>
      <s:c r="J306" s="6" t="n">
        <s:f>IF(COUNT(C306:I306)=7,SUM(C306:I306),"")</s:f>
        <s:v>122269</s:v>
      </s:c>
    </s:row>
    <s:row r="307">
      <s:c r="A307" s="5" t="n">
        <s:v>46278</s:v>
      </s:c>
      <s:c r="B307" s="2" t="n">
        <s:v>14</s:v>
      </s:c>
      <s:c r="C307" s="6" t="n">
        <s:v>10941</s:v>
      </s:c>
      <s:c r="D307" s="6" t="n">
        <s:v>27387</s:v>
      </s:c>
      <s:c r="E307" s="6" t="n">
        <s:v>13019</s:v>
      </s:c>
      <s:c r="F307" s="6" t="n">
        <s:v>11308</s:v>
      </s:c>
      <s:c r="G307" s="6" t="n">
        <s:v>28866</s:v>
      </s:c>
      <s:c r="H307" s="6" t="n">
        <s:v>25260</s:v>
      </s:c>
      <s:c r="I307" s="6" t="n">
        <s:v>5273</s:v>
      </s:c>
      <s:c r="J307" s="6" t="n">
        <s:f>IF(COUNT(C307:I307)=7,SUM(C307:I307),"")</s:f>
        <s:v>122054</s:v>
      </s:c>
    </s:row>
    <s:row r="308">
      <s:c r="A308" s="5" t="n">
        <s:v>46278</s:v>
      </s:c>
      <s:c r="B308" s="2" t="n">
        <s:v>15</s:v>
      </s:c>
      <s:c r="C308" s="6" t="n">
        <s:v>10859</s:v>
      </s:c>
      <s:c r="D308" s="6" t="n">
        <s:v>28096</s:v>
      </s:c>
      <s:c r="E308" s="6" t="n">
        <s:v>13392</s:v>
      </s:c>
      <s:c r="F308" s="6" t="n">
        <s:v>11266</s:v>
      </s:c>
      <s:c r="G308" s="6" t="n">
        <s:v>28817</s:v>
      </s:c>
      <s:c r="H308" s="6" t="n">
        <s:v>25503</s:v>
      </s:c>
      <s:c r="I308" s="6" t="n">
        <s:v>4957</s:v>
      </s:c>
      <s:c r="J308" s="6" t="n">
        <s:f>IF(COUNT(C308:I308)=7,SUM(C308:I308),"")</s:f>
        <s:v>122890</s:v>
      </s:c>
    </s:row>
    <s:row r="309">
      <s:c r="A309" s="5" t="n">
        <s:v>46278</s:v>
      </s:c>
      <s:c r="B309" s="2" t="n">
        <s:v>16</s:v>
      </s:c>
      <s:c r="C309" s="6" t="n">
        <s:v>10968</s:v>
      </s:c>
      <s:c r="D309" s="6" t="n">
        <s:v>27934</s:v>
      </s:c>
      <s:c r="E309" s="6" t="n">
        <s:v>13210</s:v>
      </s:c>
      <s:c r="F309" s="6" t="n">
        <s:v>11506</s:v>
      </s:c>
      <s:c r="G309" s="6" t="n">
        <s:v>28788</s:v>
      </s:c>
      <s:c r="H309" s="6" t="n">
        <s:v>25486</s:v>
      </s:c>
      <s:c r="I309" s="6" t="n">
        <s:v>4821</s:v>
      </s:c>
      <s:c r="J309" s="6" t="n">
        <s:f>IF(COUNT(C309:I309)=7,SUM(C309:I309),"")</s:f>
        <s:v>122713</s:v>
      </s:c>
    </s:row>
    <s:row r="310">
      <s:c r="A310" s="5" t="n">
        <s:v>46278</s:v>
      </s:c>
      <s:c r="B310" s="2" t="n">
        <s:v>17</s:v>
      </s:c>
      <s:c r="C310" s="6" t="n">
        <s:v>10962</s:v>
      </s:c>
      <s:c r="D310" s="6" t="n">
        <s:v>28118</s:v>
      </s:c>
      <s:c r="E310" s="6" t="n">
        <s:v>12901</s:v>
      </s:c>
      <s:c r="F310" s="6" t="n">
        <s:v>12254</s:v>
      </s:c>
      <s:c r="G310" s="6" t="n">
        <s:v>28689</s:v>
      </s:c>
      <s:c r="H310" s="6" t="n">
        <s:v>24801</s:v>
      </s:c>
      <s:c r="I310" s="6" t="n">
        <s:v>4554</s:v>
      </s:c>
      <s:c r="J310" s="6" t="n">
        <s:f>IF(COUNT(C310:I310)=7,SUM(C310:I310),"")</s:f>
        <s:v>122279</s:v>
      </s:c>
    </s:row>
    <s:row r="311">
      <s:c r="A311" s="5" t="n">
        <s:v>46278</s:v>
      </s:c>
      <s:c r="B311" s="2" t="n">
        <s:v>18</s:v>
      </s:c>
      <s:c r="C311" s="6" t="n">
        <s:v>11009</s:v>
      </s:c>
      <s:c r="D311" s="6" t="n">
        <s:v>27776</s:v>
      </s:c>
      <s:c r="E311" s="6" t="n">
        <s:v>13843</s:v>
      </s:c>
      <s:c r="F311" s="6" t="n">
        <s:v>12493</s:v>
      </s:c>
      <s:c r="G311" s="6" t="n">
        <s:v>28738</s:v>
      </s:c>
      <s:c r="H311" s="6" t="n">
        <s:v>24316</s:v>
      </s:c>
      <s:c r="I311" s="6" t="n">
        <s:v>4420</s:v>
      </s:c>
      <s:c r="J311" s="6" t="n">
        <s:f>IF(COUNT(C311:I311)=7,SUM(C311:I311),"")</s:f>
        <s:v>122595</s:v>
      </s:c>
    </s:row>
    <s:row r="312">
      <s:c r="A312" s="5" t="n">
        <s:v>46278</s:v>
      </s:c>
      <s:c r="B312" s="2" t="n">
        <s:v>19</s:v>
      </s:c>
      <s:c r="C312" s="6" t="n">
        <s:v>11295</s:v>
      </s:c>
      <s:c r="D312" s="6" t="n">
        <s:v>27972</s:v>
      </s:c>
      <s:c r="E312" s="6" t="n">
        <s:v>14311</s:v>
      </s:c>
      <s:c r="F312" s="6" t="n">
        <s:v>12182</s:v>
      </s:c>
      <s:c r="G312" s="6" t="n">
        <s:v>28733</s:v>
      </s:c>
      <s:c r="H312" s="6" t="n">
        <s:v>23566</s:v>
      </s:c>
      <s:c r="I312" s="6" t="n">
        <s:v>4471</s:v>
      </s:c>
      <s:c r="J312" s="6" t="n">
        <s:f>IF(COUNT(C312:I312)=7,SUM(C312:I312),"")</s:f>
        <s:v>122530</s:v>
      </s:c>
    </s:row>
    <s:row r="313">
      <s:c r="A313" s="5" t="n">
        <s:v>46278</s:v>
      </s:c>
      <s:c r="B313" s="2" t="n">
        <s:v>20</s:v>
      </s:c>
      <s:c r="C313" s="6" t="n">
        <s:v>11158</s:v>
      </s:c>
      <s:c r="D313" s="6" t="n">
        <s:v>28281</s:v>
      </s:c>
      <s:c r="E313" s="6" t="n">
        <s:v>13112</s:v>
      </s:c>
      <s:c r="F313" s="6" t="n">
        <s:v>11781</s:v>
      </s:c>
      <s:c r="G313" s="6" t="n">
        <s:v>27919</s:v>
      </s:c>
      <s:c r="H313" s="6" t="n">
        <s:v>23357</s:v>
      </s:c>
      <s:c r="I313" s="6" t="n">
        <s:v>4333</s:v>
      </s:c>
      <s:c r="J313" s="6" t="n">
        <s:f>IF(COUNT(C313:I313)=7,SUM(C313:I313),"")</s:f>
        <s:v>119941</s:v>
      </s:c>
    </s:row>
    <s:row r="314">
      <s:c r="A314" s="5" t="n">
        <s:v>46278</s:v>
      </s:c>
      <s:c r="B314" s="2" t="n">
        <s:v>21</s:v>
      </s:c>
      <s:c r="C314" s="6" t="n">
        <s:v>11148</s:v>
      </s:c>
      <s:c r="D314" s="6" t="n">
        <s:v>26234</s:v>
      </s:c>
      <s:c r="E314" s="6" t="n">
        <s:v>12233</s:v>
      </s:c>
      <s:c r="F314" s="6" t="n">
        <s:v>11007</s:v>
      </s:c>
      <s:c r="G314" s="6" t="n">
        <s:v>26638</s:v>
      </s:c>
      <s:c r="H314" s="6" t="n">
        <s:v>23139</s:v>
      </s:c>
      <s:c r="I314" s="6" t="n">
        <s:v>4442</s:v>
      </s:c>
      <s:c r="J314" s="6" t="n">
        <s:f>IF(COUNT(C314:I314)=7,SUM(C314:I314),"")</s:f>
        <s:v>114841</s:v>
      </s:c>
    </s:row>
    <s:row r="315">
      <s:c r="A315" s="5" t="n">
        <s:v>46278</s:v>
      </s:c>
      <s:c r="B315" s="2" t="n">
        <s:v>22</s:v>
      </s:c>
      <s:c r="C315" s="6" t="n">
        <s:v>11051</s:v>
      </s:c>
      <s:c r="D315" s="6" t="n">
        <s:v>24722</s:v>
      </s:c>
      <s:c r="E315" s="6" t="n">
        <s:v>11504</s:v>
      </s:c>
      <s:c r="F315" s="6" t="n">
        <s:v>10982</s:v>
      </s:c>
      <s:c r="G315" s="6" t="n">
        <s:v>24437</s:v>
      </s:c>
      <s:c r="H315" s="6" t="n">
        <s:v>22861</s:v>
      </s:c>
      <s:c r="I315" s="6" t="n">
        <s:v>4428</s:v>
      </s:c>
      <s:c r="J315" s="6" t="n">
        <s:f>IF(COUNT(C315:I315)=7,SUM(C315:I315),"")</s:f>
        <s:v>109985</s:v>
      </s:c>
    </s:row>
    <s:row r="316">
      <s:c r="A316" s="5" t="n">
        <s:v>46278</s:v>
      </s:c>
      <s:c r="B316" s="2" t="n">
        <s:v>23</s:v>
      </s:c>
      <s:c r="C316" s="6" t="n">
        <s:v>10801</s:v>
      </s:c>
      <s:c r="D316" s="6" t="n">
        <s:v>22379</s:v>
      </s:c>
      <s:c r="E316" s="6" t="n">
        <s:v>10733</s:v>
      </s:c>
      <s:c r="F316" s="6" t="n">
        <s:v>10396</s:v>
      </s:c>
      <s:c r="G316" s="6" t="n">
        <s:v>23802</s:v>
      </s:c>
      <s:c r="H316" s="6" t="n">
        <s:v>23387</s:v>
      </s:c>
      <s:c r="I316" s="6" t="n">
        <s:v>4659</s:v>
      </s:c>
      <s:c r="J316" s="6" t="n">
        <s:f>IF(COUNT(C316:I316)=7,SUM(C316:I316),"")</s:f>
        <s:v>106157</s:v>
      </s:c>
    </s:row>
    <s:row r="317">
      <s:c r="A317" s="5" t="n">
        <s:v>46279</s:v>
      </s:c>
      <s:c r="B317" s="2" t="n">
        <s:v>0</s:v>
      </s:c>
      <s:c r="C317" s="6" t="n">
        <s:v>10442</s:v>
      </s:c>
      <s:c r="D317" s="6" t="n">
        <s:v>21707</s:v>
      </s:c>
      <s:c r="E317" s="6" t="n">
        <s:v>10250</s:v>
      </s:c>
      <s:c r="F317" s="6" t="n">
        <s:v>10364</s:v>
      </s:c>
      <s:c r="G317" s="6" t="n">
        <s:v>23457</s:v>
      </s:c>
      <s:c r="H317" s="6" t="n">
        <s:v>23130</s:v>
      </s:c>
      <s:c r="I317" s="6" t="n">
        <s:v>4833</s:v>
      </s:c>
      <s:c r="J317" s="6" t="n">
        <s:f>IF(COUNT(C317:I317)=7,SUM(C317:I317),"")</s:f>
        <s:v>104183</s:v>
      </s:c>
    </s:row>
    <s:row r="318">
      <s:c r="A318" s="5" t="n">
        <s:v>46279</s:v>
      </s:c>
      <s:c r="B318" s="2" t="n">
        <s:v>1</s:v>
      </s:c>
      <s:c r="C318" s="6" t="n">
        <s:v>10257</s:v>
      </s:c>
      <s:c r="D318" s="6" t="n">
        <s:v>21728</s:v>
      </s:c>
      <s:c r="E318" s="6" t="n">
        <s:v>9721</s:v>
      </s:c>
      <s:c r="F318" s="6" t="n">
        <s:v>10122</s:v>
      </s:c>
      <s:c r="G318" s="6" t="n">
        <s:v>23049</s:v>
      </s:c>
      <s:c r="H318" s="6" t="n">
        <s:v>23881</s:v>
      </s:c>
      <s:c r="I318" s="6" t="n">
        <s:v>5074</s:v>
      </s:c>
      <s:c r="J318" s="6" t="n">
        <s:f>IF(COUNT(C318:I318)=7,SUM(C318:I318),"")</s:f>
        <s:v>103832</s:v>
      </s:c>
    </s:row>
    <s:row r="319">
      <s:c r="A319" s="5" t="n">
        <s:v>46279</s:v>
      </s:c>
      <s:c r="B319" s="2" t="n">
        <s:v>2</s:v>
      </s:c>
      <s:c r="C319" s="6" t="n">
        <s:v>10214</s:v>
      </s:c>
      <s:c r="D319" s="6" t="n">
        <s:v>21572</s:v>
      </s:c>
      <s:c r="E319" s="6" t="n">
        <s:v>9771</s:v>
      </s:c>
      <s:c r="F319" s="6" t="n">
        <s:v>10464</s:v>
      </s:c>
      <s:c r="G319" s="6" t="n">
        <s:v>22476</s:v>
      </s:c>
      <s:c r="H319" s="6" t="n">
        <s:v>24381</s:v>
      </s:c>
      <s:c r="I319" s="6" t="n">
        <s:v>5289</s:v>
      </s:c>
      <s:c r="J319" s="6" t="n">
        <s:f>IF(COUNT(C319:I319)=7,SUM(C319:I319),"")</s:f>
        <s:v>104167</s:v>
      </s:c>
    </s:row>
    <s:row r="320">
      <s:c r="A320" s="5" t="n">
        <s:v>46279</s:v>
      </s:c>
      <s:c r="B320" s="2" t="n">
        <s:v>3</s:v>
      </s:c>
      <s:c r="C320" s="6" t="n">
        <s:v>10192</s:v>
      </s:c>
      <s:c r="D320" s="6" t="n">
        <s:v>21535</s:v>
      </s:c>
      <s:c r="E320" s="6" t="n">
        <s:v>9676</s:v>
      </s:c>
      <s:c r="F320" s="6" t="n">
        <s:v>10747</s:v>
      </s:c>
      <s:c r="G320" s="6" t="n">
        <s:v>23733</s:v>
      </s:c>
      <s:c r="H320" s="6" t="n">
        <s:v>24071</s:v>
      </s:c>
      <s:c r="I320" s="6" t="n">
        <s:v>5220</s:v>
      </s:c>
      <s:c r="J320" s="6" t="n">
        <s:f>IF(COUNT(C320:I320)=7,SUM(C320:I320),"")</s:f>
        <s:v>105174</s:v>
      </s:c>
    </s:row>
    <s:row r="321">
      <s:c r="A321" s="5" t="n">
        <s:v>46279</s:v>
      </s:c>
      <s:c r="B321" s="2" t="n">
        <s:v>4</s:v>
      </s:c>
      <s:c r="C321" s="6" t="n">
        <s:v>10212</s:v>
      </s:c>
      <s:c r="D321" s="6" t="n">
        <s:v>21705</s:v>
      </s:c>
      <s:c r="E321" s="6" t="n">
        <s:v>9502</s:v>
      </s:c>
      <s:c r="F321" s="6" t="n">
        <s:v>10784</s:v>
      </s:c>
      <s:c r="G321" s="6" t="n">
        <s:v>25576</s:v>
      </s:c>
      <s:c r="H321" s="6" t="n">
        <s:v>24523</s:v>
      </s:c>
      <s:c r="I321" s="6" t="n">
        <s:v>5262</s:v>
      </s:c>
      <s:c r="J321" s="6" t="n">
        <s:f>IF(COUNT(C321:I321)=7,SUM(C321:I321),"")</s:f>
        <s:v>107564</s:v>
      </s:c>
    </s:row>
    <s:row r="322">
      <s:c r="A322" s="5" t="n">
        <s:v>46279</s:v>
      </s:c>
      <s:c r="B322" s="2" t="n">
        <s:v>5</s:v>
      </s:c>
      <s:c r="C322" s="6" t="n">
        <s:v>10283</s:v>
      </s:c>
      <s:c r="D322" s="6" t="n">
        <s:v>22954</s:v>
      </s:c>
      <s:c r="E322" s="6" t="n">
        <s:v>10143</s:v>
      </s:c>
      <s:c r="F322" s="6" t="n">
        <s:v>10825</s:v>
      </s:c>
      <s:c r="G322" s="6" t="n">
        <s:v>27099</s:v>
      </s:c>
      <s:c r="H322" s="6" t="n">
        <s:v>24401</s:v>
      </s:c>
      <s:c r="I322" s="6" t="n">
        <s:v>5149</s:v>
      </s:c>
      <s:c r="J322" s="6" t="n">
        <s:f>IF(COUNT(C322:I322)=7,SUM(C322:I322),"")</s:f>
        <s:v>110854</s:v>
      </s:c>
    </s:row>
    <s:row r="323">
      <s:c r="A323" s="5" t="n">
        <s:v>46279</s:v>
      </s:c>
      <s:c r="B323" s="2" t="n">
        <s:v>6</s:v>
      </s:c>
      <s:c r="C323" s="6" t="n">
        <s:v>10540</s:v>
      </s:c>
      <s:c r="D323" s="6" t="n">
        <s:v>25029</s:v>
      </s:c>
      <s:c r="E323" s="6" t="n">
        <s:v>10744</s:v>
      </s:c>
      <s:c r="F323" s="6" t="n">
        <s:v>11721</s:v>
      </s:c>
      <s:c r="G323" s="6" t="n">
        <s:v>28624</s:v>
      </s:c>
      <s:c r="H323" s="6" t="n">
        <s:v>24340</s:v>
      </s:c>
      <s:c r="I323" s="6" t="n">
        <s:v>5124</s:v>
      </s:c>
      <s:c r="J323" s="6" t="n">
        <s:f>IF(COUNT(C323:I323)=7,SUM(C323:I323),"")</s:f>
        <s:v>116122</s:v>
      </s:c>
    </s:row>
    <s:row r="324">
      <s:c r="A324" s="5" t="n">
        <s:v>46279</s:v>
      </s:c>
      <s:c r="B324" s="2" t="n">
        <s:v>7</s:v>
      </s:c>
      <s:c r="C324" s="6" t="n">
        <s:v>10765</s:v>
      </s:c>
      <s:c r="D324" s="6" t="n">
        <s:v>26936</s:v>
      </s:c>
      <s:c r="E324" s="6" t="n">
        <s:v>11233</s:v>
      </s:c>
      <s:c r="F324" s="6" t="n">
        <s:v>11697</s:v>
      </s:c>
      <s:c r="G324" s="6" t="n">
        <s:v>29319</s:v>
      </s:c>
      <s:c r="H324" s="6" t="n">
        <s:v>23987</s:v>
      </s:c>
      <s:c r="I324" s="6" t="n">
        <s:v>5089</s:v>
      </s:c>
      <s:c r="J324" s="6" t="n">
        <s:f>IF(COUNT(C324:I324)=7,SUM(C324:I324),"")</s:f>
        <s:v>119026</s:v>
      </s:c>
    </s:row>
    <s:row r="325">
      <s:c r="A325" s="5" t="n">
        <s:v>46279</s:v>
      </s:c>
      <s:c r="B325" s="2" t="n">
        <s:v>8</s:v>
      </s:c>
      <s:c r="C325" s="6" t="n">
        <s:v>11293</s:v>
      </s:c>
      <s:c r="D325" s="6" t="n">
        <s:v>27970</s:v>
      </s:c>
      <s:c r="E325" s="6" t="n">
        <s:v>12424</s:v>
      </s:c>
      <s:c r="F325" s="6" t="n">
        <s:v>12941</s:v>
      </s:c>
      <s:c r="G325" s="6" t="n">
        <s:v>29330</s:v>
      </s:c>
      <s:c r="H325" s="6" t="n">
        <s:v>24991</s:v>
      </s:c>
      <s:c r="I325" s="6" t="n">
        <s:v>5131</s:v>
      </s:c>
      <s:c r="J325" s="6" t="n">
        <s:f>IF(COUNT(C325:I325)=7,SUM(C325:I325),"")</s:f>
        <s:v>124080</s:v>
      </s:c>
    </s:row>
    <s:row r="326">
      <s:c r="A326" s="5" t="n">
        <s:v>46279</s:v>
      </s:c>
      <s:c r="B326" s="2" t="n">
        <s:v>9</s:v>
      </s:c>
      <s:c r="C326" s="6" t="n">
        <s:v>11603</s:v>
      </s:c>
      <s:c r="D326" s="6" t="n">
        <s:v>28462</s:v>
      </s:c>
      <s:c r="E326" s="6" t="n">
        <s:v>12822</s:v>
      </s:c>
      <s:c r="F326" s="6" t="n">
        <s:v>12903</s:v>
      </s:c>
      <s:c r="G326" s="6" t="n">
        <s:v>29221</s:v>
      </s:c>
      <s:c r="H326" s="6" t="n">
        <s:v>24828</s:v>
      </s:c>
      <s:c r="I326" s="6" t="n">
        <s:v>5025</s:v>
      </s:c>
      <s:c r="J326" s="6" t="n">
        <s:f>IF(COUNT(C326:I326)=7,SUM(C326:I326),"")</s:f>
        <s:v>124864</s:v>
      </s:c>
    </s:row>
    <s:row r="327">
      <s:c r="A327" s="5" t="n">
        <s:v>46279</s:v>
      </s:c>
      <s:c r="B327" s="2" t="n">
        <s:v>10</s:v>
      </s:c>
      <s:c r="C327" s="6" t="n">
        <s:v>11636</s:v>
      </s:c>
      <s:c r="D327" s="6" t="n">
        <s:v>28097</s:v>
      </s:c>
      <s:c r="E327" s="6" t="n">
        <s:v>13242</s:v>
      </s:c>
      <s:c r="F327" s="6" t="n">
        <s:v>12944</s:v>
      </s:c>
      <s:c r="G327" s="6" t="n">
        <s:v>29543</s:v>
      </s:c>
      <s:c r="H327" s="6" t="n">
        <s:v>24988</s:v>
      </s:c>
      <s:c r="I327" s="6" t="n">
        <s:v>5063</s:v>
      </s:c>
      <s:c r="J327" s="6" t="n">
        <s:f>IF(COUNT(C327:I327)=7,SUM(C327:I327),"")</s:f>
        <s:v>125513</s:v>
      </s:c>
    </s:row>
    <s:row r="328">
      <s:c r="A328" s="5" t="n">
        <s:v>46279</s:v>
      </s:c>
      <s:c r="B328" s="2" t="n">
        <s:v>11</s:v>
      </s:c>
      <s:c r="C328" s="6" t="n">
        <s:v>11483</s:v>
      </s:c>
      <s:c r="D328" s="6" t="n">
        <s:v>27962</s:v>
      </s:c>
      <s:c r="E328" s="6" t="n">
        <s:v>13393</s:v>
      </s:c>
      <s:c r="F328" s="6" t="n">
        <s:v>12805</s:v>
      </s:c>
      <s:c r="G328" s="6" t="n">
        <s:v>28988</s:v>
      </s:c>
      <s:c r="H328" s="6" t="n">
        <s:v>24753</s:v>
      </s:c>
      <s:c r="I328" s="6" t="n">
        <s:v>5132</s:v>
      </s:c>
      <s:c r="J328" s="6" t="n">
        <s:f>IF(COUNT(C328:I328)=7,SUM(C328:I328),"")</s:f>
        <s:v>124516</s:v>
      </s:c>
    </s:row>
    <s:row r="329">
      <s:c r="A329" s="5" t="n">
        <s:v>46279</s:v>
      </s:c>
      <s:c r="B329" s="2" t="n">
        <s:v>12</s:v>
      </s:c>
      <s:c r="C329" s="6" t="n">
        <s:v>11518</s:v>
      </s:c>
      <s:c r="D329" s="6" t="n">
        <s:v>27892</s:v>
      </s:c>
      <s:c r="E329" s="6" t="n">
        <s:v>13317</s:v>
      </s:c>
      <s:c r="F329" s="6" t="n">
        <s:v>12979</s:v>
      </s:c>
      <s:c r="G329" s="6" t="n">
        <s:v>28772</s:v>
      </s:c>
      <s:c r="H329" s="6" t="n">
        <s:v>24493</s:v>
      </s:c>
      <s:c r="I329" s="6" t="n">
        <s:v>5390</s:v>
      </s:c>
      <s:c r="J329" s="6" t="n">
        <s:f>IF(COUNT(C329:I329)=7,SUM(C329:I329),"")</s:f>
        <s:v>124361</s:v>
      </s:c>
    </s:row>
    <s:row r="330">
      <s:c r="A330" s="5" t="n">
        <s:v>46279</s:v>
      </s:c>
      <s:c r="B330" s="2" t="n">
        <s:v>13</s:v>
      </s:c>
      <s:c r="C330" s="6" t="n">
        <s:v>11461</s:v>
      </s:c>
      <s:c r="D330" s="6" t="n">
        <s:v>27947</s:v>
      </s:c>
      <s:c r="E330" s="6" t="n">
        <s:v>13530</s:v>
      </s:c>
      <s:c r="F330" s="6" t="n">
        <s:v>13012</s:v>
      </s:c>
      <s:c r="G330" s="6" t="n">
        <s:v>28977</s:v>
      </s:c>
      <s:c r="H330" s="6" t="n">
        <s:v>24905</s:v>
      </s:c>
      <s:c r="I330" s="6" t="n">
        <s:v>5459</s:v>
      </s:c>
      <s:c r="J330" s="6" t="n">
        <s:f>IF(COUNT(C330:I330)=7,SUM(C330:I330),"")</s:f>
        <s:v>125291</s:v>
      </s:c>
    </s:row>
    <s:row r="331">
      <s:c r="A331" s="5" t="n">
        <s:v>46279</s:v>
      </s:c>
      <s:c r="B331" s="2" t="n">
        <s:v>14</s:v>
      </s:c>
      <s:c r="C331" s="6" t="n">
        <s:v>10995</s:v>
      </s:c>
      <s:c r="D331" s="6" t="n">
        <s:v>28042</s:v>
      </s:c>
      <s:c r="E331" s="6" t="n">
        <s:v>13262</s:v>
      </s:c>
      <s:c r="F331" s="6" t="n">
        <s:v>13155</s:v>
      </s:c>
      <s:c r="G331" s="6" t="n">
        <s:v>28762</s:v>
      </s:c>
      <s:c r="H331" s="6" t="n">
        <s:v>24985</s:v>
      </s:c>
      <s:c r="I331" s="6" t="n">
        <s:v>5284</s:v>
      </s:c>
      <s:c r="J331" s="6" t="n">
        <s:f>IF(COUNT(C331:I331)=7,SUM(C331:I331),"")</s:f>
        <s:v>124485</s:v>
      </s:c>
    </s:row>
    <s:row r="332">
      <s:c r="A332" s="5" t="n">
        <s:v>46279</s:v>
      </s:c>
      <s:c r="B332" s="2" t="n">
        <s:v>15</s:v>
      </s:c>
      <s:c r="C332" s="6" t="n">
        <s:v>10940</s:v>
      </s:c>
      <s:c r="D332" s="6" t="n">
        <s:v>28275</s:v>
      </s:c>
      <s:c r="E332" s="6" t="n">
        <s:v>13321</s:v>
      </s:c>
      <s:c r="F332" s="6" t="n">
        <s:v>13064</s:v>
      </s:c>
      <s:c r="G332" s="6" t="n">
        <s:v>29065</s:v>
      </s:c>
      <s:c r="H332" s="6" t="n">
        <s:v>25022</s:v>
      </s:c>
      <s:c r="I332" s="6" t="n">
        <s:v>5021</s:v>
      </s:c>
      <s:c r="J332" s="6" t="n">
        <s:f>IF(COUNT(C332:I332)=7,SUM(C332:I332),"")</s:f>
        <s:v>124708</s:v>
      </s:c>
    </s:row>
    <s:row r="333">
      <s:c r="A333" s="5" t="n">
        <s:v>46279</s:v>
      </s:c>
      <s:c r="B333" s="2" t="n">
        <s:v>16</s:v>
      </s:c>
      <s:c r="C333" s="6" t="n">
        <s:v>10882</s:v>
      </s:c>
      <s:c r="D333" s="6" t="n">
        <s:v>27934</s:v>
      </s:c>
      <s:c r="E333" s="6" t="n">
        <s:v>13054</s:v>
      </s:c>
      <s:c r="F333" s="6" t="n">
        <s:v>12775</s:v>
      </s:c>
      <s:c r="G333" s="6" t="n">
        <s:v>29156</s:v>
      </s:c>
      <s:c r="H333" s="6" t="n">
        <s:v>24960</s:v>
      </s:c>
      <s:c r="I333" s="6" t="n">
        <s:v>4793</s:v>
      </s:c>
      <s:c r="J333" s="6" t="n">
        <s:f>IF(COUNT(C333:I333)=7,SUM(C333:I333),"")</s:f>
        <s:v>123554</s:v>
      </s:c>
    </s:row>
    <s:row r="334">
      <s:c r="A334" s="5" t="n">
        <s:v>46279</s:v>
      </s:c>
      <s:c r="B334" s="2" t="n">
        <s:v>17</s:v>
      </s:c>
      <s:c r="C334" s="6" t="n">
        <s:v>11335</s:v>
      </s:c>
      <s:c r="D334" s="6" t="n">
        <s:v>28010</s:v>
      </s:c>
      <s:c r="E334" s="6" t="n">
        <s:v>12847</s:v>
      </s:c>
      <s:c r="F334" s="6" t="n">
        <s:v>12936</s:v>
      </s:c>
      <s:c r="G334" s="6" t="n">
        <s:v>28628</s:v>
      </s:c>
      <s:c r="H334" s="6" t="n">
        <s:v>24863</s:v>
      </s:c>
      <s:c r="I334" s="6" t="n">
        <s:v>4486</s:v>
      </s:c>
      <s:c r="J334" s="6" t="n">
        <s:f>IF(COUNT(C334:I334)=7,SUM(C334:I334),"")</s:f>
        <s:v>123105</s:v>
      </s:c>
    </s:row>
    <s:row r="335">
      <s:c r="A335" s="5" t="n">
        <s:v>46279</s:v>
      </s:c>
      <s:c r="B335" s="2" t="n">
        <s:v>18</s:v>
      </s:c>
      <s:c r="C335" s="6" t="n">
        <s:v>11473</s:v>
      </s:c>
      <s:c r="D335" s="6" t="n">
        <s:v>28093</s:v>
      </s:c>
      <s:c r="E335" s="6" t="n">
        <s:v>13423</s:v>
      </s:c>
      <s:c r="F335" s="6" t="n">
        <s:v>13278</s:v>
      </s:c>
      <s:c r="G335" s="6" t="n">
        <s:v>28980</s:v>
      </s:c>
      <s:c r="H335" s="6" t="n">
        <s:v>23934</s:v>
      </s:c>
      <s:c r="I335" s="6" t="n">
        <s:v>4417</s:v>
      </s:c>
      <s:c r="J335" s="6" t="n">
        <s:f>IF(COUNT(C335:I335)=7,SUM(C335:I335),"")</s:f>
        <s:v>123598</s:v>
      </s:c>
    </s:row>
    <s:row r="336">
      <s:c r="A336" s="5" t="n">
        <s:v>46279</s:v>
      </s:c>
      <s:c r="B336" s="2" t="n">
        <s:v>19</s:v>
      </s:c>
      <s:c r="C336" s="6" t="n">
        <s:v>11534</s:v>
      </s:c>
      <s:c r="D336" s="6" t="n">
        <s:v>28646</s:v>
      </s:c>
      <s:c r="E336" s="6" t="n">
        <s:v>12855</s:v>
      </s:c>
      <s:c r="F336" s="6" t="n">
        <s:v>12506</s:v>
      </s:c>
      <s:c r="G336" s="6" t="n">
        <s:v>28724</s:v>
      </s:c>
      <s:c r="H336" s="6" t="n">
        <s:v>22854</s:v>
      </s:c>
      <s:c r="I336" s="6" t="n">
        <s:v>4358</s:v>
      </s:c>
      <s:c r="J336" s="6" t="n">
        <s:f>IF(COUNT(C336:I336)=7,SUM(C336:I336),"")</s:f>
        <s:v>121477</s:v>
      </s:c>
    </s:row>
    <s:row r="337">
      <s:c r="A337" s="5" t="n">
        <s:v>46279</s:v>
      </s:c>
      <s:c r="B337" s="2" t="n">
        <s:v>20</s:v>
      </s:c>
      <s:c r="C337" s="6" t="n">
        <s:v>11673</s:v>
      </s:c>
      <s:c r="D337" s="6" t="n">
        <s:v>27378</s:v>
      </s:c>
      <s:c r="E337" s="6" t="n">
        <s:v>12646</s:v>
      </s:c>
      <s:c r="F337" s="6" t="n">
        <s:v>12477</s:v>
      </s:c>
      <s:c r="G337" s="6" t="n">
        <s:v>27729</s:v>
      </s:c>
      <s:c r="H337" s="6" t="n">
        <s:v>22256</s:v>
      </s:c>
      <s:c r="I337" s="6" t="n">
        <s:v>4336</s:v>
      </s:c>
      <s:c r="J337" s="6" t="n">
        <s:f>IF(COUNT(C337:I337)=7,SUM(C337:I337),"")</s:f>
        <s:v>118495</s:v>
      </s:c>
    </s:row>
    <s:row r="338">
      <s:c r="A338" s="5" t="n">
        <s:v>46279</s:v>
      </s:c>
      <s:c r="B338" s="2" t="n">
        <s:v>21</s:v>
      </s:c>
      <s:c r="C338" s="6" t="n">
        <s:v>11452</s:v>
      </s:c>
      <s:c r="D338" s="6" t="n">
        <s:v>27437</s:v>
      </s:c>
      <s:c r="E338" s="6" t="n">
        <s:v>11763</s:v>
      </s:c>
      <s:c r="F338" s="6" t="n">
        <s:v>10757</s:v>
      </s:c>
      <s:c r="G338" s="6" t="n">
        <s:v>26263</s:v>
      </s:c>
      <s:c r="H338" s="6" t="n">
        <s:v>22716</s:v>
      </s:c>
      <s:c r="I338" s="6" t="n">
        <s:v>4376</s:v>
      </s:c>
      <s:c r="J338" s="6" t="n">
        <s:f>IF(COUNT(C338:I338)=7,SUM(C338:I338),"")</s:f>
        <s:v>114764</s:v>
      </s:c>
    </s:row>
    <s:row r="339">
      <s:c r="A339" s="5" t="n">
        <s:v>46279</s:v>
      </s:c>
      <s:c r="B339" s="2" t="n">
        <s:v>22</s:v>
      </s:c>
      <s:c r="C339" s="6" t="n">
        <s:v>10965</s:v>
      </s:c>
      <s:c r="D339" s="6" t="n">
        <s:v>24874</s:v>
      </s:c>
      <s:c r="E339" s="6" t="n">
        <s:v>11571</s:v>
      </s:c>
      <s:c r="F339" s="6" t="n">
        <s:v>11775</s:v>
      </s:c>
      <s:c r="G339" s="6" t="n">
        <s:v>23802</s:v>
      </s:c>
      <s:c r="H339" s="6" t="n">
        <s:v>22666</s:v>
      </s:c>
      <s:c r="I339" s="6" t="n">
        <s:v>4529</s:v>
      </s:c>
      <s:c r="J339" s="6" t="n">
        <s:f>IF(COUNT(C339:I339)=7,SUM(C339:I339),"")</s:f>
        <s:v>110182</s:v>
      </s:c>
    </s:row>
    <s:row r="340">
      <s:c r="A340" s="5" t="n">
        <s:v>46279</s:v>
      </s:c>
      <s:c r="B340" s="2" t="n">
        <s:v>23</s:v>
      </s:c>
      <s:c r="C340" s="6" t="n">
        <s:v>10756</s:v>
      </s:c>
      <s:c r="D340" s="6" t="n">
        <s:v>25211</s:v>
      </s:c>
      <s:c r="E340" s="6" t="n">
        <s:v>9948</s:v>
      </s:c>
      <s:c r="F340" s="6" t="n">
        <s:v>11039</s:v>
      </s:c>
      <s:c r="G340" s="6" t="n">
        <s:v>23025</s:v>
      </s:c>
      <s:c r="H340" s="6" t="n">
        <s:v>22484</s:v>
      </s:c>
      <s:c r="I340" s="6" t="n">
        <s:v>4824</s:v>
      </s:c>
      <s:c r="J340" s="6" t="n">
        <s:f>IF(COUNT(C340:I340)=7,SUM(C340:I340),"")</s:f>
        <s:v>107287</s:v>
      </s:c>
    </s:row>
    <s:row r="341">
      <s:c r="A341" s="5" t="n">
        <s:v>46280</s:v>
      </s:c>
      <s:c r="B341" s="2" t="n">
        <s:v>0</s:v>
      </s:c>
      <s:c r="C341" s="6" t="n">
        <s:v>10567</s:v>
      </s:c>
      <s:c r="D341" s="6" t="n">
        <s:v>23525</s:v>
      </s:c>
      <s:c r="E341" s="6" t="n">
        <s:v>10503</s:v>
      </s:c>
      <s:c r="F341" s="6" t="n">
        <s:v>10508</s:v>
      </s:c>
      <s:c r="G341" s="6" t="n">
        <s:v>22408</s:v>
      </s:c>
      <s:c r="H341" s="6" t="n">
        <s:v>22781</s:v>
      </s:c>
      <s:c r="I341" s="6" t="n">
        <s:v>5045</s:v>
      </s:c>
      <s:c r="J341" s="6" t="n">
        <s:f>IF(COUNT(C341:I341)=7,SUM(C341:I341),"")</s:f>
        <s:v>105337</s:v>
      </s:c>
    </s:row>
    <s:row r="342">
      <s:c r="A342" s="5" t="n">
        <s:v>46280</s:v>
      </s:c>
      <s:c r="B342" s="2" t="n">
        <s:v>1</s:v>
      </s:c>
      <s:c r="C342" s="6" t="n">
        <s:v>10551</s:v>
      </s:c>
      <s:c r="D342" s="6" t="n">
        <s:v>22823</s:v>
      </s:c>
      <s:c r="E342" s="6" t="n">
        <s:v>10057</s:v>
      </s:c>
      <s:c r="F342" s="6" t="n">
        <s:v>9936</s:v>
      </s:c>
      <s:c r="G342" s="6" t="n">
        <s:v>23207</s:v>
      </s:c>
      <s:c r="H342" s="6" t="n">
        <s:v>22935</s:v>
      </s:c>
      <s:c r="I342" s="6" t="n">
        <s:v>5151</s:v>
      </s:c>
      <s:c r="J342" s="6" t="n">
        <s:f>IF(COUNT(C342:I342)=7,SUM(C342:I342),"")</s:f>
        <s:v>104660</s:v>
      </s:c>
    </s:row>
    <s:row r="343">
      <s:c r="A343" s="5" t="n">
        <s:v>46280</s:v>
      </s:c>
      <s:c r="B343" s="2" t="n">
        <s:v>2</s:v>
      </s:c>
      <s:c r="C343" s="6" t="n">
        <s:v>10604</s:v>
      </s:c>
      <s:c r="D343" s="6" t="n">
        <s:v>22935</s:v>
      </s:c>
      <s:c r="E343" s="6" t="n">
        <s:v>9988</s:v>
      </s:c>
      <s:c r="F343" s="6" t="n">
        <s:v>9804</s:v>
      </s:c>
      <s:c r="G343" s="6" t="n">
        <s:v>23497</s:v>
      </s:c>
      <s:c r="H343" s="6" t="n">
        <s:v>22619</s:v>
      </s:c>
      <s:c r="I343" s="6" t="n">
        <s:v>5146</s:v>
      </s:c>
      <s:c r="J343" s="6" t="n">
        <s:f>IF(COUNT(C343:I343)=7,SUM(C343:I343),"")</s:f>
        <s:v>104593</s:v>
      </s:c>
    </s:row>
    <s:row r="344">
      <s:c r="A344" s="5" t="n">
        <s:v>46280</s:v>
      </s:c>
      <s:c r="B344" s="2" t="n">
        <s:v>3</s:v>
      </s:c>
      <s:c r="C344" s="6" t="n">
        <s:v>10590</s:v>
      </s:c>
      <s:c r="D344" s="6" t="n">
        <s:v>22307</s:v>
      </s:c>
      <s:c r="E344" s="6" t="n">
        <s:v>10111</s:v>
      </s:c>
      <s:c r="F344" s="6" t="n">
        <s:v>10600</s:v>
      </s:c>
      <s:c r="G344" s="6" t="n">
        <s:v>23586</s:v>
      </s:c>
      <s:c r="H344" s="6" t="n">
        <s:v>23437</s:v>
      </s:c>
      <s:c r="I344" s="6" t="n">
        <s:v>5171</s:v>
      </s:c>
      <s:c r="J344" s="6" t="n">
        <s:f>IF(COUNT(C344:I344)=7,SUM(C344:I344),"")</s:f>
        <s:v>105802</s:v>
      </s:c>
    </s:row>
    <s:row r="345">
      <s:c r="A345" s="5" t="n">
        <s:v>46280</s:v>
      </s:c>
      <s:c r="B345" s="2" t="n">
        <s:v>4</s:v>
      </s:c>
      <s:c r="C345" s="6" t="n">
        <s:v>10604</s:v>
      </s:c>
      <s:c r="D345" s="6" t="n">
        <s:v>22641</s:v>
      </s:c>
      <s:c r="E345" s="6" t="n">
        <s:v>9501</s:v>
      </s:c>
      <s:c r="F345" s="6" t="n">
        <s:v>10420</s:v>
      </s:c>
      <s:c r="G345" s="6" t="n">
        <s:v>25709</s:v>
      </s:c>
      <s:c r="H345" s="6" t="n">
        <s:v>23745</s:v>
      </s:c>
      <s:c r="I345" s="6" t="n">
        <s:v>5050</s:v>
      </s:c>
      <s:c r="J345" s="6" t="n">
        <s:f>IF(COUNT(C345:I345)=7,SUM(C345:I345),"")</s:f>
        <s:v>107670</s:v>
      </s:c>
    </s:row>
    <s:row r="346">
      <s:c r="A346" s="5" t="n">
        <s:v>46280</s:v>
      </s:c>
      <s:c r="B346" s="2" t="n">
        <s:v>5</s:v>
      </s:c>
      <s:c r="C346" s="6" t="n">
        <s:v>10594</s:v>
      </s:c>
      <s:c r="D346" s="6" t="n">
        <s:v>23941</s:v>
      </s:c>
      <s:c r="E346" s="6" t="n">
        <s:v>9650</s:v>
      </s:c>
      <s:c r="F346" s="6" t="n">
        <s:v>10809</s:v>
      </s:c>
      <s:c r="G346" s="6" t="n">
        <s:v>26788</s:v>
      </s:c>
      <s:c r="H346" s="6" t="n">
        <s:v>23895</s:v>
      </s:c>
      <s:c r="I346" s="6" t="n">
        <s:v>4955</s:v>
      </s:c>
      <s:c r="J346" s="6" t="n">
        <s:f>IF(COUNT(C346:I346)=7,SUM(C346:I346),"")</s:f>
        <s:v>110632</s:v>
      </s:c>
    </s:row>
    <s:row r="347">
      <s:c r="A347" s="5" t="n">
        <s:v>46280</s:v>
      </s:c>
      <s:c r="B347" s="2" t="n">
        <s:v>6</s:v>
      </s:c>
      <s:c r="C347" s="6" t="n">
        <s:v>10713</s:v>
      </s:c>
      <s:c r="D347" s="6" t="n">
        <s:v>24283</s:v>
      </s:c>
      <s:c r="E347" s="6" t="n">
        <s:v>11491</s:v>
      </s:c>
      <s:c r="F347" s="6" t="n">
        <s:v>11957</s:v>
      </s:c>
      <s:c r="G347" s="6" t="n">
        <s:v>27757</s:v>
      </s:c>
      <s:c r="H347" s="6" t="n">
        <s:v>24225</s:v>
      </s:c>
      <s:c r="I347" s="6" t="n">
        <s:v>5060</s:v>
      </s:c>
      <s:c r="J347" s="6" t="n">
        <s:f>IF(COUNT(C347:I347)=7,SUM(C347:I347),"")</s:f>
        <s:v>115486</s:v>
      </s:c>
    </s:row>
    <s:row r="348">
      <s:c r="A348" s="5" t="n">
        <s:v>46280</s:v>
      </s:c>
      <s:c r="B348" s="2" t="n">
        <s:v>7</s:v>
      </s:c>
      <s:c r="C348" s="6" t="n">
        <s:v>10923</s:v>
      </s:c>
      <s:c r="D348" s="6" t="n">
        <s:v>26269</s:v>
      </s:c>
      <s:c r="E348" s="6" t="n">
        <s:v>11616</s:v>
      </s:c>
      <s:c r="F348" s="6" t="n">
        <s:v>12878</s:v>
      </s:c>
      <s:c r="G348" s="6" t="n">
        <s:v>28525</s:v>
      </s:c>
      <s:c r="H348" s="6" t="n">
        <s:v>24076</s:v>
      </s:c>
      <s:c r="I348" s="6" t="n">
        <s:v>5001</s:v>
      </s:c>
      <s:c r="J348" s="6" t="n">
        <s:f>IF(COUNT(C348:I348)=7,SUM(C348:I348),"")</s:f>
        <s:v>119288</s:v>
      </s:c>
    </s:row>
    <s:row r="349">
      <s:c r="A349" s="5" t="n">
        <s:v>46280</s:v>
      </s:c>
      <s:c r="B349" s="2" t="n">
        <s:v>8</s:v>
      </s:c>
      <s:c r="C349" s="6" t="n">
        <s:v>11007</s:v>
      </s:c>
      <s:c r="D349" s="6" t="n">
        <s:v>28561</s:v>
      </s:c>
      <s:c r="E349" s="6" t="n">
        <s:v>12381</s:v>
      </s:c>
      <s:c r="F349" s="6" t="n">
        <s:v>13232</s:v>
      </s:c>
      <s:c r="G349" s="6" t="n">
        <s:v>28529</s:v>
      </s:c>
      <s:c r="H349" s="6" t="n">
        <s:v>24444</s:v>
      </s:c>
      <s:c r="I349" s="6" t="n">
        <s:v>4968</s:v>
      </s:c>
      <s:c r="J349" s="6" t="n">
        <s:f>IF(COUNT(C349:I349)=7,SUM(C349:I349),"")</s:f>
        <s:v>123122</s:v>
      </s:c>
    </s:row>
    <s:row r="350">
      <s:c r="A350" s="5" t="n">
        <s:v>46280</s:v>
      </s:c>
      <s:c r="B350" s="2" t="n">
        <s:v>9</s:v>
      </s:c>
      <s:c r="C350" s="6" t="n">
        <s:v>11078</s:v>
      </s:c>
      <s:c r="D350" s="6" t="n">
        <s:v>28779</s:v>
      </s:c>
      <s:c r="E350" s="6" t="n">
        <s:v>13129</s:v>
      </s:c>
      <s:c r="F350" s="6" t="n">
        <s:v>13606</s:v>
      </s:c>
      <s:c r="G350" s="6" t="n">
        <s:v>28476</s:v>
      </s:c>
      <s:c r="H350" s="6" t="n">
        <s:v>24437</s:v>
      </s:c>
      <s:c r="I350" s="6" t="n">
        <s:v>4875</s:v>
      </s:c>
      <s:c r="J350" s="6" t="n">
        <s:f>IF(COUNT(C350:I350)=7,SUM(C350:I350),"")</s:f>
        <s:v>124380</s:v>
      </s:c>
    </s:row>
    <s:row r="351">
      <s:c r="A351" s="5" t="n">
        <s:v>46280</s:v>
      </s:c>
      <s:c r="B351" s="2" t="n">
        <s:v>10</s:v>
      </s:c>
      <s:c r="C351" s="6" t="n">
        <s:v>11101</s:v>
      </s:c>
      <s:c r="D351" s="6" t="n">
        <s:v>28755</s:v>
      </s:c>
      <s:c r="E351" s="6" t="n">
        <s:v>13116</s:v>
      </s:c>
      <s:c r="F351" s="6" t="n">
        <s:v>13515</s:v>
      </s:c>
      <s:c r="G351" s="6" t="n">
        <s:v>28413</s:v>
      </s:c>
      <s:c r="H351" s="6" t="n">
        <s:v>24443</s:v>
      </s:c>
      <s:c r="I351" s="6" t="n">
        <s:v>4995</s:v>
      </s:c>
      <s:c r="J351" s="6" t="n">
        <s:f>IF(COUNT(C351:I351)=7,SUM(C351:I351),"")</s:f>
        <s:v>124338</s:v>
      </s:c>
    </s:row>
    <s:row r="352">
      <s:c r="A352" s="5" t="n">
        <s:v>46280</s:v>
      </s:c>
      <s:c r="B352" s="2" t="n">
        <s:v>11</s:v>
      </s:c>
      <s:c r="C352" s="6" t="n">
        <s:v>11036</s:v>
      </s:c>
      <s:c r="D352" s="6" t="n">
        <s:v>28196</s:v>
      </s:c>
      <s:c r="E352" s="6" t="n">
        <s:v>13147</s:v>
      </s:c>
      <s:c r="F352" s="6" t="n">
        <s:v>13404</s:v>
      </s:c>
      <s:c r="G352" s="6" t="n">
        <s:v>28282</s:v>
      </s:c>
      <s:c r="H352" s="6" t="n">
        <s:v>23894</s:v>
      </s:c>
      <s:c r="I352" s="6" t="n">
        <s:v>5014</s:v>
      </s:c>
      <s:c r="J352" s="6" t="n">
        <s:f>IF(COUNT(C352:I352)=7,SUM(C352:I352),"")</s:f>
        <s:v>122973</s:v>
      </s:c>
    </s:row>
    <s:row r="353">
      <s:c r="A353" s="5" t="n">
        <s:v>46280</s:v>
      </s:c>
      <s:c r="B353" s="2" t="n">
        <s:v>12</s:v>
      </s:c>
      <s:c r="C353" s="6" t="n">
        <s:v>10951</s:v>
      </s:c>
      <s:c r="D353" s="6" t="n">
        <s:v>27327</s:v>
      </s:c>
      <s:c r="E353" s="6" t="n">
        <s:v>13447</s:v>
      </s:c>
      <s:c r="F353" s="6" t="n">
        <s:v>14093</s:v>
      </s:c>
      <s:c r="G353" s="6" t="n">
        <s:v>28350</s:v>
      </s:c>
      <s:c r="H353" s="6" t="n">
        <s:v>24118</s:v>
      </s:c>
      <s:c r="I353" s="6" t="n">
        <s:v>5176</s:v>
      </s:c>
      <s:c r="J353" s="6" t="n">
        <s:f>IF(COUNT(C353:I353)=7,SUM(C353:I353),"")</s:f>
        <s:v>123462</s:v>
      </s:c>
    </s:row>
    <s:row r="354">
      <s:c r="A354" s="5" t="n">
        <s:v>46280</s:v>
      </s:c>
      <s:c r="B354" s="2" t="n">
        <s:v>13</s:v>
      </s:c>
      <s:c r="C354" s="6" t="n">
        <s:v>11183</s:v>
      </s:c>
      <s:c r="D354" s="6" t="n">
        <s:v>27367</s:v>
      </s:c>
      <s:c r="E354" s="6" t="n">
        <s:v>13446</s:v>
      </s:c>
      <s:c r="F354" s="6" t="n">
        <s:v>14030</s:v>
      </s:c>
      <s:c r="G354" s="6" t="n">
        <s:v>28395</s:v>
      </s:c>
      <s:c r="H354" s="6" t="n">
        <s:v>24444</s:v>
      </s:c>
      <s:c r="I354" s="6" t="n">
        <s:v>5267</s:v>
      </s:c>
      <s:c r="J354" s="6" t="n">
        <s:f>IF(COUNT(C354:I354)=7,SUM(C354:I354),"")</s:f>
        <s:v>124132</s:v>
      </s:c>
    </s:row>
    <s:row r="355">
      <s:c r="A355" s="5" t="n">
        <s:v>46280</s:v>
      </s:c>
      <s:c r="B355" s="2" t="n">
        <s:v>14</s:v>
      </s:c>
      <s:c r="C355" s="6" t="n">
        <s:v>11161</s:v>
      </s:c>
      <s:c r="D355" s="6" t="n">
        <s:v>27852</s:v>
      </s:c>
      <s:c r="E355" s="6" t="n">
        <s:v>13204</s:v>
      </s:c>
      <s:c r="F355" s="6" t="n">
        <s:v>13619</s:v>
      </s:c>
      <s:c r="G355" s="6" t="n">
        <s:v>28357</s:v>
      </s:c>
      <s:c r="H355" s="6" t="n">
        <s:v>24623</s:v>
      </s:c>
      <s:c r="I355" s="6" t="n">
        <s:v>5198</s:v>
      </s:c>
      <s:c r="J355" s="6" t="n">
        <s:f>IF(COUNT(C355:I355)=7,SUM(C355:I355),"")</s:f>
        <s:v>124014</s:v>
      </s:c>
    </s:row>
    <s:row r="356">
      <s:c r="A356" s="5" t="n">
        <s:v>46280</s:v>
      </s:c>
      <s:c r="B356" s="2" t="n">
        <s:v>15</s:v>
      </s:c>
      <s:c r="C356" s="6" t="n">
        <s:v>11403</s:v>
      </s:c>
      <s:c r="D356" s="6" t="n">
        <s:v>28044</s:v>
      </s:c>
      <s:c r="E356" s="6" t="n">
        <s:v>13032</s:v>
      </s:c>
      <s:c r="F356" s="6" t="n">
        <s:v>13588</s:v>
      </s:c>
      <s:c r="G356" s="6" t="n">
        <s:v>28309</s:v>
      </s:c>
      <s:c r="H356" s="6" t="n">
        <s:v>24632</s:v>
      </s:c>
      <s:c r="I356" s="6" t="n">
        <s:v>4982</s:v>
      </s:c>
      <s:c r="J356" s="6" t="n">
        <s:f>IF(COUNT(C356:I356)=7,SUM(C356:I356),"")</s:f>
        <s:v>123990</s:v>
      </s:c>
    </s:row>
    <s:row r="357">
      <s:c r="A357" s="5" t="n">
        <s:v>46280</s:v>
      </s:c>
      <s:c r="B357" s="2" t="n">
        <s:v>16</s:v>
      </s:c>
      <s:c r="C357" s="6" t="n">
        <s:v>11337</s:v>
      </s:c>
      <s:c r="D357" s="6" t="n">
        <s:v>27954</s:v>
      </s:c>
      <s:c r="E357" s="6" t="n">
        <s:v>12669</s:v>
      </s:c>
      <s:c r="F357" s="6" t="n">
        <s:v>13363</s:v>
      </s:c>
      <s:c r="G357" s="6" t="n">
        <s:v>28247</s:v>
      </s:c>
      <s:c r="H357" s="6" t="n">
        <s:v>24392</s:v>
      </s:c>
      <s:c r="I357" s="6" t="n">
        <s:v>4797</s:v>
      </s:c>
      <s:c r="J357" s="6" t="n">
        <s:f>IF(COUNT(C357:I357)=7,SUM(C357:I357),"")</s:f>
        <s:v>122759</s:v>
      </s:c>
    </s:row>
    <s:row r="358">
      <s:c r="A358" s="5" t="n">
        <s:v>46280</s:v>
      </s:c>
      <s:c r="B358" s="2" t="n">
        <s:v>17</s:v>
      </s:c>
      <s:c r="C358" s="6" t="n">
        <s:v>11311</s:v>
      </s:c>
      <s:c r="D358" s="6" t="n">
        <s:v>27871</s:v>
      </s:c>
      <s:c r="E358" s="6" t="n">
        <s:v>12682</s:v>
      </s:c>
      <s:c r="F358" s="6" t="n">
        <s:v>13522</s:v>
      </s:c>
      <s:c r="G358" s="6" t="n">
        <s:v>28418</s:v>
      </s:c>
      <s:c r="H358" s="6" t="n">
        <s:v>24468</s:v>
      </s:c>
      <s:c r="I358" s="6" t="n">
        <s:v>4544</s:v>
      </s:c>
      <s:c r="J358" s="6" t="n">
        <s:f>IF(COUNT(C358:I358)=7,SUM(C358:I358),"")</s:f>
        <s:v>122816</s:v>
      </s:c>
    </s:row>
    <s:row r="359">
      <s:c r="A359" s="5" t="n">
        <s:v>46280</s:v>
      </s:c>
      <s:c r="B359" s="2" t="n">
        <s:v>18</s:v>
      </s:c>
      <s:c r="C359" s="6" t="n">
        <s:v>11357</s:v>
      </s:c>
      <s:c r="D359" s="6" t="n">
        <s:v>28517</s:v>
      </s:c>
      <s:c r="E359" s="6" t="n">
        <s:v>13156</s:v>
      </s:c>
      <s:c r="F359" s="6" t="n">
        <s:v>13510</s:v>
      </s:c>
      <s:c r="G359" s="6" t="n">
        <s:v>28292</s:v>
      </s:c>
      <s:c r="H359" s="6" t="n">
        <s:v>23627</s:v>
      </s:c>
      <s:c r="I359" s="6" t="n">
        <s:v>4455</s:v>
      </s:c>
      <s:c r="J359" s="6" t="n">
        <s:f>IF(COUNT(C359:I359)=7,SUM(C359:I359),"")</s:f>
        <s:v>122914</s:v>
      </s:c>
    </s:row>
    <s:row r="360">
      <s:c r="A360" s="5" t="n">
        <s:v>46280</s:v>
      </s:c>
      <s:c r="B360" s="2" t="n">
        <s:v>19</s:v>
      </s:c>
      <s:c r="C360" s="6" t="n">
        <s:v>11129</s:v>
      </s:c>
      <s:c r="D360" s="6" t="n">
        <s:v>28599</s:v>
      </s:c>
      <s:c r="E360" s="6" t="n">
        <s:v>13023</s:v>
      </s:c>
      <s:c r="F360" s="6" t="n">
        <s:v>13287</s:v>
      </s:c>
      <s:c r="G360" s="6" t="n">
        <s:v>28643</s:v>
      </s:c>
      <s:c r="H360" s="6" t="n">
        <s:v>23337</s:v>
      </s:c>
      <s:c r="I360" s="6" t="n">
        <s:v>4357</s:v>
      </s:c>
      <s:c r="J360" s="6" t="n">
        <s:f>IF(COUNT(C360:I360)=7,SUM(C360:I360),"")</s:f>
        <s:v>122375</s:v>
      </s:c>
    </s:row>
    <s:row r="361">
      <s:c r="A361" s="5" t="n">
        <s:v>46280</s:v>
      </s:c>
      <s:c r="B361" s="2" t="n">
        <s:v>20</s:v>
      </s:c>
      <s:c r="C361" s="6" t="n">
        <s:v>11217</s:v>
      </s:c>
      <s:c r="D361" s="6" t="n">
        <s:v>27533</s:v>
      </s:c>
      <s:c r="E361" s="6" t="n">
        <s:v>12689</s:v>
      </s:c>
      <s:c r="F361" s="6" t="n">
        <s:v>12346</s:v>
      </s:c>
      <s:c r="G361" s="6" t="n">
        <s:v>27891</s:v>
      </s:c>
      <s:c r="H361" s="6" t="n">
        <s:v>23151</s:v>
      </s:c>
      <s:c r="I361" s="6" t="n">
        <s:v>4316</s:v>
      </s:c>
      <s:c r="J361" s="6" t="n">
        <s:f>IF(COUNT(C361:I361)=7,SUM(C361:I361),"")</s:f>
        <s:v>119143</s:v>
      </s:c>
    </s:row>
    <s:row r="362">
      <s:c r="A362" s="5" t="n">
        <s:v>46280</s:v>
      </s:c>
      <s:c r="B362" s="2" t="n">
        <s:v>21</s:v>
      </s:c>
      <s:c r="C362" s="6" t="n">
        <s:v>11331</s:v>
      </s:c>
      <s:c r="D362" s="6" t="n">
        <s:v>26829</s:v>
      </s:c>
      <s:c r="E362" s="6" t="n">
        <s:v>11503</s:v>
      </s:c>
      <s:c r="F362" s="6" t="n">
        <s:v>12101</s:v>
      </s:c>
      <s:c r="G362" s="6" t="n">
        <s:v>26527</s:v>
      </s:c>
      <s:c r="H362" s="6" t="n">
        <s:v>23063</s:v>
      </s:c>
      <s:c r="I362" s="6" t="n">
        <s:v>4404</s:v>
      </s:c>
      <s:c r="J362" s="6" t="n">
        <s:f>IF(COUNT(C362:I362)=7,SUM(C362:I362),"")</s:f>
        <s:v>115758</s:v>
      </s:c>
    </s:row>
    <s:row r="363">
      <s:c r="A363" s="5" t="n">
        <s:v>46280</s:v>
      </s:c>
      <s:c r="B363" s="2" t="n">
        <s:v>22</s:v>
      </s:c>
      <s:c r="C363" s="6" t="n">
        <s:v>11154</s:v>
      </s:c>
      <s:c r="D363" s="6" t="n">
        <s:v>24843</s:v>
      </s:c>
      <s:c r="E363" s="6" t="n">
        <s:v>11304</s:v>
      </s:c>
      <s:c r="F363" s="6" t="n">
        <s:v>11906</s:v>
      </s:c>
      <s:c r="G363" s="6" t="n">
        <s:v>24735</s:v>
      </s:c>
      <s:c r="H363" s="6" t="n">
        <s:v>22825</s:v>
      </s:c>
      <s:c r="I363" s="6" t="n">
        <s:v>4501</s:v>
      </s:c>
      <s:c r="J363" s="6" t="n">
        <s:f>IF(COUNT(C363:I363)=7,SUM(C363:I363),"")</s:f>
        <s:v>111268</s:v>
      </s:c>
    </s:row>
    <s:row r="364">
      <s:c r="A364" s="5" t="n">
        <s:v>46280</s:v>
      </s:c>
      <s:c r="B364" s="2" t="n">
        <s:v>23</s:v>
      </s:c>
      <s:c r="C364" s="6" t="n">
        <s:v>10884</s:v>
      </s:c>
      <s:c r="D364" s="6" t="n">
        <s:v>23225</s:v>
      </s:c>
      <s:c r="E364" s="6" t="n">
        <s:v>10783</s:v>
      </s:c>
      <s:c r="F364" s="6" t="n">
        <s:v>11252</s:v>
      </s:c>
      <s:c r="G364" s="6" t="n">
        <s:v>24375</s:v>
      </s:c>
      <s:c r="H364" s="6" t="n">
        <s:v>22153</s:v>
      </s:c>
      <s:c r="I364" s="6" t="n">
        <s:v>4711</s:v>
      </s:c>
      <s:c r="J364" s="6" t="n">
        <s:f>IF(COUNT(C364:I364)=7,SUM(C364:I364),"")</s:f>
        <s:v>107383</s:v>
      </s:c>
    </s:row>
    <s:row r="365">
      <s:c r="A365" s="5" t="n">
        <s:v>46281</s:v>
      </s:c>
      <s:c r="B365" s="2" t="n">
        <s:v>0</s:v>
      </s:c>
      <s:c r="C365" s="6" t="n">
        <s:v>10719</s:v>
      </s:c>
      <s:c r="D365" s="6" t="n">
        <s:v>22201</s:v>
      </s:c>
      <s:c r="E365" s="6" t="n">
        <s:v>10245</s:v>
      </s:c>
      <s:c r="F365" s="6" t="n">
        <s:v>10472</s:v>
      </s:c>
      <s:c r="G365" s="6" t="n">
        <s:v>23983</s:v>
      </s:c>
      <s:c r="H365" s="6" t="n">
        <s:v>22870</s:v>
      </s:c>
      <s:c r="I365" s="6" t="n">
        <s:v>4879</s:v>
      </s:c>
      <s:c r="J365" s="6" t="n">
        <s:f>IF(COUNT(C365:I365)=7,SUM(C365:I365),"")</s:f>
        <s:v>105369</s:v>
      </s:c>
    </s:row>
    <s:row r="366">
      <s:c r="A366" s="5" t="n">
        <s:v>46281</s:v>
      </s:c>
      <s:c r="B366" s="2" t="n">
        <s:v>1</s:v>
      </s:c>
      <s:c r="C366" s="6" t="n">
        <s:v>10614</s:v>
      </s:c>
      <s:c r="D366" s="6" t="n">
        <s:v>22110</s:v>
      </s:c>
      <s:c r="E366" s="6" t="n">
        <s:v>9640</s:v>
      </s:c>
      <s:c r="F366" s="6" t="n">
        <s:v>10200</s:v>
      </s:c>
      <s:c r="G366" s="6" t="n">
        <s:v>23587</s:v>
      </s:c>
      <s:c r="H366" s="6" t="n">
        <s:v>23326</s:v>
      </s:c>
      <s:c r="I366" s="6" t="n">
        <s:v>5094</s:v>
      </s:c>
      <s:c r="J366" s="6" t="n">
        <s:f>IF(COUNT(C366:I366)=7,SUM(C366:I366),"")</s:f>
        <s:v>104571</s:v>
      </s:c>
    </s:row>
    <s:row r="367">
      <s:c r="A367" s="5" t="n">
        <s:v>46281</s:v>
      </s:c>
      <s:c r="B367" s="2" t="n">
        <s:v>2</s:v>
      </s:c>
      <s:c r="C367" s="6" t="n">
        <s:v>10648</s:v>
      </s:c>
      <s:c r="D367" s="6" t="n">
        <s:v>22192</s:v>
      </s:c>
      <s:c r="E367" s="6" t="n">
        <s:v>9786</s:v>
      </s:c>
      <s:c r="F367" s="6" t="n">
        <s:v>10219</s:v>
      </s:c>
      <s:c r="G367" s="6" t="n">
        <s:v>23644</s:v>
      </s:c>
      <s:c r="H367" s="6" t="n">
        <s:v>23543</s:v>
      </s:c>
      <s:c r="I367" s="6" t="n">
        <s:v>5159</s:v>
      </s:c>
      <s:c r="J367" s="6" t="n">
        <s:f>IF(COUNT(C367:I367)=7,SUM(C367:I367),"")</s:f>
        <s:v>105191</s:v>
      </s:c>
    </s:row>
    <s:row r="368">
      <s:c r="A368" s="5" t="n">
        <s:v>46281</s:v>
      </s:c>
      <s:c r="B368" s="2" t="n">
        <s:v>3</s:v>
      </s:c>
      <s:c r="C368" s="6" t="n">
        <s:v>10660</s:v>
      </s:c>
      <s:c r="D368" s="6" t="n">
        <s:v>22158</s:v>
      </s:c>
      <s:c r="E368" s="6" t="n">
        <s:v>9856</s:v>
      </s:c>
      <s:c r="F368" s="6" t="n">
        <s:v>10266</s:v>
      </s:c>
      <s:c r="G368" s="6" t="n">
        <s:v>24020</s:v>
      </s:c>
      <s:c r="H368" s="6" t="n">
        <s:v>23517</s:v>
      </s:c>
      <s:c r="I368" s="6" t="n">
        <s:v>5137</s:v>
      </s:c>
      <s:c r="J368" s="6" t="n">
        <s:f>IF(COUNT(C368:I368)=7,SUM(C368:I368),"")</s:f>
        <s:v>105614</s:v>
      </s:c>
    </s:row>
    <s:row r="369">
      <s:c r="A369" s="5" t="n">
        <s:v>46281</s:v>
      </s:c>
      <s:c r="B369" s="2" t="n">
        <s:v>4</s:v>
      </s:c>
      <s:c r="C369" s="6" t="n">
        <s:v>10724</s:v>
      </s:c>
      <s:c r="D369" s="6" t="n">
        <s:v>22139</s:v>
      </s:c>
      <s:c r="E369" s="6" t="n">
        <s:v>9691</s:v>
      </s:c>
      <s:c r="F369" s="6" t="n">
        <s:v>10798</s:v>
      </s:c>
      <s:c r="G369" s="6" t="n">
        <s:v>25671</s:v>
      </s:c>
      <s:c r="H369" s="6" t="n">
        <s:v>24030</s:v>
      </s:c>
      <s:c r="I369" s="6" t="n">
        <s:v>5089</s:v>
      </s:c>
      <s:c r="J369" s="6" t="n">
        <s:f>IF(COUNT(C369:I369)=7,SUM(C369:I369),"")</s:f>
        <s:v>108142</s:v>
      </s:c>
    </s:row>
    <s:row r="370">
      <s:c r="A370" s="5" t="n">
        <s:v>46281</s:v>
      </s:c>
      <s:c r="B370" s="2" t="n">
        <s:v>5</s:v>
      </s:c>
      <s:c r="C370" s="6" t="n">
        <s:v>10836</s:v>
      </s:c>
      <s:c r="D370" s="6" t="n">
        <s:v>23035</s:v>
      </s:c>
      <s:c r="E370" s="6" t="n">
        <s:v>10344</s:v>
      </s:c>
      <s:c r="F370" s="6" t="n">
        <s:v>11642</s:v>
      </s:c>
      <s:c r="G370" s="6" t="n">
        <s:v>26549</s:v>
      </s:c>
      <s:c r="H370" s="6" t="n">
        <s:v>24448</s:v>
      </s:c>
      <s:c r="I370" s="6" t="n">
        <s:v>5021</s:v>
      </s:c>
      <s:c r="J370" s="6" t="n">
        <s:f>IF(COUNT(C370:I370)=7,SUM(C370:I370),"")</s:f>
        <s:v>111875</s:v>
      </s:c>
    </s:row>
    <s:row r="371">
      <s:c r="A371" s="5" t="n">
        <s:v>46281</s:v>
      </s:c>
      <s:c r="B371" s="2" t="n">
        <s:v>6</s:v>
      </s:c>
      <s:c r="C371" s="6" t="n">
        <s:v>11119</s:v>
      </s:c>
      <s:c r="D371" s="6" t="n">
        <s:v>25229</s:v>
      </s:c>
      <s:c r="E371" s="6" t="n">
        <s:v>11030</s:v>
      </s:c>
      <s:c r="F371" s="6" t="n">
        <s:v>11717</s:v>
      </s:c>
      <s:c r="G371" s="6" t="n">
        <s:v>27683</s:v>
      </s:c>
      <s:c r="H371" s="6" t="n">
        <s:v>24527</s:v>
      </s:c>
      <s:c r="I371" s="6" t="n">
        <s:v>5009</s:v>
      </s:c>
      <s:c r="J371" s="6" t="n">
        <s:f>IF(COUNT(C371:I371)=7,SUM(C371:I371),"")</s:f>
        <s:v>116314</s:v>
      </s:c>
    </s:row>
    <s:row r="372">
      <s:c r="A372" s="5" t="n">
        <s:v>46281</s:v>
      </s:c>
      <s:c r="B372" s="2" t="n">
        <s:v>7</s:v>
      </s:c>
      <s:c r="C372" s="6" t="n">
        <s:v>11309</s:v>
      </s:c>
      <s:c r="D372" s="6" t="n">
        <s:v>26409</s:v>
      </s:c>
      <s:c r="E372" s="6" t="n">
        <s:v>11630</s:v>
      </s:c>
      <s:c r="F372" s="6" t="n">
        <s:v>12223</s:v>
      </s:c>
      <s:c r="G372" s="6" t="n">
        <s:v>29013</s:v>
      </s:c>
      <s:c r="H372" s="6" t="n">
        <s:v>24432</s:v>
      </s:c>
      <s:c r="I372" s="6" t="n">
        <s:v>5052</s:v>
      </s:c>
      <s:c r="J372" s="6" t="n">
        <s:f>IF(COUNT(C372:I372)=7,SUM(C372:I372),"")</s:f>
        <s:v>120068</s:v>
      </s:c>
    </s:row>
    <s:row r="373">
      <s:c r="A373" s="5" t="n">
        <s:v>46281</s:v>
      </s:c>
      <s:c r="B373" s="2" t="n">
        <s:v>8</s:v>
      </s:c>
      <s:c r="C373" s="6" t="n">
        <s:v>11546</s:v>
      </s:c>
      <s:c r="D373" s="6" t="n">
        <s:v>27873</s:v>
      </s:c>
      <s:c r="E373" s="6" t="n">
        <s:v>12863</s:v>
      </s:c>
      <s:c r="F373" s="6" t="n">
        <s:v>12947</s:v>
      </s:c>
      <s:c r="G373" s="6" t="n">
        <s:v>29460</s:v>
      </s:c>
      <s:c r="H373" s="6" t="n">
        <s:v>24801</s:v>
      </s:c>
      <s:c r="I373" s="6" t="n">
        <s:v>5035</s:v>
      </s:c>
      <s:c r="J373" s="6" t="n">
        <s:f>IF(COUNT(C373:I373)=7,SUM(C373:I373),"")</s:f>
        <s:v>124525</s:v>
      </s:c>
    </s:row>
    <s:row r="374">
      <s:c r="A374" s="5" t="n">
        <s:v>46281</s:v>
      </s:c>
      <s:c r="B374" s="2" t="n">
        <s:v>9</s:v>
      </s:c>
      <s:c r="C374" s="6" t="n">
        <s:v>11655</s:v>
      </s:c>
      <s:c r="D374" s="6" t="n">
        <s:v>27983</s:v>
      </s:c>
      <s:c r="E374" s="6" t="n">
        <s:v>13705</s:v>
      </s:c>
      <s:c r="F374" s="6" t="n">
        <s:v>12932</s:v>
      </s:c>
      <s:c r="G374" s="6" t="n">
        <s:v>29478</s:v>
      </s:c>
      <s:c r="H374" s="6" t="n">
        <s:v>24779</s:v>
      </s:c>
      <s:c r="I374" s="6" t="n">
        <s:v>5061</s:v>
      </s:c>
      <s:c r="J374" s="6" t="n">
        <s:f>IF(COUNT(C374:I374)=7,SUM(C374:I374),"")</s:f>
        <s:v>125593</s:v>
      </s:c>
    </s:row>
    <s:row r="375">
      <s:c r="A375" s="5" t="n">
        <s:v>46281</s:v>
      </s:c>
      <s:c r="B375" s="2" t="n">
        <s:v>10</s:v>
      </s:c>
      <s:c r="C375" s="6" t="n">
        <s:v>11679</s:v>
      </s:c>
      <s:c r="D375" s="6" t="n">
        <s:v>28317</s:v>
      </s:c>
      <s:c r="E375" s="6" t="n">
        <s:v>12900</s:v>
      </s:c>
      <s:c r="F375" s="6" t="n">
        <s:v>13011</s:v>
      </s:c>
      <s:c r="G375" s="6" t="n">
        <s:v>29247</s:v>
      </s:c>
      <s:c r="H375" s="6" t="n">
        <s:v>24882</s:v>
      </s:c>
      <s:c r="I375" s="6" t="n">
        <s:v>5153</s:v>
      </s:c>
      <s:c r="J375" s="6" t="n">
        <s:f>IF(COUNT(C375:I375)=7,SUM(C375:I375),"")</s:f>
        <s:v>125189</s:v>
      </s:c>
    </s:row>
    <s:row r="376">
      <s:c r="A376" s="5" t="n">
        <s:v>46281</s:v>
      </s:c>
      <s:c r="B376" s="2" t="n">
        <s:v>11</s:v>
      </s:c>
      <s:c r="C376" s="6" t="n">
        <s:v>11621</s:v>
      </s:c>
      <s:c r="D376" s="6" t="n">
        <s:v>28194</s:v>
      </s:c>
      <s:c r="E376" s="6" t="n">
        <s:v>12750</s:v>
      </s:c>
      <s:c r="F376" s="6" t="n">
        <s:v>13072</s:v>
      </s:c>
      <s:c r="G376" s="6" t="n">
        <s:v>29154</s:v>
      </s:c>
      <s:c r="H376" s="6" t="n">
        <s:v>24489</s:v>
      </s:c>
      <s:c r="I376" s="6" t="n">
        <s:v>5203</s:v>
      </s:c>
      <s:c r="J376" s="6" t="n">
        <s:f>IF(COUNT(C376:I376)=7,SUM(C376:I376),"")</s:f>
        <s:v>124483</s:v>
      </s:c>
    </s:row>
    <s:row r="377">
      <s:c r="A377" s="5" t="n">
        <s:v>46281</s:v>
      </s:c>
      <s:c r="B377" s="2" t="n">
        <s:v>12</s:v>
      </s:c>
      <s:c r="C377" s="6" t="n">
        <s:v>11597</s:v>
      </s:c>
      <s:c r="D377" s="6" t="n">
        <s:v>27838</s:v>
      </s:c>
      <s:c r="E377" s="6" t="n">
        <s:v>12940</s:v>
      </s:c>
      <s:c r="F377" s="6" t="n">
        <s:v>13311</s:v>
      </s:c>
      <s:c r="G377" s="6" t="n">
        <s:v>29137</s:v>
      </s:c>
      <s:c r="H377" s="6" t="n">
        <s:v>24419</s:v>
      </s:c>
      <s:c r="I377" s="6" t="n">
        <s:v>5336</s:v>
      </s:c>
      <s:c r="J377" s="6" t="n">
        <s:f>IF(COUNT(C377:I377)=7,SUM(C377:I377),"")</s:f>
        <s:v>124578</s:v>
      </s:c>
    </s:row>
    <s:row r="378">
      <s:c r="A378" s="5" t="n">
        <s:v>46281</s:v>
      </s:c>
      <s:c r="B378" s="2" t="n">
        <s:v>13</s:v>
      </s:c>
      <s:c r="C378" s="6" t="n">
        <s:v>11598</s:v>
      </s:c>
      <s:c r="D378" s="6" t="n">
        <s:v>27412</s:v>
      </s:c>
      <s:c r="E378" s="6" t="n">
        <s:v>12861</s:v>
      </s:c>
      <s:c r="F378" s="6" t="n">
        <s:v>13169</s:v>
      </s:c>
      <s:c r="G378" s="6" t="n">
        <s:v>29263</s:v>
      </s:c>
      <s:c r="H378" s="6" t="n">
        <s:v>25084</s:v>
      </s:c>
      <s:c r="I378" s="6" t="n">
        <s:v>5427</s:v>
      </s:c>
      <s:c r="J378" s="6" t="n">
        <s:f>IF(COUNT(C378:I378)=7,SUM(C378:I378),"")</s:f>
        <s:v>124814</s:v>
      </s:c>
    </s:row>
    <s:row r="379">
      <s:c r="A379" s="5" t="n">
        <s:v>46281</s:v>
      </s:c>
      <s:c r="B379" s="2" t="n">
        <s:v>14</s:v>
      </s:c>
      <s:c r="C379" s="6" t="n">
        <s:v>11409</s:v>
      </s:c>
      <s:c r="D379" s="6" t="n">
        <s:v>27688</s:v>
      </s:c>
      <s:c r="E379" s="6" t="n">
        <s:v>13107</s:v>
      </s:c>
      <s:c r="F379" s="6" t="n">
        <s:v>12985</s:v>
      </s:c>
      <s:c r="G379" s="6" t="n">
        <s:v>29255</s:v>
      </s:c>
      <s:c r="H379" s="6" t="n">
        <s:v>25199</s:v>
      </s:c>
      <s:c r="I379" s="6" t="n">
        <s:v>5341</s:v>
      </s:c>
      <s:c r="J379" s="6" t="n">
        <s:f>IF(COUNT(C379:I379)=7,SUM(C379:I379),"")</s:f>
        <s:v>124984</s:v>
      </s:c>
    </s:row>
    <s:row r="380">
      <s:c r="A380" s="5" t="n">
        <s:v>46281</s:v>
      </s:c>
      <s:c r="B380" s="2" t="n">
        <s:v>15</s:v>
      </s:c>
      <s:c r="C380" s="6" t="n">
        <s:v>11539</s:v>
      </s:c>
      <s:c r="D380" s="6" t="n">
        <s:v>27838</s:v>
      </s:c>
      <s:c r="E380" s="6" t="n">
        <s:v>12583</s:v>
      </s:c>
      <s:c r="F380" s="6" t="n">
        <s:v>13115</s:v>
      </s:c>
      <s:c r="G380" s="6" t="n">
        <s:v>29247</s:v>
      </s:c>
      <s:c r="H380" s="6" t="n">
        <s:v>25105</s:v>
      </s:c>
      <s:c r="I380" s="6" t="n">
        <s:v>5016</s:v>
      </s:c>
      <s:c r="J380" s="6" t="n">
        <s:f>IF(COUNT(C380:I380)=7,SUM(C380:I380),"")</s:f>
        <s:v>124443</s:v>
      </s:c>
    </s:row>
    <s:row r="381">
      <s:c r="A381" s="5" t="n">
        <s:v>46281</s:v>
      </s:c>
      <s:c r="B381" s="2" t="n">
        <s:v>16</s:v>
      </s:c>
      <s:c r="C381" s="6" t="n">
        <s:v>11512</s:v>
      </s:c>
      <s:c r="D381" s="6" t="n">
        <s:v>27813</s:v>
      </s:c>
      <s:c r="E381" s="6" t="n">
        <s:v>12875</s:v>
      </s:c>
      <s:c r="F381" s="6" t="n">
        <s:v>12988</s:v>
      </s:c>
      <s:c r="G381" s="6" t="n">
        <s:v>28570</s:v>
      </s:c>
      <s:c r="H381" s="6" t="n">
        <s:v>24903</s:v>
      </s:c>
      <s:c r="I381" s="6" t="n">
        <s:v>4756</s:v>
      </s:c>
      <s:c r="J381" s="6" t="n">
        <s:f>IF(COUNT(C381:I381)=7,SUM(C381:I381),"")</s:f>
        <s:v>123417</s:v>
      </s:c>
    </s:row>
    <s:row r="382">
      <s:c r="A382" s="5" t="n">
        <s:v>46281</s:v>
      </s:c>
      <s:c r="B382" s="2" t="n">
        <s:v>17</s:v>
      </s:c>
      <s:c r="C382" s="6" t="n">
        <s:v>11603</s:v>
      </s:c>
      <s:c r="D382" s="6" t="n">
        <s:v>28057</s:v>
      </s:c>
      <s:c r="E382" s="6" t="n">
        <s:v>13062</s:v>
      </s:c>
      <s:c r="F382" s="6" t="n">
        <s:v>12714</s:v>
      </s:c>
      <s:c r="G382" s="6" t="n">
        <s:v>28513</s:v>
      </s:c>
      <s:c r="H382" s="6" t="n">
        <s:v>24875</s:v>
      </s:c>
      <s:c r="I382" s="6" t="n">
        <s:v>4564</s:v>
      </s:c>
      <s:c r="J382" s="6" t="n">
        <s:f>IF(COUNT(C382:I382)=7,SUM(C382:I382),"")</s:f>
        <s:v>123388</s:v>
      </s:c>
    </s:row>
    <s:row r="383">
      <s:c r="A383" s="5" t="n">
        <s:v>46281</s:v>
      </s:c>
      <s:c r="B383" s="2" t="n">
        <s:v>18</s:v>
      </s:c>
      <s:c r="C383" s="6" t="n">
        <s:v>11623</s:v>
      </s:c>
      <s:c r="D383" s="6" t="n">
        <s:v>28166</s:v>
      </s:c>
      <s:c r="E383" s="6" t="n">
        <s:v>13832</s:v>
      </s:c>
      <s:c r="F383" s="6" t="n">
        <s:v>13143</s:v>
      </s:c>
      <s:c r="G383" s="6" t="n">
        <s:v>28996</s:v>
      </s:c>
      <s:c r="H383" s="6" t="n">
        <s:v>24149</s:v>
      </s:c>
      <s:c r="I383" s="6" t="n">
        <s:v>4576</s:v>
      </s:c>
      <s:c r="J383" s="6" t="n">
        <s:f>IF(COUNT(C383:I383)=7,SUM(C383:I383),"")</s:f>
        <s:v>124485</s:v>
      </s:c>
    </s:row>
    <s:row r="384">
      <s:c r="A384" s="5" t="n">
        <s:v>46281</s:v>
      </s:c>
      <s:c r="B384" s="2" t="n">
        <s:v>19</s:v>
      </s:c>
      <s:c r="C384" s="6" t="n">
        <s:v>11698</s:v>
      </s:c>
      <s:c r="D384" s="6" t="n">
        <s:v>28338</s:v>
      </s:c>
      <s:c r="E384" s="6" t="n">
        <s:v>13190</s:v>
      </s:c>
      <s:c r="F384" s="6" t="n">
        <s:v>13104</s:v>
      </s:c>
      <s:c r="G384" s="6" t="n">
        <s:v>28891</s:v>
      </s:c>
      <s:c r="H384" s="6" t="n">
        <s:v>23333</s:v>
      </s:c>
      <s:c r="I384" s="6" t="n">
        <s:v>4365</s:v>
      </s:c>
      <s:c r="J384" s="6" t="n">
        <s:f>IF(COUNT(C384:I384)=7,SUM(C384:I384),"")</s:f>
        <s:v>122919</s:v>
      </s:c>
    </s:row>
    <s:row r="385">
      <s:c r="A385" s="5" t="n">
        <s:v>46281</s:v>
      </s:c>
      <s:c r="B385" s="2" t="n">
        <s:v>20</s:v>
      </s:c>
      <s:c r="C385" s="6" t="n">
        <s:v>11618</s:v>
      </s:c>
      <s:c r="D385" s="6" t="n">
        <s:v>27307</s:v>
      </s:c>
      <s:c r="E385" s="6" t="n">
        <s:v>12714</s:v>
      </s:c>
      <s:c r="F385" s="6" t="n">
        <s:v>12790</s:v>
      </s:c>
      <s:c r="G385" s="6" t="n">
        <s:v>27941</s:v>
      </s:c>
      <s:c r="H385" s="6" t="n">
        <s:v>22525</s:v>
      </s:c>
      <s:c r="I385" s="6" t="n">
        <s:v>4381</s:v>
      </s:c>
      <s:c r="J385" s="6" t="n">
        <s:f>IF(COUNT(C385:I385)=7,SUM(C385:I385),"")</s:f>
        <s:v>119276</s:v>
      </s:c>
    </s:row>
    <s:row r="386">
      <s:c r="A386" s="5" t="n">
        <s:v>46281</s:v>
      </s:c>
      <s:c r="B386" s="2" t="n">
        <s:v>21</s:v>
      </s:c>
      <s:c r="C386" s="6" t="n">
        <s:v>11428</s:v>
      </s:c>
      <s:c r="D386" s="6" t="n">
        <s:v>26293</s:v>
      </s:c>
      <s:c r="E386" s="6" t="n">
        <s:v>12802</s:v>
      </s:c>
      <s:c r="F386" s="6" t="n">
        <s:v>12081</s:v>
      </s:c>
      <s:c r="G386" s="6" t="n">
        <s:v>26715</s:v>
      </s:c>
      <s:c r="H386" s="6" t="n">
        <s:v>22511</s:v>
      </s:c>
      <s:c r="I386" s="6" t="n">
        <s:v>4536</s:v>
      </s:c>
      <s:c r="J386" s="6" t="n">
        <s:f>IF(COUNT(C386:I386)=7,SUM(C386:I386),"")</s:f>
        <s:v>116366</s:v>
      </s:c>
    </s:row>
    <s:row r="387">
      <s:c r="A387" s="5" t="n">
        <s:v>46281</s:v>
      </s:c>
      <s:c r="B387" s="2" t="n">
        <s:v>22</s:v>
      </s:c>
      <s:c r="C387" s="6" t="n">
        <s:v>11400</s:v>
      </s:c>
      <s:c r="D387" s="6" t="n">
        <s:v>24940</s:v>
      </s:c>
      <s:c r="E387" s="6" t="n">
        <s:v>11098</s:v>
      </s:c>
      <s:c r="F387" s="6" t="n">
        <s:v>11023</s:v>
      </s:c>
      <s:c r="G387" s="6" t="n">
        <s:v>25578</s:v>
      </s:c>
      <s:c r="H387" s="6" t="n">
        <s:v>22600</s:v>
      </s:c>
      <s:c r="I387" s="6" t="n">
        <s:v>4603</s:v>
      </s:c>
      <s:c r="J387" s="6" t="n">
        <s:f>IF(COUNT(C387:I387)=7,SUM(C387:I387),"")</s:f>
        <s:v>111242</s:v>
      </s:c>
    </s:row>
    <s:row r="388">
      <s:c r="A388" s="5" t="n">
        <s:v>46281</s:v>
      </s:c>
      <s:c r="B388" s="2" t="n">
        <s:v>23</s:v>
      </s:c>
      <s:c r="C388" s="6" t="n">
        <s:v>11094</s:v>
      </s:c>
      <s:c r="D388" s="6" t="n">
        <s:v>23063</s:v>
      </s:c>
      <s:c r="E388" s="6" t="n">
        <s:v>10964</s:v>
      </s:c>
      <s:c r="F388" s="6" t="n">
        <s:v>11280</s:v>
      </s:c>
      <s:c r="G388" s="6" t="n">
        <s:v>24271</s:v>
      </s:c>
      <s:c r="H388" s="6" t="n">
        <s:v>22474</s:v>
      </s:c>
      <s:c r="I388" s="6" t="n">
        <s:v>4855</s:v>
      </s:c>
      <s:c r="J388" s="6" t="n">
        <s:f>IF(COUNT(C388:I388)=7,SUM(C388:I388),"")</s:f>
        <s:v>108001</s:v>
      </s:c>
    </s:row>
    <s:row r="389">
      <s:c r="A389" s="5" t="n">
        <s:v>46282</s:v>
      </s:c>
      <s:c r="B389" s="2" t="n">
        <s:v>0</s:v>
      </s:c>
      <s:c r="C389" s="6" t="n">
        <s:v>10944</s:v>
      </s:c>
      <s:c r="D389" s="6" t="n">
        <s:v>23013</s:v>
      </s:c>
      <s:c r="E389" s="6" t="n">
        <s:v>10152</s:v>
      </s:c>
      <s:c r="F389" s="6" t="n">
        <s:v>10945</s:v>
      </s:c>
      <s:c r="G389" s="6" t="n">
        <s:v>23242</s:v>
      </s:c>
      <s:c r="H389" s="6" t="n">
        <s:v>22549</s:v>
      </s:c>
      <s:c r="I389" s="6" t="n">
        <s:v>5073</s:v>
      </s:c>
      <s:c r="J389" s="6" t="n">
        <s:f>IF(COUNT(C389:I389)=7,SUM(C389:I389),"")</s:f>
        <s:v>105918</s:v>
      </s:c>
    </s:row>
    <s:row r="390">
      <s:c r="A390" s="5" t="n">
        <s:v>46282</s:v>
      </s:c>
      <s:c r="B390" s="2" t="n">
        <s:v>1</s:v>
      </s:c>
      <s:c r="C390" s="6" t="n">
        <s:v>10702</s:v>
      </s:c>
      <s:c r="D390" s="6" t="n">
        <s:v>22414</s:v>
      </s:c>
      <s:c r="E390" s="6" t="n">
        <s:v>9716</s:v>
      </s:c>
      <s:c r="F390" s="6" t="n">
        <s:v>10338</s:v>
      </s:c>
      <s:c r="G390" s="6" t="n">
        <s:v>23796</s:v>
      </s:c>
      <s:c r="H390" s="6" t="n">
        <s:v>22949</s:v>
      </s:c>
      <s:c r="I390" s="6" t="n">
        <s:v>5187</s:v>
      </s:c>
      <s:c r="J390" s="6" t="n">
        <s:f>IF(COUNT(C390:I390)=7,SUM(C390:I390),"")</s:f>
        <s:v>105102</s:v>
      </s:c>
    </s:row>
    <s:row r="391">
      <s:c r="A391" s="5" t="n">
        <s:v>46282</s:v>
      </s:c>
      <s:c r="B391" s="2" t="n">
        <s:v>2</s:v>
      </s:c>
      <s:c r="C391" s="6" t="n">
        <s:v>10655</s:v>
      </s:c>
      <s:c r="D391" s="6" t="n">
        <s:v>22388</s:v>
      </s:c>
      <s:c r="E391" s="6" t="n">
        <s:v>9724</s:v>
      </s:c>
      <s:c r="F391" s="6" t="n">
        <s:v>10694</s:v>
      </s:c>
      <s:c r="G391" s="6" t="n">
        <s:v>23670</s:v>
      </s:c>
      <s:c r="H391" s="6" t="n">
        <s:v>23111</s:v>
      </s:c>
      <s:c r="I391" s="6" t="n">
        <s:v>5164</s:v>
      </s:c>
      <s:c r="J391" s="6" t="n">
        <s:f>IF(COUNT(C391:I391)=7,SUM(C391:I391),"")</s:f>
        <s:v>105406</s:v>
      </s:c>
    </s:row>
    <s:row r="392">
      <s:c r="A392" s="5" t="n">
        <s:v>46282</s:v>
      </s:c>
      <s:c r="B392" s="2" t="n">
        <s:v>3</s:v>
      </s:c>
      <s:c r="C392" s="6" t="n">
        <s:v>10662</s:v>
      </s:c>
      <s:c r="D392" s="6" t="n">
        <s:v>22400</s:v>
      </s:c>
      <s:c r="E392" s="6" t="n">
        <s:v>9499</s:v>
      </s:c>
      <s:c r="F392" s="6" t="n">
        <s:v>10514</s:v>
      </s:c>
      <s:c r="G392" s="6" t="n">
        <s:v>24078</s:v>
      </s:c>
      <s:c r="H392" s="6" t="n">
        <s:v>23101</s:v>
      </s:c>
      <s:c r="I392" s="6" t="n">
        <s:v>5227</s:v>
      </s:c>
      <s:c r="J392" s="6" t="n">
        <s:f>IF(COUNT(C392:I392)=7,SUM(C392:I392),"")</s:f>
        <s:v>105481</s:v>
      </s:c>
    </s:row>
    <s:row r="393">
      <s:c r="A393" s="5" t="n">
        <s:v>46282</s:v>
      </s:c>
      <s:c r="B393" s="2" t="n">
        <s:v>4</s:v>
      </s:c>
      <s:c r="C393" s="6" t="n">
        <s:v>10781</s:v>
      </s:c>
      <s:c r="D393" s="6" t="n">
        <s:v>22552</s:v>
      </s:c>
      <s:c r="E393" s="6" t="n">
        <s:v>9545</s:v>
      </s:c>
      <s:c r="F393" s="6" t="n">
        <s:v>10595</s:v>
      </s:c>
      <s:c r="G393" s="6" t="n">
        <s:v>25515</s:v>
      </s:c>
      <s:c r="H393" s="6" t="n">
        <s:v>23638</s:v>
      </s:c>
      <s:c r="I393" s="6" t="n">
        <s:v>5178</s:v>
      </s:c>
      <s:c r="J393" s="6" t="n">
        <s:f>IF(COUNT(C393:I393)=7,SUM(C393:I393),"")</s:f>
        <s:v>107804</s:v>
      </s:c>
    </s:row>
    <s:row r="394">
      <s:c r="A394" s="5" t="n">
        <s:v>46282</s:v>
      </s:c>
      <s:c r="B394" s="2" t="n">
        <s:v>5</s:v>
      </s:c>
      <s:c r="C394" s="6" t="n">
        <s:v>10856</s:v>
      </s:c>
      <s:c r="D394" s="6" t="n">
        <s:v>23823</s:v>
      </s:c>
      <s:c r="E394" s="6" t="n">
        <s:v>9931</s:v>
      </s:c>
      <s:c r="F394" s="6" t="n">
        <s:v>11152</s:v>
      </s:c>
      <s:c r="G394" s="6" t="n">
        <s:v>26715</s:v>
      </s:c>
      <s:c r="H394" s="6" t="n">
        <s:v>24042</s:v>
      </s:c>
      <s:c r="I394" s="6" t="n">
        <s:v>4994</s:v>
      </s:c>
      <s:c r="J394" s="6" t="n">
        <s:f>IF(COUNT(C394:I394)=7,SUM(C394:I394),"")</s:f>
        <s:v>111513</s:v>
      </s:c>
    </s:row>
    <s:row r="395">
      <s:c r="A395" s="5" t="n">
        <s:v>46282</s:v>
      </s:c>
      <s:c r="B395" s="2" t="n">
        <s:v>6</s:v>
      </s:c>
      <s:c r="C395" s="6" t="n">
        <s:v>11065</s:v>
      </s:c>
      <s:c r="D395" s="6" t="n">
        <s:v>25942</s:v>
      </s:c>
      <s:c r="E395" s="6" t="n">
        <s:v>10996</s:v>
      </s:c>
      <s:c r="F395" s="6" t="n">
        <s:v>11269</s:v>
      </s:c>
      <s:c r="G395" s="6" t="n">
        <s:v>27427</s:v>
      </s:c>
      <s:c r="H395" s="6" t="n">
        <s:v>24232</s:v>
      </s:c>
      <s:c r="I395" s="6" t="n">
        <s:v>5065</s:v>
      </s:c>
      <s:c r="J395" s="6" t="n">
        <s:f>IF(COUNT(C395:I395)=7,SUM(C395:I395),"")</s:f>
        <s:v>115996</s:v>
      </s:c>
    </s:row>
    <s:row r="396">
      <s:c r="A396" s="5" t="n">
        <s:v>46282</s:v>
      </s:c>
      <s:c r="B396" s="2" t="n">
        <s:v>7</s:v>
      </s:c>
      <s:c r="C396" s="6" t="n">
        <s:v>11239</s:v>
      </s:c>
      <s:c r="D396" s="6" t="n">
        <s:v>26838</s:v>
      </s:c>
      <s:c r="E396" s="6" t="n">
        <s:v>11885</s:v>
      </s:c>
      <s:c r="F396" s="6" t="n">
        <s:v>12479</s:v>
      </s:c>
      <s:c r="G396" s="6" t="n">
        <s:v>28025</s:v>
      </s:c>
      <s:c r="H396" s="6" t="n">
        <s:v>24226</s:v>
      </s:c>
      <s:c r="I396" s="6" t="n">
        <s:v>5051</s:v>
      </s:c>
      <s:c r="J396" s="6" t="n">
        <s:f>IF(COUNT(C396:I396)=7,SUM(C396:I396),"")</s:f>
        <s:v>119743</s:v>
      </s:c>
    </s:row>
    <s:row r="397">
      <s:c r="A397" s="5" t="n">
        <s:v>46282</s:v>
      </s:c>
      <s:c r="B397" s="2" t="n">
        <s:v>8</s:v>
      </s:c>
      <s:c r="C397" s="6" t="n">
        <s:v>11557</s:v>
      </s:c>
      <s:c r="D397" s="6" t="n">
        <s:v>27874</s:v>
      </s:c>
      <s:c r="E397" s="6" t="n">
        <s:v>12553</s:v>
      </s:c>
      <s:c r="F397" s="6" t="n">
        <s:v>12942</s:v>
      </s:c>
      <s:c r="G397" s="6" t="n">
        <s:v>28354</s:v>
      </s:c>
      <s:c r="H397" s="6" t="n">
        <s:v>24877</s:v>
      </s:c>
      <s:c r="I397" s="6" t="n">
        <s:v>5001</s:v>
      </s:c>
      <s:c r="J397" s="6" t="n">
        <s:f>IF(COUNT(C397:I397)=7,SUM(C397:I397),"")</s:f>
        <s:v>123158</s:v>
      </s:c>
    </s:row>
    <s:row r="398">
      <s:c r="A398" s="5" t="n">
        <s:v>46282</s:v>
      </s:c>
      <s:c r="B398" s="2" t="n">
        <s:v>9</s:v>
      </s:c>
      <s:c r="C398" s="6" t="n">
        <s:v>11649</s:v>
      </s:c>
      <s:c r="D398" s="6" t="n">
        <s:v>27983</s:v>
      </s:c>
      <s:c r="E398" s="6" t="n">
        <s:v>13026</s:v>
      </s:c>
      <s:c r="F398" s="6" t="n">
        <s:v>13219</s:v>
      </s:c>
      <s:c r="G398" s="6" t="n">
        <s:v>28370</s:v>
      </s:c>
      <s:c r="H398" s="6" t="n">
        <s:v>24773</s:v>
      </s:c>
      <s:c r="I398" s="6" t="n">
        <s:v>5002</s:v>
      </s:c>
      <s:c r="J398" s="6" t="n">
        <s:f>IF(COUNT(C398:I398)=7,SUM(C398:I398),"")</s:f>
        <s:v>124022</s:v>
      </s:c>
    </s:row>
    <s:row r="399">
      <s:c r="A399" s="5" t="n">
        <s:v>46282</s:v>
      </s:c>
      <s:c r="B399" s="2" t="n">
        <s:v>10</s:v>
      </s:c>
      <s:c r="C399" s="6" t="n">
        <s:v>11746</s:v>
      </s:c>
      <s:c r="D399" s="6" t="n">
        <s:v>27751</s:v>
      </s:c>
      <s:c r="E399" s="6" t="n">
        <s:v>13238</s:v>
      </s:c>
      <s:c r="F399" s="6" t="n">
        <s:v>13358</s:v>
      </s:c>
      <s:c r="G399" s="6" t="n">
        <s:v>28208</s:v>
      </s:c>
      <s:c r="H399" s="6" t="n">
        <s:v>25208</s:v>
      </s:c>
      <s:c r="I399" s="6" t="n">
        <s:v>5046</s:v>
      </s:c>
      <s:c r="J399" s="6" t="n">
        <s:f>IF(COUNT(C399:I399)=7,SUM(C399:I399),"")</s:f>
        <s:v>124555</s:v>
      </s:c>
    </s:row>
    <s:row r="400">
      <s:c r="A400" s="5" t="n">
        <s:v>46282</s:v>
      </s:c>
      <s:c r="B400" s="2" t="n">
        <s:v>11</s:v>
      </s:c>
      <s:c r="C400" s="6" t="n">
        <s:v>11328</s:v>
      </s:c>
      <s:c r="D400" s="6" t="n">
        <s:v>28037</s:v>
      </s:c>
      <s:c r="E400" s="6" t="n">
        <s:v>13056</s:v>
      </s:c>
      <s:c r="F400" s="6" t="n">
        <s:v>13009</s:v>
      </s:c>
      <s:c r="G400" s="6" t="n">
        <s:v>27890</s:v>
      </s:c>
      <s:c r="H400" s="6" t="n">
        <s:v>24439</s:v>
      </s:c>
      <s:c r="I400" s="6" t="n">
        <s:v>5193</s:v>
      </s:c>
      <s:c r="J400" s="6" t="n">
        <s:f>IF(COUNT(C400:I400)=7,SUM(C400:I400),"")</s:f>
        <s:v>122952</s:v>
      </s:c>
    </s:row>
    <s:row r="401">
      <s:c r="A401" s="5" t="n">
        <s:v>46282</s:v>
      </s:c>
      <s:c r="B401" s="2" t="n">
        <s:v>12</s:v>
      </s:c>
      <s:c r="C401" s="6" t="n">
        <s:v>11297</s:v>
      </s:c>
      <s:c r="D401" s="6" t="n">
        <s:v>28572</s:v>
      </s:c>
      <s:c r="E401" s="6" t="n">
        <s:v>12791</s:v>
      </s:c>
      <s:c r="F401" s="6" t="n">
        <s:v>13037</s:v>
      </s:c>
      <s:c r="G401" s="6" t="n">
        <s:v>28292</s:v>
      </s:c>
      <s:c r="H401" s="6" t="n">
        <s:v>24359</s:v>
      </s:c>
      <s:c r="I401" s="6" t="n">
        <s:v>5231</s:v>
      </s:c>
      <s:c r="J401" s="6" t="n">
        <s:f>IF(COUNT(C401:I401)=7,SUM(C401:I401),"")</s:f>
        <s:v>123579</s:v>
      </s:c>
    </s:row>
    <s:row r="402">
      <s:c r="A402" s="5" t="n">
        <s:v>46282</s:v>
      </s:c>
      <s:c r="B402" s="2" t="n">
        <s:v>13</s:v>
      </s:c>
      <s:c r="C402" s="6" t="n">
        <s:v>11368</s:v>
      </s:c>
      <s:c r="D402" s="6" t="n">
        <s:v>28640</s:v>
      </s:c>
      <s:c r="E402" s="6" t="n">
        <s:v>13101</s:v>
      </s:c>
      <s:c r="F402" s="6" t="n">
        <s:v>12957</s:v>
      </s:c>
      <s:c r="G402" s="6" t="n">
        <s:v>28537</s:v>
      </s:c>
      <s:c r="H402" s="6" t="n">
        <s:v>24445</s:v>
      </s:c>
      <s:c r="I402" s="6" t="n">
        <s:v>5313</s:v>
      </s:c>
      <s:c r="J402" s="6" t="n">
        <s:f>IF(COUNT(C402:I402)=7,SUM(C402:I402),"")</s:f>
        <s:v>124361</s:v>
      </s:c>
    </s:row>
    <s:row r="403">
      <s:c r="A403" s="5" t="n">
        <s:v>46282</s:v>
      </s:c>
      <s:c r="B403" s="2" t="n">
        <s:v>14</s:v>
      </s:c>
      <s:c r="C403" s="6" t="n">
        <s:v>11445</s:v>
      </s:c>
      <s:c r="D403" s="6" t="n">
        <s:v>29119</s:v>
      </s:c>
      <s:c r="E403" s="6" t="n">
        <s:v>12736</s:v>
      </s:c>
      <s:c r="F403" s="6" t="n">
        <s:v>12217</s:v>
      </s:c>
      <s:c r="G403" s="6" t="n">
        <s:v>28653</s:v>
      </s:c>
      <s:c r="H403" s="6" t="n">
        <s:v>24863</s:v>
      </s:c>
      <s:c r="I403" s="6" t="n">
        <s:v>5148</s:v>
      </s:c>
      <s:c r="J403" s="6" t="n">
        <s:f>IF(COUNT(C403:I403)=7,SUM(C403:I403),"")</s:f>
        <s:v>124181</s:v>
      </s:c>
    </s:row>
    <s:row r="404">
      <s:c r="A404" s="5" t="n">
        <s:v>46282</s:v>
      </s:c>
      <s:c r="B404" s="2" t="n">
        <s:v>15</s:v>
      </s:c>
      <s:c r="C404" s="6" t="n">
        <s:v>10996</s:v>
      </s:c>
      <s:c r="D404" s="6" t="n">
        <s:v>28643</s:v>
      </s:c>
      <s:c r="E404" s="6" t="n">
        <s:v>13192</s:v>
      </s:c>
      <s:c r="F404" s="6" t="n">
        <s:v>12376</s:v>
      </s:c>
      <s:c r="G404" s="6" t="n">
        <s:v>28209</s:v>
      </s:c>
      <s:c r="H404" s="6" t="n">
        <s:v>25050</s:v>
      </s:c>
      <s:c r="I404" s="6" t="n">
        <s:v>4932</s:v>
      </s:c>
      <s:c r="J404" s="6" t="n">
        <s:f>IF(COUNT(C404:I404)=7,SUM(C404:I404),"")</s:f>
        <s:v>123398</s:v>
      </s:c>
    </s:row>
    <s:row r="405">
      <s:c r="A405" s="5" t="n">
        <s:v>46282</s:v>
      </s:c>
      <s:c r="B405" s="2" t="n">
        <s:v>16</s:v>
      </s:c>
      <s:c r="C405" s="6" t="n">
        <s:v>10927</s:v>
      </s:c>
      <s:c r="D405" s="6" t="n">
        <s:v>28852</s:v>
      </s:c>
      <s:c r="E405" s="6" t="n">
        <s:v>12768</s:v>
      </s:c>
      <s:c r="F405" s="6" t="n">
        <s:v>12208</s:v>
      </s:c>
      <s:c r="G405" s="6" t="n">
        <s:v>28368</s:v>
      </s:c>
      <s:c r="H405" s="6" t="n">
        <s:v>24557</s:v>
      </s:c>
      <s:c r="I405" s="6" t="n">
        <s:v>4809</s:v>
      </s:c>
      <s:c r="J405" s="6" t="n">
        <s:f>IF(COUNT(C405:I405)=7,SUM(C405:I405),"")</s:f>
        <s:v>122489</s:v>
      </s:c>
    </s:row>
    <s:row r="406">
      <s:c r="A406" s="5" t="n">
        <s:v>46282</s:v>
      </s:c>
      <s:c r="B406" s="2" t="n">
        <s:v>17</s:v>
      </s:c>
      <s:c r="C406" s="6" t="n">
        <s:v>10846</s:v>
      </s:c>
      <s:c r="D406" s="6" t="n">
        <s:v>28819</s:v>
      </s:c>
      <s:c r="E406" s="6" t="n">
        <s:v>12842</s:v>
      </s:c>
      <s:c r="F406" s="6" t="n">
        <s:v>12618</s:v>
      </s:c>
      <s:c r="G406" s="6" t="n">
        <s:v>28407</s:v>
      </s:c>
      <s:c r="H406" s="6" t="n">
        <s:v>24870</s:v>
      </s:c>
      <s:c r="I406" s="6" t="n">
        <s:v>4468</s:v>
      </s:c>
      <s:c r="J406" s="6" t="n">
        <s:f>IF(COUNT(C406:I406)=7,SUM(C406:I406),"")</s:f>
        <s:v>122870</s:v>
      </s:c>
    </s:row>
    <s:row r="407">
      <s:c r="A407" s="5" t="n">
        <s:v>46282</s:v>
      </s:c>
      <s:c r="B407" s="2" t="n">
        <s:v>18</s:v>
      </s:c>
      <s:c r="C407" s="6" t="n">
        <s:v>10912</s:v>
      </s:c>
      <s:c r="D407" s="6" t="n">
        <s:v>28866</s:v>
      </s:c>
      <s:c r="E407" s="6" t="n">
        <s:v>13985</s:v>
      </s:c>
      <s:c r="F407" s="6" t="n">
        <s:v>12839</s:v>
      </s:c>
      <s:c r="G407" s="6" t="n">
        <s:v>28464</s:v>
      </s:c>
      <s:c r="H407" s="6" t="n">
        <s:v>24470</s:v>
      </s:c>
      <s:c r="I407" s="6" t="n">
        <s:v>4520</s:v>
      </s:c>
      <s:c r="J407" s="6" t="n">
        <s:f>IF(COUNT(C407:I407)=7,SUM(C407:I407),"")</s:f>
        <s:v>124056</s:v>
      </s:c>
    </s:row>
    <s:row r="408">
      <s:c r="A408" s="5" t="n">
        <s:v>46282</s:v>
      </s:c>
      <s:c r="B408" s="2" t="n">
        <s:v>19</s:v>
      </s:c>
      <s:c r="C408" s="6" t="n">
        <s:v>11393</s:v>
      </s:c>
      <s:c r="D408" s="6" t="n">
        <s:v>28933</s:v>
      </s:c>
      <s:c r="E408" s="6" t="n">
        <s:v>13481</s:v>
      </s:c>
      <s:c r="F408" s="6" t="n">
        <s:v>12282</s:v>
      </s:c>
      <s:c r="G408" s="6" t="n">
        <s:v>28324</s:v>
      </s:c>
      <s:c r="H408" s="6" t="n">
        <s:v>23521</s:v>
      </s:c>
      <s:c r="I408" s="6" t="n">
        <s:v>4429</s:v>
      </s:c>
      <s:c r="J408" s="6" t="n">
        <s:f>IF(COUNT(C408:I408)=7,SUM(C408:I408),"")</s:f>
        <s:v>122363</s:v>
      </s:c>
    </s:row>
    <s:row r="409">
      <s:c r="A409" s="5" t="n">
        <s:v>46282</s:v>
      </s:c>
      <s:c r="B409" s="2" t="n">
        <s:v>20</s:v>
      </s:c>
      <s:c r="C409" s="6" t="n">
        <s:v>11280</s:v>
      </s:c>
      <s:c r="D409" s="6" t="n">
        <s:v>27967</s:v>
      </s:c>
      <s:c r="E409" s="6" t="n">
        <s:v>13010</s:v>
      </s:c>
      <s:c r="F409" s="6" t="n">
        <s:v>12102</s:v>
      </s:c>
      <s:c r="G409" s="6" t="n">
        <s:v>27329</s:v>
      </s:c>
      <s:c r="H409" s="6" t="n">
        <s:v>23223</s:v>
      </s:c>
      <s:c r="I409" s="6" t="n">
        <s:v>4375</s:v>
      </s:c>
      <s:c r="J409" s="6" t="n">
        <s:f>IF(COUNT(C409:I409)=7,SUM(C409:I409),"")</s:f>
        <s:v>119286</s:v>
      </s:c>
    </s:row>
    <s:row r="410">
      <s:c r="A410" s="5" t="n">
        <s:v>46282</s:v>
      </s:c>
      <s:c r="B410" s="2" t="n">
        <s:v>21</s:v>
      </s:c>
      <s:c r="C410" s="6" t="n">
        <s:v>11567</s:v>
      </s:c>
      <s:c r="D410" s="6" t="n">
        <s:v>26687</s:v>
      </s:c>
      <s:c r="E410" s="6" t="n">
        <s:v>12053</s:v>
      </s:c>
      <s:c r="F410" s="6" t="n">
        <s:v>11574</s:v>
      </s:c>
      <s:c r="G410" s="6" t="n">
        <s:v>26361</s:v>
      </s:c>
      <s:c r="H410" s="6" t="n">
        <s:v>23177</s:v>
      </s:c>
      <s:c r="I410" s="6" t="n">
        <s:v>4479</s:v>
      </s:c>
      <s:c r="J410" s="6" t="n">
        <s:f>IF(COUNT(C410:I410)=7,SUM(C410:I410),"")</s:f>
        <s:v>115898</s:v>
      </s:c>
    </s:row>
    <s:row r="411">
      <s:c r="A411" s="5" t="n">
        <s:v>46282</s:v>
      </s:c>
      <s:c r="B411" s="2" t="n">
        <s:v>22</s:v>
      </s:c>
      <s:c r="C411" s="6" t="n">
        <s:v>11433</s:v>
      </s:c>
      <s:c r="D411" s="6" t="n">
        <s:v>25351</s:v>
      </s:c>
      <s:c r="E411" s="6" t="n">
        <s:v>11111</s:v>
      </s:c>
      <s:c r="F411" s="6" t="n">
        <s:v>11051</s:v>
      </s:c>
      <s:c r="G411" s="6" t="n">
        <s:v>24866</s:v>
      </s:c>
      <s:c r="H411" s="6" t="n">
        <s:v>22222</s:v>
      </s:c>
      <s:c r="I411" s="6" t="n">
        <s:v>4443</s:v>
      </s:c>
      <s:c r="J411" s="6" t="n">
        <s:f>IF(COUNT(C411:I411)=7,SUM(C411:I411),"")</s:f>
        <s:v>110477</s:v>
      </s:c>
    </s:row>
    <s:row r="412">
      <s:c r="A412" s="5" t="n">
        <s:v>46282</s:v>
      </s:c>
      <s:c r="B412" s="2" t="n">
        <s:v>23</s:v>
      </s:c>
      <s:c r="C412" s="6" t="n">
        <s:v>11040</s:v>
      </s:c>
      <s:c r="D412" s="6" t="n">
        <s:v>23631</s:v>
      </s:c>
      <s:c r="E412" s="6" t="n">
        <s:v>10660</s:v>
      </s:c>
      <s:c r="F412" s="6" t="n">
        <s:v>10654</s:v>
      </s:c>
      <s:c r="G412" s="6" t="n">
        <s:v>23694</s:v>
      </s:c>
      <s:c r="H412" s="6" t="n">
        <s:v>22223</s:v>
      </s:c>
      <s:c r="I412" s="6" t="n">
        <s:v>4689</s:v>
      </s:c>
      <s:c r="J412" s="6" t="n">
        <s:f>IF(COUNT(C412:I412)=7,SUM(C412:I412),"")</s:f>
        <s:v>106591</s:v>
      </s:c>
    </s:row>
    <s:row r="413">
      <s:c r="A413" s="5" t="n">
        <s:v>46283</s:v>
      </s:c>
      <s:c r="B413" s="2" t="n">
        <s:v>0</s:v>
      </s:c>
      <s:c r="C413" s="6" t="n">
        <s:v>10955</s:v>
      </s:c>
      <s:c r="D413" s="6" t="n">
        <s:v>22700</s:v>
      </s:c>
      <s:c r="E413" s="6" t="n">
        <s:v>9958</s:v>
      </s:c>
      <s:c r="F413" s="6" t="n">
        <s:v>10007</s:v>
      </s:c>
      <s:c r="G413" s="6" t="n">
        <s:v>24102</s:v>
      </s:c>
      <s:c r="H413" s="6" t="n">
        <s:v>22712</s:v>
      </s:c>
      <s:c r="I413" s="6" t="n">
        <s:v>4891</s:v>
      </s:c>
      <s:c r="J413" s="6" t="n">
        <s:f>IF(COUNT(C413:I413)=7,SUM(C413:I413),"")</s:f>
        <s:v>105325</s:v>
      </s:c>
    </s:row>
    <s:row r="414">
      <s:c r="A414" s="5" t="n">
        <s:v>46283</s:v>
      </s:c>
      <s:c r="B414" s="2" t="n">
        <s:v>1</s:v>
      </s:c>
      <s:c r="C414" s="6" t="n">
        <s:v>10821</s:v>
      </s:c>
      <s:c r="D414" s="6" t="n">
        <s:v>22457</s:v>
      </s:c>
      <s:c r="E414" s="6" t="n">
        <s:v>9716</s:v>
      </s:c>
      <s:c r="F414" s="6" t="n">
        <s:v>9871</s:v>
      </s:c>
      <s:c r="G414" s="6" t="n">
        <s:v>23852</s:v>
      </s:c>
      <s:c r="H414" s="6" t="n">
        <s:v>22958</s:v>
      </s:c>
      <s:c r="I414" s="6" t="n">
        <s:v>4961</s:v>
      </s:c>
      <s:c r="J414" s="6" t="n">
        <s:f>IF(COUNT(C414:I414)=7,SUM(C414:I414),"")</s:f>
        <s:v>104636</s:v>
      </s:c>
    </s:row>
    <s:row r="415">
      <s:c r="A415" s="5" t="n">
        <s:v>46283</s:v>
      </s:c>
      <s:c r="B415" s="2" t="n">
        <s:v>2</s:v>
      </s:c>
      <s:c r="C415" s="6" t="n">
        <s:v>10807</s:v>
      </s:c>
      <s:c r="D415" s="6" t="n">
        <s:v>22164</s:v>
      </s:c>
      <s:c r="E415" s="6" t="n">
        <s:v>9972</s:v>
      </s:c>
      <s:c r="F415" s="6" t="n">
        <s:v>9629</s:v>
      </s:c>
      <s:c r="G415" s="6" t="n">
        <s:v>24058</s:v>
      </s:c>
      <s:c r="H415" s="6" t="n">
        <s:v>22745</s:v>
      </s:c>
      <s:c r="I415" s="6" t="n">
        <s:v>5188</s:v>
      </s:c>
      <s:c r="J415" s="6" t="n">
        <s:f>IF(COUNT(C415:I415)=7,SUM(C415:I415),"")</s:f>
        <s:v>104563</s:v>
      </s:c>
    </s:row>
    <s:row r="416">
      <s:c r="A416" s="5" t="n">
        <s:v>46283</s:v>
      </s:c>
      <s:c r="B416" s="2" t="n">
        <s:v>3</s:v>
      </s:c>
      <s:c r="C416" s="6" t="n">
        <s:v>10738</s:v>
      </s:c>
      <s:c r="D416" s="6" t="n">
        <s:v>22109</s:v>
      </s:c>
      <s:c r="E416" s="6" t="n">
        <s:v>9904</s:v>
      </s:c>
      <s:c r="F416" s="6" t="n">
        <s:v>9985</s:v>
      </s:c>
      <s:c r="G416" s="6" t="n">
        <s:v>23912</s:v>
      </s:c>
      <s:c r="H416" s="6" t="n">
        <s:v>23254</s:v>
      </s:c>
      <s:c r="I416" s="6" t="n">
        <s:v>5179</s:v>
      </s:c>
      <s:c r="J416" s="6" t="n">
        <s:f>IF(COUNT(C416:I416)=7,SUM(C416:I416),"")</s:f>
        <s:v>105081</s:v>
      </s:c>
    </s:row>
    <s:row r="417">
      <s:c r="A417" s="5" t="n">
        <s:v>46283</s:v>
      </s:c>
      <s:c r="B417" s="2" t="n">
        <s:v>4</s:v>
      </s:c>
      <s:c r="C417" s="6" t="n">
        <s:v>10823</s:v>
      </s:c>
      <s:c r="D417" s="6" t="n">
        <s:v>22201</s:v>
      </s:c>
      <s:c r="E417" s="6" t="n">
        <s:v>9777</s:v>
      </s:c>
      <s:c r="F417" s="6" t="n">
        <s:v>9691</s:v>
      </s:c>
      <s:c r="G417" s="6" t="n">
        <s:v>25304</s:v>
      </s:c>
      <s:c r="H417" s="6" t="n">
        <s:v>24119</s:v>
      </s:c>
      <s:c r="I417" s="6" t="n">
        <s:v>5064</s:v>
      </s:c>
      <s:c r="J417" s="6" t="n">
        <s:f>IF(COUNT(C417:I417)=7,SUM(C417:I417),"")</s:f>
        <s:v>106979</s:v>
      </s:c>
    </s:row>
    <s:row r="418">
      <s:c r="A418" s="5" t="n">
        <s:v>46283</s:v>
      </s:c>
      <s:c r="B418" s="2" t="n">
        <s:v>5</s:v>
      </s:c>
      <s:c r="C418" s="6" t="n">
        <s:v>10890</s:v>
      </s:c>
      <s:c r="D418" s="6" t="n">
        <s:v>23158</s:v>
      </s:c>
      <s:c r="E418" s="6" t="n">
        <s:v>9956</s:v>
      </s:c>
      <s:c r="F418" s="6" t="n">
        <s:v>10472</s:v>
      </s:c>
      <s:c r="G418" s="6" t="n">
        <s:v>26176</s:v>
      </s:c>
      <s:c r="H418" s="6" t="n">
        <s:v>25014</s:v>
      </s:c>
      <s:c r="I418" s="6" t="n">
        <s:v>5013</s:v>
      </s:c>
      <s:c r="J418" s="6" t="n">
        <s:f>IF(COUNT(C418:I418)=7,SUM(C418:I418),"")</s:f>
        <s:v>110679</s:v>
      </s:c>
    </s:row>
    <s:row r="419">
      <s:c r="A419" s="5" t="n">
        <s:v>46283</s:v>
      </s:c>
      <s:c r="B419" s="2" t="n">
        <s:v>6</s:v>
      </s:c>
      <s:c r="C419" s="6" t="n">
        <s:v>11129</s:v>
      </s:c>
      <s:c r="D419" s="6" t="n">
        <s:v>25166</s:v>
      </s:c>
      <s:c r="E419" s="6" t="n">
        <s:v>10846</s:v>
      </s:c>
      <s:c r="F419" s="6" t="n">
        <s:v>10912</s:v>
      </s:c>
      <s:c r="G419" s="6" t="n">
        <s:v>27153</s:v>
      </s:c>
      <s:c r="H419" s="6" t="n">
        <s:v>24605</s:v>
      </s:c>
      <s:c r="I419" s="6" t="n">
        <s:v>4985</s:v>
      </s:c>
      <s:c r="J419" s="6" t="n">
        <s:f>IF(COUNT(C419:I419)=7,SUM(C419:I419),"")</s:f>
        <s:v>114796</s:v>
      </s:c>
    </s:row>
    <s:row r="420">
      <s:c r="A420" s="5" t="n">
        <s:v>46283</s:v>
      </s:c>
      <s:c r="B420" s="2" t="n">
        <s:v>7</s:v>
      </s:c>
      <s:c r="C420" s="6" t="n">
        <s:v>11467</s:v>
      </s:c>
      <s:c r="D420" s="6" t="n">
        <s:v>26246</s:v>
      </s:c>
      <s:c r="E420" s="6" t="n">
        <s:v>11455</s:v>
      </s:c>
      <s:c r="F420" s="6" t="n">
        <s:v>11762</s:v>
      </s:c>
      <s:c r="G420" s="6" t="n">
        <s:v>28291</s:v>
      </s:c>
      <s:c r="H420" s="6" t="n">
        <s:v>24487</s:v>
      </s:c>
      <s:c r="I420" s="6" t="n">
        <s:v>4972</s:v>
      </s:c>
      <s:c r="J420" s="6" t="n">
        <s:f>IF(COUNT(C420:I420)=7,SUM(C420:I420),"")</s:f>
        <s:v>118680</s:v>
      </s:c>
    </s:row>
    <s:row r="421">
      <s:c r="A421" s="5" t="n">
        <s:v>46283</s:v>
      </s:c>
      <s:c r="B421" s="2" t="n">
        <s:v>8</s:v>
      </s:c>
      <s:c r="C421" s="6" t="n">
        <s:v>11332</s:v>
      </s:c>
      <s:c r="D421" s="6" t="n">
        <s:v>27814</s:v>
      </s:c>
      <s:c r="E421" s="6" t="n">
        <s:v>12597</s:v>
      </s:c>
      <s:c r="F421" s="6" t="n">
        <s:v>13133</s:v>
      </s:c>
      <s:c r="G421" s="6" t="n">
        <s:v>28264</s:v>
      </s:c>
      <s:c r="H421" s="6" t="n">
        <s:v>25125</s:v>
      </s:c>
      <s:c r="I421" s="6" t="n">
        <s:v>4989</s:v>
      </s:c>
      <s:c r="J421" s="6" t="n">
        <s:f>IF(COUNT(C421:I421)=7,SUM(C421:I421),"")</s:f>
        <s:v>123254</s:v>
      </s:c>
    </s:row>
    <s:row r="422">
      <s:c r="A422" s="5" t="n">
        <s:v>46283</s:v>
      </s:c>
      <s:c r="B422" s="2" t="n">
        <s:v>9</s:v>
      </s:c>
      <s:c r="C422" s="6" t="n">
        <s:v>11135</s:v>
      </s:c>
      <s:c r="D422" s="6" t="n">
        <s:v>28134</s:v>
      </s:c>
      <s:c r="E422" s="6" t="n">
        <s:v>12924</s:v>
      </s:c>
      <s:c r="F422" s="6" t="n">
        <s:v>13504</s:v>
      </s:c>
      <s:c r="G422" s="6" t="n">
        <s:v>28515</s:v>
      </s:c>
      <s:c r="H422" s="6" t="n">
        <s:v>25185</s:v>
      </s:c>
      <s:c r="I422" s="6" t="n">
        <s:v>4979</s:v>
      </s:c>
      <s:c r="J422" s="6" t="n">
        <s:f>IF(COUNT(C422:I422)=7,SUM(C422:I422),"")</s:f>
        <s:v>124376</s:v>
      </s:c>
    </s:row>
    <s:row r="423">
      <s:c r="A423" s="5" t="n">
        <s:v>46283</s:v>
      </s:c>
      <s:c r="B423" s="2" t="n">
        <s:v>10</s:v>
      </s:c>
      <s:c r="C423" s="6" t="n">
        <s:v>11313</s:v>
      </s:c>
      <s:c r="D423" s="6" t="n">
        <s:v>27917</s:v>
      </s:c>
      <s:c r="E423" s="6" t="n">
        <s:v>13077</s:v>
      </s:c>
      <s:c r="F423" s="6" t="n">
        <s:v>13542</s:v>
      </s:c>
      <s:c r="G423" s="6" t="n">
        <s:v>28581</s:v>
      </s:c>
      <s:c r="H423" s="6" t="n">
        <s:v>24971</s:v>
      </s:c>
      <s:c r="I423" s="6" t="n">
        <s:v>5014</s:v>
      </s:c>
      <s:c r="J423" s="6" t="n">
        <s:f>IF(COUNT(C423:I423)=7,SUM(C423:I423),"")</s:f>
        <s:v>124415</s:v>
      </s:c>
    </s:row>
    <s:row r="424">
      <s:c r="A424" s="5" t="n">
        <s:v>46283</s:v>
      </s:c>
      <s:c r="B424" s="2" t="n">
        <s:v>11</s:v>
      </s:c>
      <s:c r="C424" s="6" t="n">
        <s:v>11306</s:v>
      </s:c>
      <s:c r="D424" s="6" t="n">
        <s:v>27905</s:v>
      </s:c>
      <s:c r="E424" s="6" t="n">
        <s:v>13470</s:v>
      </s:c>
      <s:c r="F424" s="6" t="n">
        <s:v>13365</s:v>
      </s:c>
      <s:c r="G424" s="6" t="n">
        <s:v>28114</s:v>
      </s:c>
      <s:c r="H424" s="6" t="n">
        <s:v>24312</s:v>
      </s:c>
      <s:c r="I424" s="6" t="n">
        <s:v>4922</s:v>
      </s:c>
      <s:c r="J424" s="6" t="n">
        <s:f>IF(COUNT(C424:I424)=7,SUM(C424:I424),"")</s:f>
        <s:v>123394</s:v>
      </s:c>
    </s:row>
    <s:row r="425">
      <s:c r="A425" s="5" t="n">
        <s:v>46283</s:v>
      </s:c>
      <s:c r="B425" s="2" t="n">
        <s:v>12</s:v>
      </s:c>
      <s:c r="C425" s="6" t="n">
        <s:v>11298</s:v>
      </s:c>
      <s:c r="D425" s="6" t="n">
        <s:v>28309</s:v>
      </s:c>
      <s:c r="E425" s="6" t="n">
        <s:v>13146</s:v>
      </s:c>
      <s:c r="F425" s="6" t="n">
        <s:v>13081</s:v>
      </s:c>
      <s:c r="G425" s="6" t="n">
        <s:v>28288</s:v>
      </s:c>
      <s:c r="H425" s="6" t="n">
        <s:v>24358</s:v>
      </s:c>
      <s:c r="I425" s="6" t="n">
        <s:v>5103</s:v>
      </s:c>
      <s:c r="J425" s="6" t="n">
        <s:f>IF(COUNT(C425:I425)=7,SUM(C425:I425),"")</s:f>
        <s:v>123583</s:v>
      </s:c>
    </s:row>
    <s:row r="426">
      <s:c r="A426" s="5" t="n">
        <s:v>46283</s:v>
      </s:c>
      <s:c r="B426" s="2" t="n">
        <s:v>13</s:v>
      </s:c>
      <s:c r="C426" s="6" t="n">
        <s:v>11349</s:v>
      </s:c>
      <s:c r="D426" s="6" t="n">
        <s:v>28270</s:v>
      </s:c>
      <s:c r="E426" s="6" t="n">
        <s:v>12815</s:v>
      </s:c>
      <s:c r="F426" s="6" t="n">
        <s:v>12870</s:v>
      </s:c>
      <s:c r="G426" s="6" t="n">
        <s:v>28369</s:v>
      </s:c>
      <s:c r="H426" s="6" t="n">
        <s:v>24932</s:v>
      </s:c>
      <s:c r="I426" s="6" t="n">
        <s:v>5084</s:v>
      </s:c>
      <s:c r="J426" s="6" t="n">
        <s:f>IF(COUNT(C426:I426)=7,SUM(C426:I426),"")</s:f>
        <s:v>123689</s:v>
      </s:c>
    </s:row>
    <s:row r="427">
      <s:c r="A427" s="5" t="n">
        <s:v>46283</s:v>
      </s:c>
      <s:c r="B427" s="2" t="n">
        <s:v>14</s:v>
      </s:c>
      <s:c r="C427" s="6" t="n">
        <s:v>11213</s:v>
      </s:c>
      <s:c r="D427" s="6" t="n">
        <s:v>28364</s:v>
      </s:c>
      <s:c r="E427" s="6" t="n">
        <s:v>12834</s:v>
      </s:c>
      <s:c r="F427" s="6" t="n">
        <s:v>12773</s:v>
      </s:c>
      <s:c r="G427" s="6" t="n">
        <s:v>28185</s:v>
      </s:c>
      <s:c r="H427" s="6" t="n">
        <s:v>25087</s:v>
      </s:c>
      <s:c r="I427" s="6" t="n">
        <s:v>5041</s:v>
      </s:c>
      <s:c r="J427" s="6" t="n">
        <s:f>IF(COUNT(C427:I427)=7,SUM(C427:I427),"")</s:f>
        <s:v>123497</s:v>
      </s:c>
    </s:row>
    <s:row r="428">
      <s:c r="A428" s="5" t="n">
        <s:v>46283</s:v>
      </s:c>
      <s:c r="B428" s="2" t="n">
        <s:v>15</s:v>
      </s:c>
      <s:c r="C428" s="6" t="n">
        <s:v>11353</s:v>
      </s:c>
      <s:c r="D428" s="6" t="n">
        <s:v>28057</s:v>
      </s:c>
      <s:c r="E428" s="6" t="n">
        <s:v>13338</s:v>
      </s:c>
      <s:c r="F428" s="6" t="n">
        <s:v>13031</s:v>
      </s:c>
      <s:c r="G428" s="6" t="n">
        <s:v>27751</s:v>
      </s:c>
      <s:c r="H428" s="6" t="n">
        <s:v>25471</s:v>
      </s:c>
      <s:c r="I428" s="6" t="n">
        <s:v>4787</s:v>
      </s:c>
      <s:c r="J428" s="6" t="n">
        <s:f>IF(COUNT(C428:I428)=7,SUM(C428:I428),"")</s:f>
        <s:v>123788</s:v>
      </s:c>
    </s:row>
    <s:row r="429">
      <s:c r="A429" s="5" t="n">
        <s:v>46283</s:v>
      </s:c>
      <s:c r="B429" s="2" t="n">
        <s:v>16</s:v>
      </s:c>
      <s:c r="C429" s="6" t="n">
        <s:v>11450</s:v>
      </s:c>
      <s:c r="D429" s="6" t="n">
        <s:v>28293</s:v>
      </s:c>
      <s:c r="E429" s="6" t="n">
        <s:v>13078</s:v>
      </s:c>
      <s:c r="F429" s="6" t="n">
        <s:v>12537</s:v>
      </s:c>
      <s:c r="G429" s="6" t="n">
        <s:v>27941</s:v>
      </s:c>
      <s:c r="H429" s="6" t="n">
        <s:v>24988</s:v>
      </s:c>
      <s:c r="I429" s="6" t="n">
        <s:v>4638</s:v>
      </s:c>
      <s:c r="J429" s="6" t="n">
        <s:f>IF(COUNT(C429:I429)=7,SUM(C429:I429),"")</s:f>
        <s:v>122925</s:v>
      </s:c>
    </s:row>
    <s:row r="430">
      <s:c r="A430" s="5" t="n">
        <s:v>46283</s:v>
      </s:c>
      <s:c r="B430" s="2" t="n">
        <s:v>17</s:v>
      </s:c>
      <s:c r="C430" s="6" t="n">
        <s:v>11196</s:v>
      </s:c>
      <s:c r="D430" s="6" t="n">
        <s:v>28331</s:v>
      </s:c>
      <s:c r="E430" s="6" t="n">
        <s:v>12898</s:v>
      </s:c>
      <s:c r="F430" s="6" t="n">
        <s:v>12674</s:v>
      </s:c>
      <s:c r="G430" s="6" t="n">
        <s:v>28597</s:v>
      </s:c>
      <s:c r="H430" s="6" t="n">
        <s:v>25002</s:v>
      </s:c>
      <s:c r="I430" s="6" t="n">
        <s:v>4407</s:v>
      </s:c>
      <s:c r="J430" s="6" t="n">
        <s:f>IF(COUNT(C430:I430)=7,SUM(C430:I430),"")</s:f>
        <s:v>123105</s:v>
      </s:c>
    </s:row>
    <s:row r="431">
      <s:c r="A431" s="5" t="n">
        <s:v>46283</s:v>
      </s:c>
      <s:c r="B431" s="2" t="n">
        <s:v>18</s:v>
      </s:c>
      <s:c r="C431" s="6" t="n">
        <s:v>11514</s:v>
      </s:c>
      <s:c r="D431" s="6" t="n">
        <s:v>28891</s:v>
      </s:c>
      <s:c r="E431" s="6" t="n">
        <s:v>13219</s:v>
      </s:c>
      <s:c r="F431" s="6" t="n">
        <s:v>12786</s:v>
      </s:c>
      <s:c r="G431" s="6" t="n">
        <s:v>28941</s:v>
      </s:c>
      <s:c r="H431" s="6" t="n">
        <s:v>24238</s:v>
      </s:c>
      <s:c r="I431" s="6" t="n">
        <s:v>4308</s:v>
      </s:c>
      <s:c r="J431" s="6" t="n">
        <s:f>IF(COUNT(C431:I431)=7,SUM(C431:I431),"")</s:f>
        <s:v>123897</s:v>
      </s:c>
    </s:row>
    <s:row r="432">
      <s:c r="A432" s="5" t="n">
        <s:v>46283</s:v>
      </s:c>
      <s:c r="B432" s="2" t="n">
        <s:v>19</s:v>
      </s:c>
      <s:c r="C432" s="6" t="n">
        <s:v>11855</s:v>
      </s:c>
      <s:c r="D432" s="6" t="n">
        <s:v>28832</s:v>
      </s:c>
      <s:c r="E432" s="6" t="n">
        <s:v>13052</s:v>
      </s:c>
      <s:c r="F432" s="6" t="n">
        <s:v>12390</s:v>
      </s:c>
      <s:c r="G432" s="6" t="n">
        <s:v>28327</s:v>
      </s:c>
      <s:c r="H432" s="6" t="n">
        <s:v>23498</s:v>
      </s:c>
      <s:c r="I432" s="6" t="n">
        <s:v>4320</s:v>
      </s:c>
      <s:c r="J432" s="6" t="n">
        <s:f>IF(COUNT(C432:I432)=7,SUM(C432:I432),"")</s:f>
        <s:v>122274</s:v>
      </s:c>
    </s:row>
    <s:row r="433">
      <s:c r="A433" s="5" t="n">
        <s:v>46283</s:v>
      </s:c>
      <s:c r="B433" s="2" t="n">
        <s:v>20</s:v>
      </s:c>
      <s:c r="C433" s="6" t="n">
        <s:v>11917</s:v>
      </s:c>
      <s:c r="D433" s="6" t="n">
        <s:v>27749</s:v>
      </s:c>
      <s:c r="E433" s="6" t="n">
        <s:v>12338</s:v>
      </s:c>
      <s:c r="F433" s="6" t="n">
        <s:v>12226</s:v>
      </s:c>
      <s:c r="G433" s="6" t="n">
        <s:v>28315</s:v>
      </s:c>
      <s:c r="H433" s="6" t="n">
        <s:v>22529</s:v>
      </s:c>
      <s:c r="I433" s="6" t="n">
        <s:v>4302</s:v>
      </s:c>
      <s:c r="J433" s="6" t="n">
        <s:f>IF(COUNT(C433:I433)=7,SUM(C433:I433),"")</s:f>
        <s:v>119376</s:v>
      </s:c>
    </s:row>
    <s:row r="434">
      <s:c r="A434" s="5" t="n">
        <s:v>46283</s:v>
      </s:c>
      <s:c r="B434" s="2" t="n">
        <s:v>21</s:v>
      </s:c>
      <s:c r="C434" s="6" t="n">
        <s:v>11739</s:v>
      </s:c>
      <s:c r="D434" s="6" t="n">
        <s:v>26335</s:v>
      </s:c>
      <s:c r="E434" s="6" t="n">
        <s:v>12344</s:v>
      </s:c>
      <s:c r="F434" s="6" t="n">
        <s:v>11653</s:v>
      </s:c>
      <s:c r="G434" s="6" t="n">
        <s:v>27633</s:v>
      </s:c>
      <s:c r="H434" s="6" t="n">
        <s:v>22434</s:v>
      </s:c>
      <s:c r="I434" s="6" t="n">
        <s:v>4337</s:v>
      </s:c>
      <s:c r="J434" s="6" t="n">
        <s:f>IF(COUNT(C434:I434)=7,SUM(C434:I434),"")</s:f>
        <s:v>116475</s:v>
      </s:c>
    </s:row>
    <s:row r="435">
      <s:c r="A435" s="5" t="n">
        <s:v>46283</s:v>
      </s:c>
      <s:c r="B435" s="2" t="n">
        <s:v>22</s:v>
      </s:c>
      <s:c r="C435" s="6" t="n">
        <s:v>11468</s:v>
      </s:c>
      <s:c r="D435" s="6" t="n">
        <s:v>24999</s:v>
      </s:c>
      <s:c r="E435" s="6" t="n">
        <s:v>11718</s:v>
      </s:c>
      <s:c r="F435" s="6" t="n">
        <s:v>11086</s:v>
      </s:c>
      <s:c r="G435" s="6" t="n">
        <s:v>26207</s:v>
      </s:c>
      <s:c r="H435" s="6" t="n">
        <s:v>22211</s:v>
      </s:c>
      <s:c r="I435" s="6" t="n">
        <s:v>4318</s:v>
      </s:c>
      <s:c r="J435" s="6" t="n">
        <s:f>IF(COUNT(C435:I435)=7,SUM(C435:I435),"")</s:f>
        <s:v>112007</s:v>
      </s:c>
    </s:row>
    <s:row r="436">
      <s:c r="A436" s="5" t="n">
        <s:v>46283</s:v>
      </s:c>
      <s:c r="B436" s="2" t="n">
        <s:v>23</s:v>
      </s:c>
      <s:c r="C436" s="6" t="n">
        <s:v>11275</s:v>
      </s:c>
      <s:c r="D436" s="6" t="n">
        <s:v>23455</s:v>
      </s:c>
      <s:c r="E436" s="6" t="n">
        <s:v>11814</s:v>
      </s:c>
      <s:c r="F436" s="6" t="n">
        <s:v>11691</s:v>
      </s:c>
      <s:c r="G436" s="6" t="n">
        <s:v>24464</s:v>
      </s:c>
      <s:c r="H436" s="6" t="n">
        <s:v>22391</s:v>
      </s:c>
      <s:c r="I436" s="6" t="n">
        <s:v>4524</s:v>
      </s:c>
      <s:c r="J436" s="6" t="n">
        <s:f>IF(COUNT(C436:I436)=7,SUM(C436:I436),"")</s:f>
        <s:v>109614</s:v>
      </s:c>
    </s:row>
    <s:row r="437">
      <s:c r="A437" s="5" t="n">
        <s:v>46284</s:v>
      </s:c>
      <s:c r="B437" s="2" t="n">
        <s:v>0</s:v>
      </s:c>
      <s:c r="C437" s="6" t="n">
        <s:v>11222</s:v>
      </s:c>
      <s:c r="D437" s="6" t="n">
        <s:v>22610</s:v>
      </s:c>
      <s:c r="E437" s="6" t="n">
        <s:v>10982</s:v>
      </s:c>
      <s:c r="F437" s="6" t="n">
        <s:v>9816</s:v>
      </s:c>
      <s:c r="G437" s="6" t="n">
        <s:v>25314</s:v>
      </s:c>
      <s:c r="H437" s="6" t="n">
        <s:v>22291</s:v>
      </s:c>
      <s:c r="I437" s="6" t="n">
        <s:v>4726</s:v>
      </s:c>
      <s:c r="J437" s="6" t="n">
        <s:f>IF(COUNT(C437:I437)=7,SUM(C437:I437),"")</s:f>
        <s:v>106961</s:v>
      </s:c>
    </s:row>
    <s:row r="438">
      <s:c r="A438" s="5" t="n">
        <s:v>46284</s:v>
      </s:c>
      <s:c r="B438" s="2" t="n">
        <s:v>1</s:v>
      </s:c>
      <s:c r="C438" s="6" t="n">
        <s:v>10886</s:v>
      </s:c>
      <s:c r="D438" s="6" t="n">
        <s:v>22040</s:v>
      </s:c>
      <s:c r="E438" s="6" t="n">
        <s:v>10617</s:v>
      </s:c>
      <s:c r="F438" s="6" t="n">
        <s:v>9728</s:v>
      </s:c>
      <s:c r="G438" s="6" t="n">
        <s:v>25172</s:v>
      </s:c>
      <s:c r="H438" s="6" t="n">
        <s:v>22581</s:v>
      </s:c>
      <s:c r="I438" s="6" t="n">
        <s:v>5072</s:v>
      </s:c>
      <s:c r="J438" s="6" t="n">
        <s:f>IF(COUNT(C438:I438)=7,SUM(C438:I438),"")</s:f>
        <s:v>106096</s:v>
      </s:c>
    </s:row>
    <s:row r="439">
      <s:c r="A439" s="5" t="n">
        <s:v>46284</s:v>
      </s:c>
      <s:c r="B439" s="2" t="n">
        <s:v>2</s:v>
      </s:c>
      <s:c r="C439" s="6" t="n">
        <s:v>10812</s:v>
      </s:c>
      <s:c r="D439" s="6" t="n">
        <s:v>21678</s:v>
      </s:c>
      <s:c r="E439" s="6" t="n">
        <s:v>10562</s:v>
      </s:c>
      <s:c r="F439" s="6" t="n">
        <s:v>9729</s:v>
      </s:c>
      <s:c r="G439" s="6" t="n">
        <s:v>25228</s:v>
      </s:c>
      <s:c r="H439" s="6" t="n">
        <s:v>23064</s:v>
      </s:c>
      <s:c r="I439" s="6" t="n">
        <s:v>5212</s:v>
      </s:c>
      <s:c r="J439" s="6" t="n">
        <s:f>IF(COUNT(C439:I439)=7,SUM(C439:I439),"")</s:f>
        <s:v>106285</s:v>
      </s:c>
    </s:row>
    <s:row r="440">
      <s:c r="A440" s="5" t="n">
        <s:v>46284</s:v>
      </s:c>
      <s:c r="B440" s="2" t="n">
        <s:v>3</s:v>
      </s:c>
      <s:c r="C440" s="6" t="n">
        <s:v>10778</s:v>
      </s:c>
      <s:c r="D440" s="6" t="n">
        <s:v>21587</s:v>
      </s:c>
      <s:c r="E440" s="6" t="n">
        <s:v>10097</s:v>
      </s:c>
      <s:c r="F440" s="6" t="n">
        <s:v>9401</s:v>
      </s:c>
      <s:c r="G440" s="6" t="n">
        <s:v>25407</s:v>
      </s:c>
      <s:c r="H440" s="6" t="n">
        <s:v>23076</s:v>
      </s:c>
      <s:c r="I440" s="6" t="n">
        <s:v>5242</s:v>
      </s:c>
      <s:c r="J440" s="6" t="n">
        <s:f>IF(COUNT(C440:I440)=7,SUM(C440:I440),"")</s:f>
        <s:v>105588</s:v>
      </s:c>
    </s:row>
    <s:row r="441">
      <s:c r="A441" s="5" t="n">
        <s:v>46284</s:v>
      </s:c>
      <s:c r="B441" s="2" t="n">
        <s:v>4</s:v>
      </s:c>
      <s:c r="C441" s="6" t="n">
        <s:v>10746</s:v>
      </s:c>
      <s:c r="D441" s="6" t="n">
        <s:v>21858</s:v>
      </s:c>
      <s:c r="E441" s="6" t="n">
        <s:v>10302</s:v>
      </s:c>
      <s:c r="F441" s="6" t="n">
        <s:v>9772</s:v>
      </s:c>
      <s:c r="G441" s="6" t="n">
        <s:v>25924</s:v>
      </s:c>
      <s:c r="H441" s="6" t="n">
        <s:v>24162</s:v>
      </s:c>
      <s:c r="I441" s="6" t="n">
        <s:v>5101</s:v>
      </s:c>
      <s:c r="J441" s="6" t="n">
        <s:f>IF(COUNT(C441:I441)=7,SUM(C441:I441),"")</s:f>
        <s:v>107865</s:v>
      </s:c>
    </s:row>
    <s:row r="442">
      <s:c r="A442" s="5" t="n">
        <s:v>46284</s:v>
      </s:c>
      <s:c r="B442" s="2" t="n">
        <s:v>5</s:v>
      </s:c>
      <s:c r="C442" s="6" t="n">
        <s:v>10763</s:v>
      </s:c>
      <s:c r="D442" s="6" t="n">
        <s:v>22483</s:v>
      </s:c>
      <s:c r="E442" s="6" t="n">
        <s:v>10456</s:v>
      </s:c>
      <s:c r="F442" s="6" t="n">
        <s:v>9497</s:v>
      </s:c>
      <s:c r="G442" s="6" t="n">
        <s:v>26222</s:v>
      </s:c>
      <s:c r="H442" s="6" t="n">
        <s:v>24493</s:v>
      </s:c>
      <s:c r="I442" s="6" t="n">
        <s:v>5107</s:v>
      </s:c>
      <s:c r="J442" s="6" t="n">
        <s:f>IF(COUNT(C442:I442)=7,SUM(C442:I442),"")</s:f>
        <s:v>109021</s:v>
      </s:c>
    </s:row>
    <s:row r="443">
      <s:c r="A443" s="5" t="n">
        <s:v>46284</s:v>
      </s:c>
      <s:c r="B443" s="2" t="n">
        <s:v>6</s:v>
      </s:c>
      <s:c r="C443" s="6" t="n">
        <s:v>10861</s:v>
      </s:c>
      <s:c r="D443" s="6" t="n">
        <s:v>23686</s:v>
      </s:c>
      <s:c r="E443" s="6" t="n">
        <s:v>11095</s:v>
      </s:c>
      <s:c r="F443" s="6" t="n">
        <s:v>9535</s:v>
      </s:c>
      <s:c r="G443" s="6" t="n">
        <s:v>27558</s:v>
      </s:c>
      <s:c r="H443" s="6" t="n">
        <s:v>24773</s:v>
      </s:c>
      <s:c r="I443" s="6" t="n">
        <s:v>5094</s:v>
      </s:c>
      <s:c r="J443" s="6" t="n">
        <s:f>IF(COUNT(C443:I443)=7,SUM(C443:I443),"")</s:f>
        <s:v>112602</s:v>
      </s:c>
    </s:row>
    <s:row r="444">
      <s:c r="A444" s="5" t="n">
        <s:v>46284</s:v>
      </s:c>
      <s:c r="B444" s="2" t="n">
        <s:v>7</s:v>
      </s:c>
      <s:c r="C444" s="6" t="n">
        <s:v>11021</s:v>
      </s:c>
      <s:c r="D444" s="6" t="n">
        <s:v>24985</s:v>
      </s:c>
      <s:c r="E444" s="6" t="n">
        <s:v>11911</s:v>
      </s:c>
      <s:c r="F444" s="6" t="n">
        <s:v>10392</s:v>
      </s:c>
      <s:c r="G444" s="6" t="n">
        <s:v>28146</s:v>
      </s:c>
      <s:c r="H444" s="6" t="n">
        <s:v>25138</s:v>
      </s:c>
      <s:c r="I444" s="6" t="n">
        <s:v>5149</s:v>
      </s:c>
      <s:c r="J444" s="6" t="n">
        <s:f>IF(COUNT(C444:I444)=7,SUM(C444:I444),"")</s:f>
        <s:v>116742</s:v>
      </s:c>
    </s:row>
    <s:row r="445">
      <s:c r="A445" s="5" t="n">
        <s:v>46284</s:v>
      </s:c>
      <s:c r="B445" s="2" t="n">
        <s:v>8</s:v>
      </s:c>
      <s:c r="C445" s="6" t="n">
        <s:v>11546</s:v>
      </s:c>
      <s:c r="D445" s="6" t="n">
        <s:v>26268</s:v>
      </s:c>
      <s:c r="E445" s="6" t="n">
        <s:v>12653</s:v>
      </s:c>
      <s:c r="F445" s="6" t="n">
        <s:v>11424</s:v>
      </s:c>
      <s:c r="G445" s="6" t="n">
        <s:v>28754</s:v>
      </s:c>
      <s:c r="H445" s="6" t="n">
        <s:v>24919</s:v>
      </s:c>
      <s:c r="I445" s="6" t="n">
        <s:v>5123</s:v>
      </s:c>
      <s:c r="J445" s="6" t="n">
        <s:f>IF(COUNT(C445:I445)=7,SUM(C445:I445),"")</s:f>
        <s:v>120687</s:v>
      </s:c>
    </s:row>
    <s:row r="446">
      <s:c r="A446" s="5" t="n">
        <s:v>46284</s:v>
      </s:c>
      <s:c r="B446" s="2" t="n">
        <s:v>9</s:v>
      </s:c>
      <s:c r="C446" s="6" t="n">
        <s:v>11901</s:v>
      </s:c>
      <s:c r="D446" s="6" t="n">
        <s:v>26858</s:v>
      </s:c>
      <s:c r="E446" s="6" t="n">
        <s:v>12738</s:v>
      </s:c>
      <s:c r="F446" s="6" t="n">
        <s:v>11570</s:v>
      </s:c>
      <s:c r="G446" s="6" t="n">
        <s:v>29042</s:v>
      </s:c>
      <s:c r="H446" s="6" t="n">
        <s:v>24817</s:v>
      </s:c>
      <s:c r="I446" s="6" t="n">
        <s:v>5140</s:v>
      </s:c>
      <s:c r="J446" s="6" t="n">
        <s:f>IF(COUNT(C446:I446)=7,SUM(C446:I446),"")</s:f>
        <s:v>122066</s:v>
      </s:c>
    </s:row>
    <s:row r="447">
      <s:c r="A447" s="5" t="n">
        <s:v>46284</s:v>
      </s:c>
      <s:c r="B447" s="2" t="n">
        <s:v>10</s:v>
      </s:c>
      <s:c r="C447" s="6" t="n">
        <s:v>11965</s:v>
      </s:c>
      <s:c r="D447" s="6" t="n">
        <s:v>27160</s:v>
      </s:c>
      <s:c r="E447" s="6" t="n">
        <s:v>13246</s:v>
      </s:c>
      <s:c r="F447" s="6" t="n">
        <s:v>11659</s:v>
      </s:c>
      <s:c r="G447" s="6" t="n">
        <s:v>28642</s:v>
      </s:c>
      <s:c r="H447" s="6" t="n">
        <s:v>25079</s:v>
      </s:c>
      <s:c r="I447" s="6" t="n">
        <s:v>5270</s:v>
      </s:c>
      <s:c r="J447" s="6" t="n">
        <s:f>IF(COUNT(C447:I447)=7,SUM(C447:I447),"")</s:f>
        <s:v>123021</s:v>
      </s:c>
    </s:row>
    <s:row r="448">
      <s:c r="A448" s="5" t="n">
        <s:v>46284</s:v>
      </s:c>
      <s:c r="B448" s="2" t="n">
        <s:v>11</s:v>
      </s:c>
      <s:c r="C448" s="6" t="n">
        <s:v>12011</s:v>
      </s:c>
      <s:c r="D448" s="6" t="n">
        <s:v>27247</s:v>
      </s:c>
      <s:c r="E448" s="6" t="n">
        <s:v>13538</s:v>
      </s:c>
      <s:c r="F448" s="6" t="n">
        <s:v>11801</s:v>
      </s:c>
      <s:c r="G448" s="6" t="n">
        <s:v>28680</s:v>
      </s:c>
      <s:c r="H448" s="6" t="n">
        <s:v>25079</s:v>
      </s:c>
      <s:c r="I448" s="6" t="n">
        <s:v>5391</s:v>
      </s:c>
      <s:c r="J448" s="6" t="n">
        <s:f>IF(COUNT(C448:I448)=7,SUM(C448:I448),"")</s:f>
        <s:v>123747</s:v>
      </s:c>
    </s:row>
    <s:row r="449">
      <s:c r="A449" s="5" t="n">
        <s:v>46284</s:v>
      </s:c>
      <s:c r="B449" s="2" t="n">
        <s:v>12</s:v>
      </s:c>
      <s:c r="C449" s="6" t="n">
        <s:v>11958</s:v>
      </s:c>
      <s:c r="D449" s="6" t="n">
        <s:v>27128</s:v>
      </s:c>
      <s:c r="E449" s="6" t="n">
        <s:v>13511</s:v>
      </s:c>
      <s:c r="F449" s="6" t="n">
        <s:v>11494</s:v>
      </s:c>
      <s:c r="G449" s="6" t="n">
        <s:v>28618</s:v>
      </s:c>
      <s:c r="H449" s="6" t="n">
        <s:v>24917</s:v>
      </s:c>
      <s:c r="I449" s="6" t="n">
        <s:v>5528</s:v>
      </s:c>
      <s:c r="J449" s="6" t="n">
        <s:f>IF(COUNT(C449:I449)=7,SUM(C449:I449),"")</s:f>
        <s:v>123154</s:v>
      </s:c>
    </s:row>
    <s:row r="450">
      <s:c r="A450" s="5" t="n">
        <s:v>46284</s:v>
      </s:c>
      <s:c r="B450" s="2" t="n">
        <s:v>13</s:v>
      </s:c>
      <s:c r="C450" s="6" t="n">
        <s:v>11877</s:v>
      </s:c>
      <s:c r="D450" s="6" t="n">
        <s:v>26916</s:v>
      </s:c>
      <s:c r="E450" s="6" t="n">
        <s:v>13602</s:v>
      </s:c>
      <s:c r="F450" s="6" t="n">
        <s:v>11592</s:v>
      </s:c>
      <s:c r="G450" s="6" t="n">
        <s:v>28463</s:v>
      </s:c>
      <s:c r="H450" s="6" t="n">
        <s:v>25221</s:v>
      </s:c>
      <s:c r="I450" s="6" t="n">
        <s:v>5403</s:v>
      </s:c>
      <s:c r="J450" s="6" t="n">
        <s:f>IF(COUNT(C450:I450)=7,SUM(C450:I450),"")</s:f>
        <s:v>123074</s:v>
      </s:c>
    </s:row>
    <s:row r="451">
      <s:c r="A451" s="5" t="n">
        <s:v>46284</s:v>
      </s:c>
      <s:c r="B451" s="2" t="n">
        <s:v>14</s:v>
      </s:c>
      <s:c r="C451" s="6" t="n">
        <s:v>11862</s:v>
      </s:c>
      <s:c r="D451" s="6" t="n">
        <s:v>26843</s:v>
      </s:c>
      <s:c r="E451" s="6" t="n">
        <s:v>13562</s:v>
      </s:c>
      <s:c r="F451" s="6" t="n">
        <s:v>12274</s:v>
      </s:c>
      <s:c r="G451" s="6" t="n">
        <s:v>28155</s:v>
      </s:c>
      <s:c r="H451" s="6" t="n">
        <s:v>25234</s:v>
      </s:c>
      <s:c r="I451" s="6" t="n">
        <s:v>5294</s:v>
      </s:c>
      <s:c r="J451" s="6" t="n">
        <s:f>IF(COUNT(C451:I451)=7,SUM(C451:I451),"")</s:f>
        <s:v>123224</s:v>
      </s:c>
    </s:row>
    <s:row r="452">
      <s:c r="A452" s="5" t="n">
        <s:v>46284</s:v>
      </s:c>
      <s:c r="B452" s="2" t="n">
        <s:v>15</s:v>
      </s:c>
      <s:c r="C452" s="6" t="n">
        <s:v>11817</s:v>
      </s:c>
      <s:c r="D452" s="6" t="n">
        <s:v>26905</s:v>
      </s:c>
      <s:c r="E452" s="6" t="n">
        <s:v>13243</s:v>
      </s:c>
      <s:c r="F452" s="6" t="n">
        <s:v>12046</s:v>
      </s:c>
      <s:c r="G452" s="6" t="n">
        <s:v>28084</s:v>
      </s:c>
      <s:c r="H452" s="6" t="n">
        <s:v>25473</s:v>
      </s:c>
      <s:c r="I452" s="6" t="n">
        <s:v>5167</s:v>
      </s:c>
      <s:c r="J452" s="6" t="n">
        <s:f>IF(COUNT(C452:I452)=7,SUM(C452:I452),"")</s:f>
        <s:v>122735</s:v>
      </s:c>
    </s:row>
    <s:row r="453">
      <s:c r="A453" s="5" t="n">
        <s:v>46284</s:v>
      </s:c>
      <s:c r="B453" s="2" t="n">
        <s:v>16</s:v>
      </s:c>
      <s:c r="C453" s="6" t="n">
        <s:v>11847</s:v>
      </s:c>
      <s:c r="D453" s="6" t="n">
        <s:v>26721</s:v>
      </s:c>
      <s:c r="E453" s="6" t="n">
        <s:v>13130</s:v>
      </s:c>
      <s:c r="F453" s="6" t="n">
        <s:v>12414</s:v>
      </s:c>
      <s:c r="G453" s="6" t="n">
        <s:v>28157</s:v>
      </s:c>
      <s:c r="H453" s="6" t="n">
        <s:v>24930</s:v>
      </s:c>
      <s:c r="I453" s="6" t="n">
        <s:v>4864</s:v>
      </s:c>
      <s:c r="J453" s="6" t="n">
        <s:f>IF(COUNT(C453:I453)=7,SUM(C453:I453),"")</s:f>
        <s:v>122063</s:v>
      </s:c>
    </s:row>
    <s:row r="454">
      <s:c r="A454" s="5" t="n">
        <s:v>46284</s:v>
      </s:c>
      <s:c r="B454" s="2" t="n">
        <s:v>17</s:v>
      </s:c>
      <s:c r="C454" s="6" t="n">
        <s:v>11894</s:v>
      </s:c>
      <s:c r="D454" s="6" t="n">
        <s:v>26772</s:v>
      </s:c>
      <s:c r="E454" s="6" t="n">
        <s:v>13563</s:v>
      </s:c>
      <s:c r="F454" s="6" t="n">
        <s:v>13133</s:v>
      </s:c>
      <s:c r="G454" s="6" t="n">
        <s:v>28110</s:v>
      </s:c>
      <s:c r="H454" s="6" t="n">
        <s:v>24843</s:v>
      </s:c>
      <s:c r="I454" s="6" t="n">
        <s:v>4723</s:v>
      </s:c>
      <s:c r="J454" s="6" t="n">
        <s:f>IF(COUNT(C454:I454)=7,SUM(C454:I454),"")</s:f>
        <s:v>123038</s:v>
      </s:c>
    </s:row>
    <s:row r="455">
      <s:c r="A455" s="5" t="n">
        <s:v>46284</s:v>
      </s:c>
      <s:c r="B455" s="2" t="n">
        <s:v>18</s:v>
      </s:c>
      <s:c r="C455" s="6" t="n">
        <s:v>11999</s:v>
      </s:c>
      <s:c r="D455" s="6" t="n">
        <s:v>27182</s:v>
      </s:c>
      <s:c r="E455" s="6" t="n">
        <s:v>13760</s:v>
      </s:c>
      <s:c r="F455" s="6" t="n">
        <s:v>13361</s:v>
      </s:c>
      <s:c r="G455" s="6" t="n">
        <s:v>28190</s:v>
      </s:c>
      <s:c r="H455" s="6" t="n">
        <s:v>24259</s:v>
      </s:c>
      <s:c r="I455" s="6" t="n">
        <s:v>4644</s:v>
      </s:c>
      <s:c r="J455" s="6" t="n">
        <s:f>IF(COUNT(C455:I455)=7,SUM(C455:I455),"")</s:f>
        <s:v>123395</s:v>
      </s:c>
    </s:row>
    <s:row r="456">
      <s:c r="A456" s="5" t="n">
        <s:v>46284</s:v>
      </s:c>
      <s:c r="B456" s="2" t="n">
        <s:v>19</s:v>
      </s:c>
      <s:c r="C456" s="6" t="n">
        <s:v>12046</s:v>
      </s:c>
      <s:c r="D456" s="6" t="n">
        <s:v>27555</s:v>
      </s:c>
      <s:c r="E456" s="6" t="n">
        <s:v>13163</s:v>
      </s:c>
      <s:c r="F456" s="6" t="n">
        <s:v>13043</s:v>
      </s:c>
      <s:c r="G456" s="6" t="n">
        <s:v>28576</s:v>
      </s:c>
      <s:c r="H456" s="6" t="n">
        <s:v>23325</s:v>
      </s:c>
      <s:c r="I456" s="6" t="n">
        <s:v>4562</s:v>
      </s:c>
      <s:c r="J456" s="6" t="n">
        <s:f>IF(COUNT(C456:I456)=7,SUM(C456:I456),"")</s:f>
        <s:v>122270</s:v>
      </s:c>
    </s:row>
    <s:row r="457">
      <s:c r="A457" s="5" t="n">
        <s:v>46284</s:v>
      </s:c>
      <s:c r="B457" s="2" t="n">
        <s:v>20</s:v>
      </s:c>
      <s:c r="C457" s="6" t="n">
        <s:v>12088</s:v>
      </s:c>
      <s:c r="D457" s="6" t="n">
        <s:v>26490</s:v>
      </s:c>
      <s:c r="E457" s="6" t="n">
        <s:v>13213</s:v>
      </s:c>
      <s:c r="F457" s="6" t="n">
        <s:v>12424</s:v>
      </s:c>
      <s:c r="G457" s="6" t="n">
        <s:v>27891</s:v>
      </s:c>
      <s:c r="H457" s="6" t="n">
        <s:v>22736</s:v>
      </s:c>
      <s:c r="I457" s="6" t="n">
        <s:v>4479</s:v>
      </s:c>
      <s:c r="J457" s="6" t="n">
        <s:f>IF(COUNT(C457:I457)=7,SUM(C457:I457),"")</s:f>
        <s:v>119321</s:v>
      </s:c>
    </s:row>
    <s:row r="458">
      <s:c r="A458" s="5" t="n">
        <s:v>46284</s:v>
      </s:c>
      <s:c r="B458" s="2" t="n">
        <s:v>21</s:v>
      </s:c>
      <s:c r="C458" s="6" t="n">
        <s:v>11901</s:v>
      </s:c>
      <s:c r="D458" s="6" t="n">
        <s:v>25761</s:v>
      </s:c>
      <s:c r="E458" s="6" t="n">
        <s:v>13166</s:v>
      </s:c>
      <s:c r="F458" s="6" t="n">
        <s:v>11458</s:v>
      </s:c>
      <s:c r="G458" s="6" t="n">
        <s:v>26720</s:v>
      </s:c>
      <s:c r="H458" s="6" t="n">
        <s:v>22963</s:v>
      </s:c>
      <s:c r="I458" s="6" t="n">
        <s:v>4487</s:v>
      </s:c>
      <s:c r="J458" s="6" t="n">
        <s:f>IF(COUNT(C458:I458)=7,SUM(C458:I458),"")</s:f>
        <s:v>116456</s:v>
      </s:c>
    </s:row>
    <s:row r="459">
      <s:c r="A459" s="5" t="n">
        <s:v>46284</s:v>
      </s:c>
      <s:c r="B459" s="2" t="n">
        <s:v>22</s:v>
      </s:c>
      <s:c r="C459" s="6" t="n">
        <s:v>11649</s:v>
      </s:c>
      <s:c r="D459" s="6" t="n">
        <s:v>24057</s:v>
      </s:c>
      <s:c r="E459" s="6" t="n">
        <s:v>12288</s:v>
      </s:c>
      <s:c r="F459" s="6" t="n">
        <s:v>10603</s:v>
      </s:c>
      <s:c r="G459" s="6" t="n">
        <s:v>25704</s:v>
      </s:c>
      <s:c r="H459" s="6" t="n">
        <s:v>23126</s:v>
      </s:c>
      <s:c r="I459" s="6" t="n">
        <s:v>4634</s:v>
      </s:c>
      <s:c r="J459" s="6" t="n">
        <s:f>IF(COUNT(C459:I459)=7,SUM(C459:I459),"")</s:f>
        <s:v>112061</s:v>
      </s:c>
    </s:row>
    <s:row r="460">
      <s:c r="A460" s="5" t="n">
        <s:v>46284</s:v>
      </s:c>
      <s:c r="B460" s="2" t="n">
        <s:v>23</s:v>
      </s:c>
      <s:c r="C460" s="6" t="n">
        <s:v>11349</s:v>
      </s:c>
      <s:c r="D460" s="6" t="n">
        <s:v>22384</s:v>
      </s:c>
      <s:c r="E460" s="6" t="n">
        <s:v>11309</s:v>
      </s:c>
      <s:c r="F460" s="6" t="n">
        <s:v>9938</s:v>
      </s:c>
      <s:c r="G460" s="6" t="n">
        <s:v>25273</s:v>
      </s:c>
      <s:c r="H460" s="6" t="n">
        <s:v>22615</s:v>
      </s:c>
      <s:c r="I460" s="6" t="n">
        <s:v>4600</s:v>
      </s:c>
      <s:c r="J460" s="6" t="n">
        <s:f>IF(COUNT(C460:I460)=7,SUM(C460:I460),"")</s:f>
        <s:v>107468</s:v>
      </s:c>
    </s:row>
    <s:row r="461">
      <s:c r="A461" s="5" t="n">
        <s:v>46285</s:v>
      </s:c>
      <s:c r="B461" s="2" t="n">
        <s:v>0</s:v>
      </s:c>
      <s:c r="C461" s="6" t="n">
        <s:v>10930</s:v>
      </s:c>
      <s:c r="D461" s="6" t="n">
        <s:v>22209</s:v>
      </s:c>
      <s:c r="E461" s="6" t="n">
        <s:v>10958</s:v>
      </s:c>
      <s:c r="F461" s="6" t="n">
        <s:v>9746</s:v>
      </s:c>
      <s:c r="G461" s="6" t="n">
        <s:v>24596</s:v>
      </s:c>
      <s:c r="H461" s="6" t="n">
        <s:v>22486</s:v>
      </s:c>
      <s:c r="I461" s="6" t="n">
        <s:v>4588</s:v>
      </s:c>
      <s:c r="J461" s="6" t="n">
        <s:f>IF(COUNT(C461:I461)=7,SUM(C461:I461),"")</s:f>
        <s:v>105513</s:v>
      </s:c>
    </s:row>
    <s:row r="462">
      <s:c r="A462" s="5" t="n">
        <s:v>46285</s:v>
      </s:c>
      <s:c r="B462" s="2" t="n">
        <s:v>1</s:v>
      </s:c>
      <s:c r="C462" s="6" t="n">
        <s:v>10846</s:v>
      </s:c>
      <s:c r="D462" s="6" t="n">
        <s:v>21843</s:v>
      </s:c>
      <s:c r="E462" s="6" t="n">
        <s:v>10690</s:v>
      </s:c>
      <s:c r="F462" s="6" t="n">
        <s:v>9711</s:v>
      </s:c>
      <s:c r="G462" s="6" t="n">
        <s:v>24085</s:v>
      </s:c>
      <s:c r="H462" s="6" t="n">
        <s:v>22471</s:v>
      </s:c>
      <s:c r="I462" s="6" t="n">
        <s:v>4977</s:v>
      </s:c>
      <s:c r="J462" s="6" t="n">
        <s:f>IF(COUNT(C462:I462)=7,SUM(C462:I462),"")</s:f>
        <s:v>104623</s:v>
      </s:c>
    </s:row>
    <s:row r="463">
      <s:c r="A463" s="5" t="n">
        <s:v>46285</s:v>
      </s:c>
      <s:c r="B463" s="2" t="n">
        <s:v>2</s:v>
      </s:c>
      <s:c r="C463" s="6" t="n">
        <s:v>10818</s:v>
      </s:c>
      <s:c r="D463" s="6" t="n">
        <s:v>21256</s:v>
      </s:c>
      <s:c r="E463" s="6" t="n">
        <s:v>10489</s:v>
      </s:c>
      <s:c r="F463" s="6" t="n">
        <s:v>9524</s:v>
      </s:c>
      <s:c r="G463" s="6" t="n">
        <s:v>24244</s:v>
      </s:c>
      <s:c r="H463" s="6" t="n">
        <s:v>22718</s:v>
      </s:c>
      <s:c r="I463" s="6" t="n">
        <s:v>5168</s:v>
      </s:c>
      <s:c r="J463" s="6" t="n">
        <s:f>IF(COUNT(C463:I463)=7,SUM(C463:I463),"")</s:f>
        <s:v>104217</s:v>
      </s:c>
    </s:row>
    <s:row r="464">
      <s:c r="A464" s="5" t="n">
        <s:v>46285</s:v>
      </s:c>
      <s:c r="B464" s="2" t="n">
        <s:v>3</s:v>
      </s:c>
      <s:c r="C464" s="6" t="n">
        <s:v>10816</s:v>
      </s:c>
      <s:c r="D464" s="6" t="n">
        <s:v>21320</s:v>
      </s:c>
      <s:c r="E464" s="6" t="n">
        <s:v>10357</s:v>
      </s:c>
      <s:c r="F464" s="6" t="n">
        <s:v>9544</s:v>
      </s:c>
      <s:c r="G464" s="6" t="n">
        <s:v>24332</s:v>
      </s:c>
      <s:c r="H464" s="6" t="n">
        <s:v>23041</s:v>
      </s:c>
      <s:c r="I464" s="6" t="n">
        <s:v>5144</s:v>
      </s:c>
      <s:c r="J464" s="6" t="n">
        <s:f>IF(COUNT(C464:I464)=7,SUM(C464:I464),"")</s:f>
        <s:v>104554</s:v>
      </s:c>
    </s:row>
    <s:row r="465">
      <s:c r="A465" s="5" t="n">
        <s:v>46285</s:v>
      </s:c>
      <s:c r="B465" s="2" t="n">
        <s:v>4</s:v>
      </s:c>
      <s:c r="C465" s="6" t="n">
        <s:v>10798</s:v>
      </s:c>
      <s:c r="D465" s="6" t="n">
        <s:v>21729</s:v>
      </s:c>
      <s:c r="E465" s="6" t="n">
        <s:v>10412</s:v>
      </s:c>
      <s:c r="F465" s="6" t="n">
        <s:v>9607</s:v>
      </s:c>
      <s:c r="G465" s="6" t="n">
        <s:v>24569</s:v>
      </s:c>
      <s:c r="H465" s="6" t="n">
        <s:v>23503</s:v>
      </s:c>
      <s:c r="I465" s="6" t="n">
        <s:v>5154</s:v>
      </s:c>
      <s:c r="J465" s="6" t="n">
        <s:f>IF(COUNT(C465:I465)=7,SUM(C465:I465),"")</s:f>
        <s:v>105772</s:v>
      </s:c>
    </s:row>
    <s:row r="466">
      <s:c r="A466" s="5" t="n">
        <s:v>46285</s:v>
      </s:c>
      <s:c r="B466" s="2" t="n">
        <s:v>5</s:v>
      </s:c>
      <s:c r="C466" s="6" t="n">
        <s:v>10861</s:v>
      </s:c>
      <s:c r="D466" s="6" t="n">
        <s:v>22420</s:v>
      </s:c>
      <s:c r="E466" s="6" t="n">
        <s:v>10463</s:v>
      </s:c>
      <s:c r="F466" s="6" t="n">
        <s:v>9568</s:v>
      </s:c>
      <s:c r="G466" s="6" t="n">
        <s:v>24958</s:v>
      </s:c>
      <s:c r="H466" s="6" t="n">
        <s:v>24054</s:v>
      </s:c>
      <s:c r="I466" s="6" t="n">
        <s:v>5355</s:v>
      </s:c>
      <s:c r="J466" s="6" t="n">
        <s:f>IF(COUNT(C466:I466)=7,SUM(C466:I466),"")</s:f>
        <s:v>107679</s:v>
      </s:c>
    </s:row>
    <s:row r="467">
      <s:c r="A467" s="5" t="n">
        <s:v>46285</s:v>
      </s:c>
      <s:c r="B467" s="2" t="n">
        <s:v>6</s:v>
      </s:c>
      <s:c r="C467" s="6" t="n">
        <s:v>10895</s:v>
      </s:c>
      <s:c r="D467" s="6" t="n">
        <s:v>23296</s:v>
      </s:c>
      <s:c r="E467" s="6" t="n">
        <s:v>10859</s:v>
      </s:c>
      <s:c r="F467" s="6" t="n">
        <s:v>9825</s:v>
      </s:c>
      <s:c r="G467" s="6" t="n">
        <s:v>25584</s:v>
      </s:c>
      <s:c r="H467" s="6" t="n">
        <s:v>24545</s:v>
      </s:c>
      <s:c r="I467" s="6" t="n">
        <s:v>5150</s:v>
      </s:c>
      <s:c r="J467" s="6" t="n">
        <s:f>IF(COUNT(C467:I467)=7,SUM(C467:I467),"")</s:f>
        <s:v>110154</s:v>
      </s:c>
    </s:row>
    <s:row r="468">
      <s:c r="A468" s="5" t="n">
        <s:v>46285</s:v>
      </s:c>
      <s:c r="B468" s="2" t="n">
        <s:v>7</s:v>
      </s:c>
      <s:c r="C468" s="6" t="n">
        <s:v>11073</s:v>
      </s:c>
      <s:c r="D468" s="6" t="n">
        <s:v>23891</s:v>
      </s:c>
      <s:c r="E468" s="6" t="n">
        <s:v>11241</s:v>
      </s:c>
      <s:c r="F468" s="6" t="n">
        <s:v>10157</s:v>
      </s:c>
      <s:c r="G468" s="6" t="n">
        <s:v>26987</s:v>
      </s:c>
      <s:c r="H468" s="6" t="n">
        <s:v>24579</s:v>
      </s:c>
      <s:c r="I468" s="6" t="n">
        <s:v>5038</s:v>
      </s:c>
      <s:c r="J468" s="6" t="n">
        <s:f>IF(COUNT(C468:I468)=7,SUM(C468:I468),"")</s:f>
        <s:v>112966</s:v>
      </s:c>
    </s:row>
    <s:row r="469">
      <s:c r="A469" s="5" t="n">
        <s:v>46285</s:v>
      </s:c>
      <s:c r="B469" s="2" t="n">
        <s:v>8</s:v>
      </s:c>
      <s:c r="C469" s="6" t="n">
        <s:v>11393</s:v>
      </s:c>
      <s:c r="D469" s="6" t="n">
        <s:v>25061</s:v>
      </s:c>
      <s:c r="E469" s="6" t="n">
        <s:v>12155</s:v>
      </s:c>
      <s:c r="F469" s="6" t="n">
        <s:v>11411</s:v>
      </s:c>
      <s:c r="G469" s="6" t="n">
        <s:v>27695</s:v>
      </s:c>
      <s:c r="H469" s="6" t="n">
        <s:v>24908</s:v>
      </s:c>
      <s:c r="I469" s="6" t="n">
        <s:v>5129</s:v>
      </s:c>
      <s:c r="J469" s="6" t="n">
        <s:f>IF(COUNT(C469:I469)=7,SUM(C469:I469),"")</s:f>
        <s:v>117752</s:v>
      </s:c>
    </s:row>
    <s:row r="470">
      <s:c r="A470" s="5" t="n">
        <s:v>46285</s:v>
      </s:c>
      <s:c r="B470" s="2" t="n">
        <s:v>9</s:v>
      </s:c>
      <s:c r="C470" s="6" t="n">
        <s:v>11775</s:v>
      </s:c>
      <s:c r="D470" s="6" t="n">
        <s:v>25578</s:v>
      </s:c>
      <s:c r="E470" s="6" t="n">
        <s:v>13044</s:v>
      </s:c>
      <s:c r="F470" s="6" t="n">
        <s:v>12063</s:v>
      </s:c>
      <s:c r="G470" s="6" t="n">
        <s:v>27571</s:v>
      </s:c>
      <s:c r="H470" s="6" t="n">
        <s:v>24888</s:v>
      </s:c>
      <s:c r="I470" s="6" t="n">
        <s:v>5216</s:v>
      </s:c>
      <s:c r="J470" s="6" t="n">
        <s:f>IF(COUNT(C470:I470)=7,SUM(C470:I470),"")</s:f>
        <s:v>120135</s:v>
      </s:c>
    </s:row>
    <s:row r="471">
      <s:c r="A471" s="5" t="n">
        <s:v>46285</s:v>
      </s:c>
      <s:c r="B471" s="2" t="n">
        <s:v>10</s:v>
      </s:c>
      <s:c r="C471" s="6" t="n">
        <s:v>12064</s:v>
      </s:c>
      <s:c r="D471" s="6" t="n">
        <s:v>25756</s:v>
      </s:c>
      <s:c r="E471" s="6" t="n">
        <s:v>13209</s:v>
      </s:c>
      <s:c r="F471" s="6" t="n">
        <s:v>12347</s:v>
      </s:c>
      <s:c r="G471" s="6" t="n">
        <s:v>27485</s:v>
      </s:c>
      <s:c r="H471" s="6" t="n">
        <s:v>24925</s:v>
      </s:c>
      <s:c r="I471" s="6" t="n">
        <s:v>5156</s:v>
      </s:c>
      <s:c r="J471" s="6" t="n">
        <s:f>IF(COUNT(C471:I471)=7,SUM(C471:I471),"")</s:f>
        <s:v>120942</s:v>
      </s:c>
    </s:row>
    <s:row r="472">
      <s:c r="A472" s="5" t="n">
        <s:v>46285</s:v>
      </s:c>
      <s:c r="B472" s="2" t="n">
        <s:v>11</s:v>
      </s:c>
      <s:c r="C472" s="6" t="n">
        <s:v>12271</s:v>
      </s:c>
      <s:c r="D472" s="6" t="n">
        <s:v>25783</s:v>
      </s:c>
      <s:c r="E472" s="6" t="n">
        <s:v>13187</s:v>
      </s:c>
      <s:c r="F472" s="6" t="n">
        <s:v>12240</s:v>
      </s:c>
      <s:c r="G472" s="6" t="n">
        <s:v>27574</s:v>
      </s:c>
      <s:c r="H472" s="6" t="n">
        <s:v>25203</s:v>
      </s:c>
      <s:c r="I472" s="6" t="n">
        <s:v>5205</s:v>
      </s:c>
      <s:c r="J472" s="6" t="n">
        <s:f>IF(COUNT(C472:I472)=7,SUM(C472:I472),"")</s:f>
        <s:v>121463</s:v>
      </s:c>
    </s:row>
    <s:row r="473">
      <s:c r="A473" s="5" t="n">
        <s:v>46285</s:v>
      </s:c>
      <s:c r="B473" s="2" t="n">
        <s:v>12</s:v>
      </s:c>
      <s:c r="C473" s="6" t="n">
        <s:v>12203</s:v>
      </s:c>
      <s:c r="D473" s="6" t="n">
        <s:v>25906</s:v>
      </s:c>
      <s:c r="E473" s="6" t="n">
        <s:v>13156</s:v>
      </s:c>
      <s:c r="F473" s="6" t="n">
        <s:v>12419</s:v>
      </s:c>
      <s:c r="G473" s="6" t="n">
        <s:v>27520</s:v>
      </s:c>
      <s:c r="H473" s="6" t="n">
        <s:v>25288</s:v>
      </s:c>
      <s:c r="I473" s="6" t="n">
        <s:v>5363</s:v>
      </s:c>
      <s:c r="J473" s="6" t="n">
        <s:f>IF(COUNT(C473:I473)=7,SUM(C473:I473),"")</s:f>
        <s:v>121855</s:v>
      </s:c>
    </s:row>
    <s:row r="474">
      <s:c r="A474" s="5" t="n">
        <s:v>46285</s:v>
      </s:c>
      <s:c r="B474" s="2" t="n">
        <s:v>13</s:v>
      </s:c>
      <s:c r="C474" s="6" t="n">
        <s:v>12198</s:v>
      </s:c>
      <s:c r="D474" s="6" t="n">
        <s:v>25951</s:v>
      </s:c>
      <s:c r="E474" s="6" t="n">
        <s:v>13028</s:v>
      </s:c>
      <s:c r="F474" s="6" t="n">
        <s:v>12116</s:v>
      </s:c>
      <s:c r="G474" s="6" t="n">
        <s:v>27589</s:v>
      </s:c>
      <s:c r="H474" s="6" t="n">
        <s:v>25358</s:v>
      </s:c>
      <s:c r="I474" s="6" t="n">
        <s:v>5355</s:v>
      </s:c>
      <s:c r="J474" s="6" t="n">
        <s:f>IF(COUNT(C474:I474)=7,SUM(C474:I474),"")</s:f>
        <s:v>121595</s:v>
      </s:c>
    </s:row>
    <s:row r="475">
      <s:c r="A475" s="5" t="n">
        <s:v>46285</s:v>
      </s:c>
      <s:c r="B475" s="2" t="n">
        <s:v>14</s:v>
      </s:c>
      <s:c r="C475" s="6" t="n">
        <s:v>12233</s:v>
      </s:c>
      <s:c r="D475" s="6" t="n">
        <s:v>25912</s:v>
      </s:c>
      <s:c r="E475" s="6" t="n">
        <s:v>13048</s:v>
      </s:c>
      <s:c r="F475" s="6" t="n">
        <s:v>12288</s:v>
      </s:c>
      <s:c r="G475" s="6" t="n">
        <s:v>27644</s:v>
      </s:c>
      <s:c r="H475" s="6" t="n">
        <s:v>25875</s:v>
      </s:c>
      <s:c r="I475" s="6" t="n">
        <s:v>5221</s:v>
      </s:c>
      <s:c r="J475" s="6" t="n">
        <s:f>IF(COUNT(C475:I475)=7,SUM(C475:I475),"")</s:f>
        <s:v>122221</s:v>
      </s:c>
    </s:row>
    <s:row r="476">
      <s:c r="A476" s="5" t="n">
        <s:v>46285</s:v>
      </s:c>
      <s:c r="B476" s="2" t="n">
        <s:v>15</s:v>
      </s:c>
      <s:c r="C476" s="6" t="n">
        <s:v>12193</s:v>
      </s:c>
      <s:c r="D476" s="6" t="n">
        <s:v>26144</s:v>
      </s:c>
      <s:c r="E476" s="6" t="n">
        <s:v>13048</s:v>
      </s:c>
      <s:c r="F476" s="6" t="n">
        <s:v>12660</s:v>
      </s:c>
      <s:c r="G476" s="6" t="n">
        <s:v>27750</s:v>
      </s:c>
      <s:c r="H476" s="6" t="n">
        <s:v>25868</s:v>
      </s:c>
      <s:c r="I476" s="6" t="n">
        <s:v>5104</s:v>
      </s:c>
      <s:c r="J476" s="6" t="n">
        <s:f>IF(COUNT(C476:I476)=7,SUM(C476:I476),"")</s:f>
        <s:v>122767</s:v>
      </s:c>
    </s:row>
    <s:row r="477">
      <s:c r="A477" s="5" t="n">
        <s:v>46285</s:v>
      </s:c>
      <s:c r="B477" s="2" t="n">
        <s:v>16</s:v>
      </s:c>
      <s:c r="C477" s="6" t="n">
        <s:v>12198</s:v>
      </s:c>
      <s:c r="D477" s="6" t="n">
        <s:v>26439</s:v>
      </s:c>
      <s:c r="E477" s="6" t="n">
        <s:v>12914</s:v>
      </s:c>
      <s:c r="F477" s="6" t="n">
        <s:v>12491</s:v>
      </s:c>
      <s:c r="G477" s="6" t="n">
        <s:v>27903</s:v>
      </s:c>
      <s:c r="H477" s="6" t="n">
        <s:v>25853</s:v>
      </s:c>
      <s:c r="I477" s="6" t="n">
        <s:v>4705</s:v>
      </s:c>
      <s:c r="J477" s="6" t="n">
        <s:f>IF(COUNT(C477:I477)=7,SUM(C477:I477),"")</s:f>
        <s:v>122503</s:v>
      </s:c>
    </s:row>
    <s:row r="478">
      <s:c r="A478" s="5" t="n">
        <s:v>46285</s:v>
      </s:c>
      <s:c r="B478" s="2" t="n">
        <s:v>17</s:v>
      </s:c>
      <s:c r="C478" s="6" t="n">
        <s:v>12411</s:v>
      </s:c>
      <s:c r="D478" s="6" t="n">
        <s:v>26494</s:v>
      </s:c>
      <s:c r="E478" s="6" t="n">
        <s:v>12886</s:v>
      </s:c>
      <s:c r="F478" s="6" t="n">
        <s:v>13214</s:v>
      </s:c>
      <s:c r="G478" s="6" t="n">
        <s:v>27649</s:v>
      </s:c>
      <s:c r="H478" s="6" t="n">
        <s:v>25255</s:v>
      </s:c>
      <s:c r="I478" s="6" t="n">
        <s:v>4561</s:v>
      </s:c>
      <s:c r="J478" s="6" t="n">
        <s:f>IF(COUNT(C478:I478)=7,SUM(C478:I478),"")</s:f>
        <s:v>122470</s:v>
      </s:c>
    </s:row>
    <s:row r="479">
      <s:c r="A479" s="5" t="n">
        <s:v>46285</s:v>
      </s:c>
      <s:c r="B479" s="2" t="n">
        <s:v>18</s:v>
      </s:c>
      <s:c r="C479" s="6" t="n">
        <s:v>12453</s:v>
      </s:c>
      <s:c r="D479" s="6" t="n">
        <s:v>27157</s:v>
      </s:c>
      <s:c r="E479" s="6" t="n">
        <s:v>13717</s:v>
      </s:c>
      <s:c r="F479" s="6" t="n">
        <s:v>13737</s:v>
      </s:c>
      <s:c r="G479" s="6" t="n">
        <s:v>27619</s:v>
      </s:c>
      <s:c r="H479" s="6" t="n">
        <s:v>24669</s:v>
      </s:c>
      <s:c r="I479" s="6" t="n">
        <s:v>4537</s:v>
      </s:c>
      <s:c r="J479" s="6" t="n">
        <s:f>IF(COUNT(C479:I479)=7,SUM(C479:I479),"")</s:f>
        <s:v>123889</s:v>
      </s:c>
    </s:row>
    <s:row r="480">
      <s:c r="A480" s="5" t="n">
        <s:v>46285</s:v>
      </s:c>
      <s:c r="B480" s="2" t="n">
        <s:v>19</s:v>
      </s:c>
      <s:c r="C480" s="6" t="n">
        <s:v>12671</s:v>
      </s:c>
      <s:c r="D480" s="6" t="n">
        <s:v>27711</s:v>
      </s:c>
      <s:c r="E480" s="6" t="n">
        <s:v>13175</s:v>
      </s:c>
      <s:c r="F480" s="6" t="n">
        <s:v>13006</s:v>
      </s:c>
      <s:c r="G480" s="6" t="n">
        <s:v>27714</s:v>
      </s:c>
      <s:c r="H480" s="6" t="n">
        <s:v>23442</s:v>
      </s:c>
      <s:c r="I480" s="6" t="n">
        <s:v>4282</s:v>
      </s:c>
      <s:c r="J480" s="6" t="n">
        <s:f>IF(COUNT(C480:I480)=7,SUM(C480:I480),"")</s:f>
        <s:v>122001</s:v>
      </s:c>
    </s:row>
    <s:row r="481">
      <s:c r="A481" s="5" t="n">
        <s:v>46285</s:v>
      </s:c>
      <s:c r="B481" s="2" t="n">
        <s:v>20</s:v>
      </s:c>
      <s:c r="C481" s="6" t="n">
        <s:v>12627</s:v>
      </s:c>
      <s:c r="D481" s="6" t="n">
        <s:v>27506</s:v>
      </s:c>
      <s:c r="E481" s="6" t="n">
        <s:v>12529</s:v>
      </s:c>
      <s:c r="F481" s="6" t="n">
        <s:v>12135</s:v>
      </s:c>
      <s:c r="G481" s="6" t="n">
        <s:v>27068</s:v>
      </s:c>
      <s:c r="H481" s="6" t="n">
        <s:v>22357</s:v>
      </s:c>
      <s:c r="I481" s="6" t="n">
        <s:v>4403</s:v>
      </s:c>
      <s:c r="J481" s="6" t="n">
        <s:f>IF(COUNT(C481:I481)=7,SUM(C481:I481),"")</s:f>
        <s:v>118625</s:v>
      </s:c>
    </s:row>
    <s:row r="482">
      <s:c r="A482" s="5" t="n">
        <s:v>46285</s:v>
      </s:c>
      <s:c r="B482" s="2" t="n">
        <s:v>21</s:v>
      </s:c>
      <s:c r="C482" s="6" t="n">
        <s:v>12210</s:v>
      </s:c>
      <s:c r="D482" s="6" t="n">
        <s:v>26250</s:v>
      </s:c>
      <s:c r="E482" s="6" t="n">
        <s:v>12215</s:v>
      </s:c>
      <s:c r="F482" s="6" t="n">
        <s:v>11441</s:v>
      </s:c>
      <s:c r="G482" s="6" t="n">
        <s:v>26498</s:v>
      </s:c>
      <s:c r="H482" s="6" t="n">
        <s:v>21061</s:v>
      </s:c>
      <s:c r="I482" s="6" t="n">
        <s:v>4460</s:v>
      </s:c>
      <s:c r="J482" s="6" t="n">
        <s:f>IF(COUNT(C482:I482)=7,SUM(C482:I482),"")</s:f>
        <s:v>114135</s:v>
      </s:c>
    </s:row>
    <s:row r="483">
      <s:c r="A483" s="5" t="n">
        <s:v>46285</s:v>
      </s:c>
      <s:c r="B483" s="2" t="n">
        <s:v>22</s:v>
      </s:c>
      <s:c r="C483" s="6" t="n">
        <s:v>11778</s:v>
      </s:c>
      <s:c r="D483" s="6" t="n">
        <s:v>24785</s:v>
      </s:c>
      <s:c r="E483" s="6" t="n">
        <s:v>11436</s:v>
      </s:c>
      <s:c r="F483" s="6" t="n">
        <s:v>10449</s:v>
      </s:c>
      <s:c r="G483" s="6" t="n">
        <s:v>25306</s:v>
      </s:c>
      <s:c r="H483" s="6" t="n">
        <s:v>21301</s:v>
      </s:c>
      <s:c r="I483" s="6" t="n">
        <s:v>4567</s:v>
      </s:c>
      <s:c r="J483" s="6" t="n">
        <s:f>IF(COUNT(C483:I483)=7,SUM(C483:I483),"")</s:f>
        <s:v>109622</s:v>
      </s:c>
    </s:row>
    <s:row r="484">
      <s:c r="A484" s="5" t="n">
        <s:v>46285</s:v>
      </s:c>
      <s:c r="B484" s="2" t="n">
        <s:v>23</s:v>
      </s:c>
      <s:c r="C484" s="6" t="n">
        <s:v>11129</s:v>
      </s:c>
      <s:c r="D484" s="6" t="n">
        <s:v>23808</s:v>
      </s:c>
      <s:c r="E484" s="6" t="n">
        <s:v>10698</s:v>
      </s:c>
      <s:c r="F484" s="6" t="n">
        <s:v>10339</s:v>
      </s:c>
      <s:c r="G484" s="6" t="n">
        <s:v>24467</s:v>
      </s:c>
      <s:c r="H484" s="6" t="n">
        <s:v>21596</s:v>
      </s:c>
      <s:c r="I484" s="6" t="n">
        <s:v>4756</s:v>
      </s:c>
      <s:c r="J484" s="6" t="n">
        <s:f>IF(COUNT(C484:I484)=7,SUM(C484:I484),"")</s:f>
        <s:v>106793</s:v>
      </s:c>
    </s:row>
    <s:row r="485">
      <s:c r="A485" s="5" t="n">
        <s:v>46286</s:v>
      </s:c>
      <s:c r="B485" s="2" t="n">
        <s:v>0</s:v>
      </s:c>
      <s:c r="C485" s="6" t="n">
        <s:v>10526</s:v>
      </s:c>
      <s:c r="D485" s="6" t="n">
        <s:v>22413</s:v>
      </s:c>
      <s:c r="E485" s="6" t="n">
        <s:v>10708</s:v>
      </s:c>
      <s:c r="F485" s="6" t="n">
        <s:v>10528</s:v>
      </s:c>
      <s:c r="G485" s="6" t="n">
        <s:v>23484</s:v>
      </s:c>
      <s:c r="H485" s="6" t="n">
        <s:v>22578</s:v>
      </s:c>
      <s:c r="I485" s="6" t="n">
        <s:v>4992</s:v>
      </s:c>
      <s:c r="J485" s="6" t="n">
        <s:f>IF(COUNT(C485:I485)=7,SUM(C485:I485),"")</s:f>
        <s:v>105229</s:v>
      </s:c>
    </s:row>
    <s:row r="486">
      <s:c r="A486" s="5" t="n">
        <s:v>46286</s:v>
      </s:c>
      <s:c r="B486" s="2" t="n">
        <s:v>1</s:v>
      </s:c>
      <s:c r="C486" s="6" t="n">
        <s:v>10477</s:v>
      </s:c>
      <s:c r="D486" s="6" t="n">
        <s:v>21664</s:v>
      </s:c>
      <s:c r="E486" s="6" t="n">
        <s:v>9943</s:v>
      </s:c>
      <s:c r="F486" s="6" t="n">
        <s:v>9984</s:v>
      </s:c>
      <s:c r="G486" s="6" t="n">
        <s:v>24081</s:v>
      </s:c>
      <s:c r="H486" s="6" t="n">
        <s:v>22336</s:v>
      </s:c>
      <s:c r="I486" s="6" t="n">
        <s:v>5127</s:v>
      </s:c>
      <s:c r="J486" s="6" t="n">
        <s:f>IF(COUNT(C486:I486)=7,SUM(C486:I486),"")</s:f>
        <s:v>103612</s:v>
      </s:c>
    </s:row>
    <s:row r="487">
      <s:c r="A487" s="5" t="n">
        <s:v>46286</s:v>
      </s:c>
      <s:c r="B487" s="2" t="n">
        <s:v>2</s:v>
      </s:c>
      <s:c r="C487" s="6" t="n">
        <s:v>10380</s:v>
      </s:c>
      <s:c r="D487" s="6" t="n">
        <s:v>21654</s:v>
      </s:c>
      <s:c r="E487" s="6" t="n">
        <s:v>9971</s:v>
      </s:c>
      <s:c r="F487" s="6" t="n">
        <s:v>10118</s:v>
      </s:c>
      <s:c r="G487" s="6" t="n">
        <s:v>23955</s:v>
      </s:c>
      <s:c r="H487" s="6" t="n">
        <s:v>23198</s:v>
      </s:c>
      <s:c r="I487" s="6" t="n">
        <s:v>5095</s:v>
      </s:c>
      <s:c r="J487" s="6" t="n">
        <s:f>IF(COUNT(C487:I487)=7,SUM(C487:I487),"")</s:f>
        <s:v>104371</s:v>
      </s:c>
    </s:row>
    <s:row r="488">
      <s:c r="A488" s="5" t="n">
        <s:v>46286</s:v>
      </s:c>
      <s:c r="B488" s="2" t="n">
        <s:v>3</s:v>
      </s:c>
      <s:c r="C488" s="6" t="n">
        <s:v>10498</s:v>
      </s:c>
      <s:c r="D488" s="6" t="n">
        <s:v>21713</s:v>
      </s:c>
      <s:c r="E488" s="6" t="n">
        <s:v>10121</s:v>
      </s:c>
      <s:c r="F488" s="6" t="n">
        <s:v>10502</s:v>
      </s:c>
      <s:c r="G488" s="6" t="n">
        <s:v>24194</s:v>
      </s:c>
      <s:c r="H488" s="6" t="n">
        <s:v>23512</s:v>
      </s:c>
      <s:c r="I488" s="6" t="n">
        <s:v>5164</s:v>
      </s:c>
      <s:c r="J488" s="6" t="n">
        <s:f>IF(COUNT(C488:I488)=7,SUM(C488:I488),"")</s:f>
        <s:v>105704</s:v>
      </s:c>
    </s:row>
    <s:row r="489">
      <s:c r="A489" s="5" t="n">
        <s:v>46286</s:v>
      </s:c>
      <s:c r="B489" s="2" t="n">
        <s:v>4</s:v>
      </s:c>
      <s:c r="C489" s="6" t="n">
        <s:v>10598</s:v>
      </s:c>
      <s:c r="D489" s="6" t="n">
        <s:v>21878</s:v>
      </s:c>
      <s:c r="E489" s="6" t="n">
        <s:v>10473</s:v>
      </s:c>
      <s:c r="F489" s="6" t="n">
        <s:v>10871</s:v>
      </s:c>
      <s:c r="G489" s="6" t="n">
        <s:v>24940</s:v>
      </s:c>
      <s:c r="H489" s="6" t="n">
        <s:v>24077</s:v>
      </s:c>
      <s:c r="I489" s="6" t="n">
        <s:v>5104</s:v>
      </s:c>
      <s:c r="J489" s="6" t="n">
        <s:f>IF(COUNT(C489:I489)=7,SUM(C489:I489),"")</s:f>
        <s:v>107941</s:v>
      </s:c>
    </s:row>
    <s:row r="490">
      <s:c r="A490" s="5" t="n">
        <s:v>46286</s:v>
      </s:c>
      <s:c r="B490" s="2" t="n">
        <s:v>5</s:v>
      </s:c>
      <s:c r="C490" s="6" t="n">
        <s:v>10712</s:v>
      </s:c>
      <s:c r="D490" s="6" t="n">
        <s:v>23107</s:v>
      </s:c>
      <s:c r="E490" s="6" t="n">
        <s:v>10494</s:v>
      </s:c>
      <s:c r="F490" s="6" t="n">
        <s:v>10991</s:v>
      </s:c>
      <s:c r="G490" s="6" t="n">
        <s:v>26272</s:v>
      </s:c>
      <s:c r="H490" s="6" t="n">
        <s:v>24212</s:v>
      </s:c>
      <s:c r="I490" s="6" t="n">
        <s:v>5115</s:v>
      </s:c>
      <s:c r="J490" s="6" t="n">
        <s:f>IF(COUNT(C490:I490)=7,SUM(C490:I490),"")</s:f>
        <s:v>110903</s:v>
      </s:c>
    </s:row>
    <s:row r="491">
      <s:c r="A491" s="5" t="n">
        <s:v>46286</s:v>
      </s:c>
      <s:c r="B491" s="2" t="n">
        <s:v>6</s:v>
      </s:c>
      <s:c r="C491" s="6" t="n">
        <s:v>11696</s:v>
      </s:c>
      <s:c r="D491" s="6" t="n">
        <s:v>24396</s:v>
      </s:c>
      <s:c r="E491" s="6" t="n">
        <s:v>11057</s:v>
      </s:c>
      <s:c r="F491" s="6" t="n">
        <s:v>11666</s:v>
      </s:c>
      <s:c r="G491" s="6" t="n">
        <s:v>27820</s:v>
      </s:c>
      <s:c r="H491" s="6" t="n">
        <s:v>24204</s:v>
      </s:c>
      <s:c r="I491" s="6" t="n">
        <s:v>5043</s:v>
      </s:c>
      <s:c r="J491" s="6" t="n">
        <s:f>IF(COUNT(C491:I491)=7,SUM(C491:I491),"")</s:f>
        <s:v>115882</s:v>
      </s:c>
    </s:row>
    <s:row r="492">
      <s:c r="A492" s="5" t="n">
        <s:v>46286</s:v>
      </s:c>
      <s:c r="B492" s="2" t="n">
        <s:v>7</s:v>
      </s:c>
      <s:c r="C492" s="6" t="n">
        <s:v>11825</s:v>
      </s:c>
      <s:c r="D492" s="6" t="n">
        <s:v>25665</s:v>
      </s:c>
      <s:c r="E492" s="6" t="n">
        <s:v>11607</s:v>
      </s:c>
      <s:c r="F492" s="6" t="n">
        <s:v>12450</s:v>
      </s:c>
      <s:c r="G492" s="6" t="n">
        <s:v>28106</s:v>
      </s:c>
      <s:c r="H492" s="6" t="n">
        <s:v>24366</s:v>
      </s:c>
      <s:c r="I492" s="6" t="n">
        <s:v>5141</s:v>
      </s:c>
      <s:c r="J492" s="6" t="n">
        <s:f>IF(COUNT(C492:I492)=7,SUM(C492:I492),"")</s:f>
        <s:v>119160</s:v>
      </s:c>
    </s:row>
    <s:row r="493">
      <s:c r="A493" s="5" t="n">
        <s:v>46286</s:v>
      </s:c>
      <s:c r="B493" s="2" t="n">
        <s:v>8</s:v>
      </s:c>
      <s:c r="C493" s="6" t="n">
        <s:v>12319</s:v>
      </s:c>
      <s:c r="D493" s="6" t="n">
        <s:v>27213</s:v>
      </s:c>
      <s:c r="E493" s="6" t="n">
        <s:v>12726</s:v>
      </s:c>
      <s:c r="F493" s="6" t="n">
        <s:v>13678</s:v>
      </s:c>
      <s:c r="G493" s="6" t="n">
        <s:v>28123</s:v>
      </s:c>
      <s:c r="H493" s="6" t="n">
        <s:v>24985</s:v>
      </s:c>
      <s:c r="I493" s="6" t="n">
        <s:v>5023</s:v>
      </s:c>
      <s:c r="J493" s="6" t="n">
        <s:f>IF(COUNT(C493:I493)=7,SUM(C493:I493),"")</s:f>
        <s:v>124067</s:v>
      </s:c>
    </s:row>
    <s:row r="494">
      <s:c r="A494" s="5" t="n">
        <s:v>46286</s:v>
      </s:c>
      <s:c r="B494" s="2" t="n">
        <s:v>9</s:v>
      </s:c>
      <s:c r="C494" s="6" t="n">
        <s:v>12744</s:v>
      </s:c>
      <s:c r="D494" s="6" t="n">
        <s:v>27199</s:v>
      </s:c>
      <s:c r="E494" s="6" t="n">
        <s:v>12940</s:v>
      </s:c>
      <s:c r="F494" s="6" t="n">
        <s:v>13733</s:v>
      </s:c>
      <s:c r="G494" s="6" t="n">
        <s:v>27932</s:v>
      </s:c>
      <s:c r="H494" s="6" t="n">
        <s:v>24935</s:v>
      </s:c>
      <s:c r="I494" s="6" t="n">
        <s:v>5077</s:v>
      </s:c>
      <s:c r="J494" s="6" t="n">
        <s:f>IF(COUNT(C494:I494)=7,SUM(C494:I494),"")</s:f>
        <s:v>124560</s:v>
      </s:c>
    </s:row>
    <s:row r="495">
      <s:c r="A495" s="5" t="n">
        <s:v>46286</s:v>
      </s:c>
      <s:c r="B495" s="2" t="n">
        <s:v>10</s:v>
      </s:c>
      <s:c r="C495" s="6" t="n">
        <s:v>12969</s:v>
      </s:c>
      <s:c r="D495" s="6" t="n">
        <s:v>27146</s:v>
      </s:c>
      <s:c r="E495" s="6" t="n">
        <s:v>12989</s:v>
      </s:c>
      <s:c r="F495" s="6" t="n">
        <s:v>13886</s:v>
      </s:c>
      <s:c r="G495" s="6" t="n">
        <s:v>28043</s:v>
      </s:c>
      <s:c r="H495" s="6" t="n">
        <s:v>24714</s:v>
      </s:c>
      <s:c r="I495" s="6" t="n">
        <s:v>5233</s:v>
      </s:c>
      <s:c r="J495" s="6" t="n">
        <s:f>IF(COUNT(C495:I495)=7,SUM(C495:I495),"")</s:f>
        <s:v>124980</s:v>
      </s:c>
    </s:row>
    <s:row r="496">
      <s:c r="A496" s="5" t="n">
        <s:v>46286</s:v>
      </s:c>
      <s:c r="B496" s="2" t="n">
        <s:v>11</s:v>
      </s:c>
      <s:c r="C496" s="6" t="n">
        <s:v>12838</s:v>
      </s:c>
      <s:c r="D496" s="6" t="n">
        <s:v>26795</s:v>
      </s:c>
      <s:c r="E496" s="6" t="n">
        <s:v>13602</s:v>
      </s:c>
      <s:c r="F496" s="6" t="n">
        <s:v>14401</s:v>
      </s:c>
      <s:c r="G496" s="6" t="n">
        <s:v>27813</s:v>
      </s:c>
      <s:c r="H496" s="6" t="n">
        <s:v>24700</s:v>
      </s:c>
      <s:c r="I496" s="6" t="n">
        <s:v>5372</s:v>
      </s:c>
      <s:c r="J496" s="6" t="n">
        <s:f>IF(COUNT(C496:I496)=7,SUM(C496:I496),"")</s:f>
        <s:v>125521</s:v>
      </s:c>
    </s:row>
    <s:row r="497">
      <s:c r="A497" s="5" t="n">
        <s:v>46286</s:v>
      </s:c>
      <s:c r="B497" s="2" t="n">
        <s:v>12</s:v>
      </s:c>
      <s:c r="C497" s="6" t="n">
        <s:v>12913</s:v>
      </s:c>
      <s:c r="D497" s="6" t="n">
        <s:v>27224</s:v>
      </s:c>
      <s:c r="E497" s="6" t="n">
        <s:v>13346</s:v>
      </s:c>
      <s:c r="F497" s="6" t="n">
        <s:v>13786</s:v>
      </s:c>
      <s:c r="G497" s="6" t="n">
        <s:v>28014</s:v>
      </s:c>
      <s:c r="H497" s="6" t="n">
        <s:v>24386</s:v>
      </s:c>
      <s:c r="I497" s="6" t="n">
        <s:v>5350</s:v>
      </s:c>
      <s:c r="J497" s="6" t="n">
        <s:f>IF(COUNT(C497:I497)=7,SUM(C497:I497),"")</s:f>
        <s:v>125019</s:v>
      </s:c>
    </s:row>
    <s:row r="498">
      <s:c r="A498" s="5" t="n">
        <s:v>46286</s:v>
      </s:c>
      <s:c r="B498" s="2" t="n">
        <s:v>13</s:v>
      </s:c>
      <s:c r="C498" s="6" t="n">
        <s:v>12958</s:v>
      </s:c>
      <s:c r="D498" s="6" t="n">
        <s:v>27204</s:v>
      </s:c>
      <s:c r="E498" s="6" t="n">
        <s:v>13461</s:v>
      </s:c>
      <s:c r="F498" s="6" t="n">
        <s:v>14151</s:v>
      </s:c>
      <s:c r="G498" s="6" t="n">
        <s:v>28042</s:v>
      </s:c>
      <s:c r="H498" s="6" t="n">
        <s:v>24730</s:v>
      </s:c>
      <s:c r="I498" s="6" t="n">
        <s:v>5444</s:v>
      </s:c>
      <s:c r="J498" s="6" t="n">
        <s:f>IF(COUNT(C498:I498)=7,SUM(C498:I498),"")</s:f>
        <s:v>125990</s:v>
      </s:c>
    </s:row>
    <s:row r="499">
      <s:c r="A499" s="5" t="n">
        <s:v>46286</s:v>
      </s:c>
      <s:c r="B499" s="2" t="n">
        <s:v>14</s:v>
      </s:c>
      <s:c r="C499" s="6" t="n">
        <s:v>12909</s:v>
      </s:c>
      <s:c r="D499" s="6" t="n">
        <s:v>27588</s:v>
      </s:c>
      <s:c r="E499" s="6" t="n">
        <s:v>13249</s:v>
      </s:c>
      <s:c r="F499" s="6" t="n">
        <s:v>13746</s:v>
      </s:c>
      <s:c r="G499" s="6" t="n">
        <s:v>27920</s:v>
      </s:c>
      <s:c r="H499" s="6" t="n">
        <s:v>24972</s:v>
      </s:c>
      <s:c r="I499" s="6" t="n">
        <s:v>5272</s:v>
      </s:c>
      <s:c r="J499" s="6" t="n">
        <s:f>IF(COUNT(C499:I499)=7,SUM(C499:I499),"")</s:f>
        <s:v>125656</s:v>
      </s:c>
    </s:row>
    <s:row r="500">
      <s:c r="A500" s="5" t="n">
        <s:v>46286</s:v>
      </s:c>
      <s:c r="B500" s="2" t="n">
        <s:v>15</s:v>
      </s:c>
      <s:c r="C500" s="6" t="n">
        <s:v>13181</s:v>
      </s:c>
      <s:c r="D500" s="6" t="n">
        <s:v>26560</s:v>
      </s:c>
      <s:c r="E500" s="6" t="n">
        <s:v>13981</s:v>
      </s:c>
      <s:c r="F500" s="6" t="n">
        <s:v>14379</s:v>
      </s:c>
      <s:c r="G500" s="6" t="n">
        <s:v>28011</s:v>
      </s:c>
      <s:c r="H500" s="6" t="n">
        <s:v>25053</s:v>
      </s:c>
      <s:c r="I500" s="6" t="n">
        <s:v>4971</s:v>
      </s:c>
      <s:c r="J500" s="6" t="n">
        <s:f>IF(COUNT(C500:I500)=7,SUM(C500:I500),"")</s:f>
        <s:v>126136</s:v>
      </s:c>
    </s:row>
    <s:row r="501">
      <s:c r="A501" s="5" t="n">
        <s:v>46286</s:v>
      </s:c>
      <s:c r="B501" s="2" t="n">
        <s:v>16</s:v>
      </s:c>
      <s:c r="C501" s="6" t="n">
        <s:v>13183</s:v>
      </s:c>
      <s:c r="D501" s="6" t="n">
        <s:v>26698</s:v>
      </s:c>
      <s:c r="E501" s="6" t="n">
        <s:v>13380</s:v>
      </s:c>
      <s:c r="F501" s="6" t="n">
        <s:v>13679</s:v>
      </s:c>
      <s:c r="G501" s="6" t="n">
        <s:v>28194</s:v>
      </s:c>
      <s:c r="H501" s="6" t="n">
        <s:v>24735</s:v>
      </s:c>
      <s:c r="I501" s="6" t="n">
        <s:v>4922</s:v>
      </s:c>
      <s:c r="J501" s="6" t="n">
        <s:f>IF(COUNT(C501:I501)=7,SUM(C501:I501),"")</s:f>
        <s:v>124791</s:v>
      </s:c>
    </s:row>
    <s:row r="502">
      <s:c r="A502" s="5" t="n">
        <s:v>46286</s:v>
      </s:c>
      <s:c r="B502" s="2" t="n">
        <s:v>17</s:v>
      </s:c>
      <s:c r="C502" s="6" t="n">
        <s:v>13123</s:v>
      </s:c>
      <s:c r="D502" s="6" t="n">
        <s:v>26590</s:v>
      </s:c>
      <s:c r="E502" s="6" t="n">
        <s:v>13553</s:v>
      </s:c>
      <s:c r="F502" s="6" t="n">
        <s:v>13517</s:v>
      </s:c>
      <s:c r="G502" s="6" t="n">
        <s:v>28366</s:v>
      </s:c>
      <s:c r="H502" s="6" t="n">
        <s:v>24489</s:v>
      </s:c>
      <s:c r="I502" s="6" t="n">
        <s:v>4632</s:v>
      </s:c>
      <s:c r="J502" s="6" t="n">
        <s:f>IF(COUNT(C502:I502)=7,SUM(C502:I502),"")</s:f>
        <s:v>124270</s:v>
      </s:c>
    </s:row>
    <s:row r="503">
      <s:c r="A503" s="5" t="n">
        <s:v>46286</s:v>
      </s:c>
      <s:c r="B503" s="2" t="n">
        <s:v>18</s:v>
      </s:c>
      <s:c r="C503" s="6" t="n">
        <s:v>13124</s:v>
      </s:c>
      <s:c r="D503" s="6" t="n">
        <s:v>27399</s:v>
      </s:c>
      <s:c r="E503" s="6" t="n">
        <s:v>13733</s:v>
      </s:c>
      <s:c r="F503" s="6" t="n">
        <s:v>14087</s:v>
      </s:c>
      <s:c r="G503" s="6" t="n">
        <s:v>28208</s:v>
      </s:c>
      <s:c r="H503" s="6" t="n">
        <s:v>23932</s:v>
      </s:c>
      <s:c r="I503" s="6" t="n">
        <s:v>4592</s:v>
      </s:c>
      <s:c r="J503" s="6" t="n">
        <s:f>IF(COUNT(C503:I503)=7,SUM(C503:I503),"")</s:f>
        <s:v>125075</s:v>
      </s:c>
    </s:row>
    <s:row r="504">
      <s:c r="A504" s="5" t="n">
        <s:v>46286</s:v>
      </s:c>
      <s:c r="B504" s="2" t="n">
        <s:v>19</s:v>
      </s:c>
      <s:c r="C504" s="6" t="n">
        <s:v>13272</s:v>
      </s:c>
      <s:c r="D504" s="6" t="n">
        <s:v>27159</s:v>
      </s:c>
      <s:c r="E504" s="6" t="n">
        <s:v>13375</s:v>
      </s:c>
      <s:c r="F504" s="6" t="n">
        <s:v>13774</s:v>
      </s:c>
      <s:c r="G504" s="6" t="n">
        <s:v>27839</s:v>
      </s:c>
      <s:c r="H504" s="6" t="n">
        <s:v>23203</s:v>
      </s:c>
      <s:c r="I504" s="6" t="n">
        <s:v>4485</s:v>
      </s:c>
      <s:c r="J504" s="6" t="n">
        <s:f>IF(COUNT(C504:I504)=7,SUM(C504:I504),"")</s:f>
        <s:v>123107</s:v>
      </s:c>
    </s:row>
    <s:row r="505">
      <s:c r="A505" s="5" t="n">
        <s:v>46286</s:v>
      </s:c>
      <s:c r="B505" s="2" t="n">
        <s:v>20</s:v>
      </s:c>
      <s:c r="C505" s="6" t="n">
        <s:v>13194</s:v>
      </s:c>
      <s:c r="D505" s="6" t="n">
        <s:v>26421</s:v>
      </s:c>
      <s:c r="E505" s="6" t="n">
        <s:v>12926</s:v>
      </s:c>
      <s:c r="F505" s="6" t="n">
        <s:v>12798</s:v>
      </s:c>
      <s:c r="G505" s="6" t="n">
        <s:v>27056</s:v>
      </s:c>
      <s:c r="H505" s="6" t="n">
        <s:v>23175</s:v>
      </s:c>
      <s:c r="I505" s="6" t="n">
        <s:v>4580</s:v>
      </s:c>
      <s:c r="J505" s="6" t="n">
        <s:f>IF(COUNT(C505:I505)=7,SUM(C505:I505),"")</s:f>
        <s:v>120150</s:v>
      </s:c>
    </s:row>
    <s:row r="506">
      <s:c r="A506" s="5" t="n">
        <s:v>46286</s:v>
      </s:c>
      <s:c r="B506" s="2" t="n">
        <s:v>21</s:v>
      </s:c>
      <s:c r="C506" s="6" t="n">
        <s:v>12499</s:v>
      </s:c>
      <s:c r="D506" s="6" t="n">
        <s:v>24703</s:v>
      </s:c>
      <s:c r="E506" s="6" t="n">
        <s:v>12696</s:v>
      </s:c>
      <s:c r="F506" s="6" t="n">
        <s:v>12710</s:v>
      </s:c>
      <s:c r="G506" s="6" t="n">
        <s:v>26228</s:v>
      </s:c>
      <s:c r="H506" s="6" t="n">
        <s:v>23200</s:v>
      </s:c>
      <s:c r="I506" s="6" t="n">
        <s:v>4599</s:v>
      </s:c>
      <s:c r="J506" s="6" t="n">
        <s:f>IF(COUNT(C506:I506)=7,SUM(C506:I506),"")</s:f>
        <s:v>116635</s:v>
      </s:c>
    </s:row>
    <s:row r="507">
      <s:c r="A507" s="5" t="n">
        <s:v>46286</s:v>
      </s:c>
      <s:c r="B507" s="2" t="n">
        <s:v>22</s:v>
      </s:c>
      <s:c r="C507" s="6" t="n">
        <s:v>12057</s:v>
      </s:c>
      <s:c r="D507" s="6" t="n">
        <s:v>23250</s:v>
      </s:c>
      <s:c r="E507" s="6" t="n">
        <s:v>11995</s:v>
      </s:c>
      <s:c r="F507" s="6" t="n">
        <s:v>12008</s:v>
      </s:c>
      <s:c r="G507" s="6" t="n">
        <s:v>24691</s:v>
      </s:c>
      <s:c r="H507" s="6" t="n">
        <s:v>22896</s:v>
      </s:c>
      <s:c r="I507" s="6" t="n">
        <s:v>4649</s:v>
      </s:c>
      <s:c r="J507" s="6" t="n">
        <s:f>IF(COUNT(C507:I507)=7,SUM(C507:I507),"")</s:f>
        <s:v>111546</s:v>
      </s:c>
    </s:row>
    <s:row r="508">
      <s:c r="A508" s="5" t="n">
        <s:v>46286</s:v>
      </s:c>
      <s:c r="B508" s="2" t="n">
        <s:v>23</s:v>
      </s:c>
      <s:c r="C508" s="6" t="n">
        <s:v>11565</s:v>
      </s:c>
      <s:c r="D508" s="6" t="n">
        <s:v>23217</s:v>
      </s:c>
      <s:c r="E508" s="6" t="n">
        <s:v>10845</s:v>
      </s:c>
      <s:c r="F508" s="6" t="n">
        <s:v>10887</s:v>
      </s:c>
      <s:c r="G508" s="6" t="n">
        <s:v>23807</s:v>
      </s:c>
      <s:c r="H508" s="6" t="n">
        <s:v>22696</s:v>
      </s:c>
      <s:c r="I508" s="6" t="n">
        <s:v>4926</s:v>
      </s:c>
      <s:c r="J508" s="6" t="n">
        <s:f>IF(COUNT(C508:I508)=7,SUM(C508:I508),"")</s:f>
        <s:v>107943</s:v>
      </s:c>
    </s:row>
    <s:row r="509">
      <s:c r="A509" s="5" t="n">
        <s:v>46287</s:v>
      </s:c>
      <s:c r="B509" s="2" t="n">
        <s:v>0</s:v>
      </s:c>
      <s:c r="C509" s="6" t="n">
        <s:v>11375</s:v>
      </s:c>
      <s:c r="D509" s="6" t="n">
        <s:v>21279</s:v>
      </s:c>
      <s:c r="E509" s="6" t="n">
        <s:v>10543</s:v>
      </s:c>
      <s:c r="F509" s="6" t="n">
        <s:v>10867</s:v>
      </s:c>
      <s:c r="G509" s="6" t="n">
        <s:v>23913</s:v>
      </s:c>
      <s:c r="H509" s="6" t="n">
        <s:v>23266</s:v>
      </s:c>
      <s:c r="I509" s="6" t="n">
        <s:v>5199</s:v>
      </s:c>
      <s:c r="J509" s="6" t="n">
        <s:f>IF(COUNT(C509:I509)=7,SUM(C509:I509),"")</s:f>
        <s:v>106442</s:v>
      </s:c>
    </s:row>
    <s:row r="510">
      <s:c r="A510" s="5" t="n">
        <s:v>46287</s:v>
      </s:c>
      <s:c r="B510" s="2" t="n">
        <s:v>1</s:v>
      </s:c>
      <s:c r="C510" s="6" t="n">
        <s:v>11143</s:v>
      </s:c>
      <s:c r="D510" s="6" t="n">
        <s:v>20368</s:v>
      </s:c>
      <s:c r="E510" s="6" t="n">
        <s:v>10235</s:v>
      </s:c>
      <s:c r="F510" s="6" t="n">
        <s:v>10943</s:v>
      </s:c>
      <s:c r="G510" s="6" t="n">
        <s:v>23958</s:v>
      </s:c>
      <s:c r="H510" s="6" t="n">
        <s:v>23522</s:v>
      </s:c>
      <s:c r="I510" s="6" t="n">
        <s:v>4622</s:v>
      </s:c>
      <s:c r="J510" s="6" t="n">
        <s:f>IF(COUNT(C510:I510)=7,SUM(C510:I510),"")</s:f>
        <s:v>104791</s:v>
      </s:c>
    </s:row>
    <s:row r="511">
      <s:c r="A511" s="5" t="n">
        <s:v>46287</s:v>
      </s:c>
      <s:c r="B511" s="2" t="n">
        <s:v>2</s:v>
      </s:c>
      <s:c r="C511" s="6" t="n">
        <s:v>11111</s:v>
      </s:c>
      <s:c r="D511" s="6" t="n">
        <s:v>19948</s:v>
      </s:c>
      <s:c r="E511" s="6" t="n">
        <s:v>10143</s:v>
      </s:c>
      <s:c r="F511" s="6" t="n">
        <s:v>10747</s:v>
      </s:c>
      <s:c r="G511" s="6" t="n">
        <s:v>24608</s:v>
      </s:c>
      <s:c r="H511" s="6" t="n">
        <s:v>23849</s:v>
      </s:c>
      <s:c r="I511" s="6" t="n">
        <s:v>5006</s:v>
      </s:c>
      <s:c r="J511" s="6" t="n">
        <s:f>IF(COUNT(C511:I511)=7,SUM(C511:I511),"")</s:f>
        <s:v>105412</s:v>
      </s:c>
    </s:row>
    <s:row r="512">
      <s:c r="A512" s="5" t="n">
        <s:v>46287</s:v>
      </s:c>
      <s:c r="B512" s="2" t="n">
        <s:v>3</s:v>
      </s:c>
      <s:c r="C512" s="6" t="n">
        <s:v>11085</s:v>
      </s:c>
      <s:c r="D512" s="6" t="n">
        <s:v>20246</s:v>
      </s:c>
      <s:c r="E512" s="6" t="n">
        <s:v>10037</s:v>
      </s:c>
      <s:c r="F512" s="6" t="n">
        <s:v>10736</s:v>
      </s:c>
      <s:c r="G512" s="6" t="n">
        <s:v>24413</s:v>
      </s:c>
      <s:c r="H512" s="6" t="n">
        <s:v>24411</s:v>
      </s:c>
      <s:c r="I512" s="6" t="n">
        <s:v>5051</s:v>
      </s:c>
      <s:c r="J512" s="6" t="n">
        <s:f>IF(COUNT(C512:I512)=7,SUM(C512:I512),"")</s:f>
        <s:v>105979</s:v>
      </s:c>
    </s:row>
    <s:row r="513">
      <s:c r="A513" s="5" t="n">
        <s:v>46287</s:v>
      </s:c>
      <s:c r="B513" s="2" t="n">
        <s:v>4</s:v>
      </s:c>
      <s:c r="C513" s="6" t="n">
        <s:v>11119</s:v>
      </s:c>
      <s:c r="D513" s="6" t="n">
        <s:v>21124</s:v>
      </s:c>
      <s:c r="E513" s="6" t="n">
        <s:v>10294</s:v>
      </s:c>
      <s:c r="F513" s="6" t="n">
        <s:v>10869</s:v>
      </s:c>
      <s:c r="G513" s="6" t="n">
        <s:v>25423</s:v>
      </s:c>
      <s:c r="H513" s="6" t="n">
        <s:v>24467</s:v>
      </s:c>
      <s:c r="I513" s="6" t="n">
        <s:v>5270</s:v>
      </s:c>
      <s:c r="J513" s="6" t="n">
        <s:f>IF(COUNT(C513:I513)=7,SUM(C513:I513),"")</s:f>
        <s:v>108566</s:v>
      </s:c>
    </s:row>
    <s:row r="514">
      <s:c r="A514" s="5" t="n">
        <s:v>46287</s:v>
      </s:c>
      <s:c r="B514" s="2" t="n">
        <s:v>5</s:v>
      </s:c>
      <s:c r="C514" s="6" t="n">
        <s:v>11425</s:v>
      </s:c>
      <s:c r="D514" s="6" t="n">
        <s:v>22147</s:v>
      </s:c>
      <s:c r="E514" s="6" t="n">
        <s:v>10594</s:v>
      </s:c>
      <s:c r="F514" s="6" t="n">
        <s:v>11824</s:v>
      </s:c>
      <s:c r="G514" s="6" t="n">
        <s:v>26781</s:v>
      </s:c>
      <s:c r="H514" s="6" t="n">
        <s:v>24847</s:v>
      </s:c>
      <s:c r="I514" s="6" t="n">
        <s:v>5191</s:v>
      </s:c>
      <s:c r="J514" s="6" t="n">
        <s:f>IF(COUNT(C514:I514)=7,SUM(C514:I514),"")</s:f>
        <s:v>112809</s:v>
      </s:c>
    </s:row>
    <s:row r="515">
      <s:c r="A515" s="5" t="n">
        <s:v>46287</s:v>
      </s:c>
      <s:c r="B515" s="2" t="n">
        <s:v>6</s:v>
      </s:c>
      <s:c r="C515" s="6" t="n">
        <s:v>11750</s:v>
      </s:c>
      <s:c r="D515" s="6" t="n">
        <s:v>24148</s:v>
      </s:c>
      <s:c r="E515" s="6" t="n">
        <s:v>11140</s:v>
      </s:c>
      <s:c r="F515" s="6" t="n">
        <s:v>12253</s:v>
      </s:c>
      <s:c r="G515" s="6" t="n">
        <s:v>27502</s:v>
      </s:c>
      <s:c r="H515" s="6" t="n">
        <s:v>24781</s:v>
      </s:c>
      <s:c r="I515" s="6" t="n">
        <s:v>5111</s:v>
      </s:c>
      <s:c r="J515" s="6" t="n">
        <s:f>IF(COUNT(C515:I515)=7,SUM(C515:I515),"")</s:f>
        <s:v>116685</s:v>
      </s:c>
    </s:row>
    <s:row r="516">
      <s:c r="A516" s="5" t="n">
        <s:v>46287</s:v>
      </s:c>
      <s:c r="B516" s="2" t="n">
        <s:v>7</s:v>
      </s:c>
      <s:c r="C516" s="6" t="n">
        <s:v>12251</s:v>
      </s:c>
      <s:c r="D516" s="6" t="n">
        <s:v>25449</s:v>
      </s:c>
      <s:c r="E516" s="6" t="n">
        <s:v>11479</s:v>
      </s:c>
      <s:c r="F516" s="6" t="n">
        <s:v>13673</s:v>
      </s:c>
      <s:c r="G516" s="6" t="n">
        <s:v>27451</s:v>
      </s:c>
      <s:c r="H516" s="6" t="n">
        <s:v>24465</s:v>
      </s:c>
      <s:c r="I516" s="6" t="n">
        <s:v>5071</s:v>
      </s:c>
      <s:c r="J516" s="6" t="n">
        <s:f>IF(COUNT(C516:I516)=7,SUM(C516:I516),"")</s:f>
        <s:v>119839</s:v>
      </s:c>
    </s:row>
    <s:row r="517">
      <s:c r="A517" s="5" t="n">
        <s:v>46287</s:v>
      </s:c>
      <s:c r="B517" s="2" t="n">
        <s:v>8</s:v>
      </s:c>
      <s:c r="C517" s="6" t="n">
        <s:v>12746</s:v>
      </s:c>
      <s:c r="D517" s="6" t="n">
        <s:v>26937</s:v>
      </s:c>
      <s:c r="E517" s="6" t="n">
        <s:v>12627</s:v>
      </s:c>
      <s:c r="F517" s="6" t="n">
        <s:v>14375</s:v>
      </s:c>
      <s:c r="G517" s="6" t="n">
        <s:v>27184</s:v>
      </s:c>
      <s:c r="H517" s="6" t="n">
        <s:v>24812</s:v>
      </s:c>
      <s:c r="I517" s="6" t="n">
        <s:v>4982</s:v>
      </s:c>
      <s:c r="J517" s="6" t="n">
        <s:f>IF(COUNT(C517:I517)=7,SUM(C517:I517),"")</s:f>
        <s:v>123663</s:v>
      </s:c>
    </s:row>
    <s:row r="518">
      <s:c r="A518" s="5" t="n">
        <s:v>46287</s:v>
      </s:c>
      <s:c r="B518" s="2" t="n">
        <s:v>9</s:v>
      </s:c>
      <s:c r="C518" s="6" t="n">
        <s:v>12882</s:v>
      </s:c>
      <s:c r="D518" s="6" t="n">
        <s:v>27102</s:v>
      </s:c>
      <s:c r="E518" s="6" t="n">
        <s:v>13272</s:v>
      </s:c>
      <s:c r="F518" s="6" t="n">
        <s:v>14327</s:v>
      </s:c>
      <s:c r="G518" s="6" t="n">
        <s:v>27267</s:v>
      </s:c>
      <s:c r="H518" s="6" t="n">
        <s:v>24924</s:v>
      </s:c>
      <s:c r="I518" s="6" t="n">
        <s:v>4975</s:v>
      </s:c>
      <s:c r="J518" s="6" t="n">
        <s:f>IF(COUNT(C518:I518)=7,SUM(C518:I518),"")</s:f>
        <s:v>124749</s:v>
      </s:c>
    </s:row>
    <s:row r="519">
      <s:c r="A519" s="5" t="n">
        <s:v>46287</s:v>
      </s:c>
      <s:c r="B519" s="2" t="n">
        <s:v>10</s:v>
      </s:c>
      <s:c r="C519" s="6" t="n">
        <s:v>12994</s:v>
      </s:c>
      <s:c r="D519" s="6" t="n">
        <s:v>27130</s:v>
      </s:c>
      <s:c r="E519" s="6" t="n">
        <s:v>13428</s:v>
      </s:c>
      <s:c r="F519" s="6" t="n">
        <s:v>14232</s:v>
      </s:c>
      <s:c r="G519" s="6" t="n">
        <s:v>27319</s:v>
      </s:c>
      <s:c r="H519" s="6" t="n">
        <s:v>25092</s:v>
      </s:c>
      <s:c r="I519" s="6" t="n">
        <s:v>5201</s:v>
      </s:c>
      <s:c r="J519" s="6" t="n">
        <s:f>IF(COUNT(C519:I519)=7,SUM(C519:I519),"")</s:f>
        <s:v>125396</s:v>
      </s:c>
    </s:row>
    <s:row r="520">
      <s:c r="A520" s="5" t="n">
        <s:v>46287</s:v>
      </s:c>
      <s:c r="B520" s="2" t="n">
        <s:v>11</s:v>
      </s:c>
      <s:c r="C520" s="6" t="n">
        <s:v>13095</s:v>
      </s:c>
      <s:c r="D520" s="6" t="n">
        <s:v>27359</s:v>
      </s:c>
      <s:c r="E520" s="6" t="n">
        <s:v>12943</s:v>
      </s:c>
      <s:c r="F520" s="6" t="n">
        <s:v>14003</s:v>
      </s:c>
      <s:c r="G520" s="6" t="n">
        <s:v>27402</s:v>
      </s:c>
      <s:c r="H520" s="6" t="n">
        <s:v>24551</s:v>
      </s:c>
      <s:c r="I520" s="6" t="n">
        <s:v>5000</s:v>
      </s:c>
      <s:c r="J520" s="6" t="n">
        <s:f>IF(COUNT(C520:I520)=7,SUM(C520:I520),"")</s:f>
        <s:v>124353</s:v>
      </s:c>
    </s:row>
    <s:row r="521">
      <s:c r="A521" s="5" t="n">
        <s:v>46287</s:v>
      </s:c>
      <s:c r="B521" s="2" t="n">
        <s:v>12</s:v>
      </s:c>
      <s:c r="C521" s="6" t="n">
        <s:v>13174</s:v>
      </s:c>
      <s:c r="D521" s="6" t="n">
        <s:v>27295</s:v>
      </s:c>
      <s:c r="E521" s="6" t="n">
        <s:v>13029</s:v>
      </s:c>
      <s:c r="F521" s="6" t="n">
        <s:v>14039</s:v>
      </s:c>
      <s:c r="G521" s="6" t="n">
        <s:v>27752</s:v>
      </s:c>
      <s:c r="H521" s="6" t="n">
        <s:v>24467</s:v>
      </s:c>
      <s:c r="I521" s="6" t="n">
        <s:v>5275</s:v>
      </s:c>
      <s:c r="J521" s="6" t="n">
        <s:f>IF(COUNT(C521:I521)=7,SUM(C521:I521),"")</s:f>
        <s:v>125031</s:v>
      </s:c>
    </s:row>
    <s:row r="522">
      <s:c r="A522" s="5" t="n">
        <s:v>46287</s:v>
      </s:c>
      <s:c r="B522" s="2" t="n">
        <s:v>13</s:v>
      </s:c>
      <s:c r="C522" s="6" t="n">
        <s:v>13145</s:v>
      </s:c>
      <s:c r="D522" s="6" t="n">
        <s:v>27024</s:v>
      </s:c>
      <s:c r="E522" s="6" t="n">
        <s:v>13222</s:v>
      </s:c>
      <s:c r="F522" s="6" t="n">
        <s:v>14255</s:v>
      </s:c>
      <s:c r="G522" s="6" t="n">
        <s:v>27416</s:v>
      </s:c>
      <s:c r="H522" s="6" t="n">
        <s:v>24635</s:v>
      </s:c>
      <s:c r="I522" s="6" t="n">
        <s:v>5521</s:v>
      </s:c>
      <s:c r="J522" s="6" t="n">
        <s:f>IF(COUNT(C522:I522)=7,SUM(C522:I522),"")</s:f>
        <s:v>125218</s:v>
      </s:c>
    </s:row>
    <s:row r="523">
      <s:c r="A523" s="5" t="n">
        <s:v>46287</s:v>
      </s:c>
      <s:c r="B523" s="2" t="n">
        <s:v>14</s:v>
      </s:c>
      <s:c r="C523" s="6" t="n">
        <s:v>12978</s:v>
      </s:c>
      <s:c r="D523" s="6" t="n">
        <s:v>27554</s:v>
      </s:c>
      <s:c r="E523" s="6" t="n">
        <s:v>13312</s:v>
      </s:c>
      <s:c r="F523" s="6" t="n">
        <s:v>14231</s:v>
      </s:c>
      <s:c r="G523" s="6" t="n">
        <s:v>27420</s:v>
      </s:c>
      <s:c r="H523" s="6" t="n">
        <s:v>24573</s:v>
      </s:c>
      <s:c r="I523" s="6" t="n">
        <s:v>5483</s:v>
      </s:c>
      <s:c r="J523" s="6" t="n">
        <s:f>IF(COUNT(C523:I523)=7,SUM(C523:I523),"")</s:f>
        <s:v>125551</s:v>
      </s:c>
    </s:row>
    <s:row r="524">
      <s:c r="A524" s="5" t="n">
        <s:v>46287</s:v>
      </s:c>
      <s:c r="B524" s="2" t="n">
        <s:v>15</s:v>
      </s:c>
      <s:c r="C524" s="6" t="n">
        <s:v>12945</s:v>
      </s:c>
      <s:c r="D524" s="6" t="n">
        <s:v>27811</s:v>
      </s:c>
      <s:c r="E524" s="6" t="n">
        <s:v>13303</s:v>
      </s:c>
      <s:c r="F524" s="6" t="n">
        <s:v>14129</s:v>
      </s:c>
      <s:c r="G524" s="6" t="n">
        <s:v>27428</s:v>
      </s:c>
      <s:c r="H524" s="6" t="n">
        <s:v>24949</s:v>
      </s:c>
      <s:c r="I524" s="6" t="n">
        <s:v>5200</s:v>
      </s:c>
      <s:c r="J524" s="6" t="n">
        <s:f>IF(COUNT(C524:I524)=7,SUM(C524:I524),"")</s:f>
        <s:v>125765</s:v>
      </s:c>
    </s:row>
    <s:row r="525">
      <s:c r="A525" s="5" t="n">
        <s:v>46287</s:v>
      </s:c>
      <s:c r="B525" s="2" t="n">
        <s:v>16</s:v>
      </s:c>
      <s:c r="C525" s="6" t="n">
        <s:v>12679</s:v>
      </s:c>
      <s:c r="D525" s="6" t="n">
        <s:v>27977</s:v>
      </s:c>
      <s:c r="E525" s="6" t="n">
        <s:v>12635</s:v>
      </s:c>
      <s:c r="F525" s="6" t="n">
        <s:v>13534</s:v>
      </s:c>
      <s:c r="G525" s="6" t="n">
        <s:v>27690</s:v>
      </s:c>
      <s:c r="H525" s="6" t="n">
        <s:v>24840</s:v>
      </s:c>
      <s:c r="I525" s="6" t="n">
        <s:v>5061</s:v>
      </s:c>
      <s:c r="J525" s="6" t="n">
        <s:f>IF(COUNT(C525:I525)=7,SUM(C525:I525),"")</s:f>
        <s:v>124416</s:v>
      </s:c>
    </s:row>
    <s:row r="526">
      <s:c r="A526" s="5" t="n">
        <s:v>46287</s:v>
      </s:c>
      <s:c r="B526" s="2" t="n">
        <s:v>17</s:v>
      </s:c>
      <s:c r="C526" s="6" t="n">
        <s:v>12863</s:v>
      </s:c>
      <s:c r="D526" s="6" t="n">
        <s:v>27882</s:v>
      </s:c>
      <s:c r="E526" s="6" t="n">
        <s:v>12825</s:v>
      </s:c>
      <s:c r="F526" s="6" t="n">
        <s:v>13436</s:v>
      </s:c>
      <s:c r="G526" s="6" t="n">
        <s:v>28089</s:v>
      </s:c>
      <s:c r="H526" s="6" t="n">
        <s:v>25149</s:v>
      </s:c>
      <s:c r="I526" s="6" t="n">
        <s:v>4722</s:v>
      </s:c>
      <s:c r="J526" s="6" t="n">
        <s:f>IF(COUNT(C526:I526)=7,SUM(C526:I526),"")</s:f>
        <s:v>124966</s:v>
      </s:c>
    </s:row>
    <s:row r="527">
      <s:c r="A527" s="5" t="n">
        <s:v>46287</s:v>
      </s:c>
      <s:c r="B527" s="2" t="n">
        <s:v>18</s:v>
      </s:c>
      <s:c r="C527" s="6" t="n">
        <s:v>12973</s:v>
      </s:c>
      <s:c r="D527" s="6" t="n">
        <s:v>27976</s:v>
      </s:c>
      <s:c r="E527" s="6" t="n">
        <s:v>13326</s:v>
      </s:c>
      <s:c r="F527" s="6" t="n">
        <s:v>14270</s:v>
      </s:c>
      <s:c r="G527" s="6" t="n">
        <s:v>27938</s:v>
      </s:c>
      <s:c r="H527" s="6" t="n">
        <s:v>24455</s:v>
      </s:c>
      <s:c r="I527" s="6" t="n">
        <s:v>4626</s:v>
      </s:c>
      <s:c r="J527" s="6" t="n">
        <s:f>IF(COUNT(C527:I527)=7,SUM(C527:I527),"")</s:f>
        <s:v>125564</s:v>
      </s:c>
    </s:row>
    <s:row r="528">
      <s:c r="A528" s="5" t="n">
        <s:v>46287</s:v>
      </s:c>
      <s:c r="B528" s="2" t="n">
        <s:v>19</s:v>
      </s:c>
      <s:c r="C528" s="6" t="n">
        <s:v>12906</s:v>
      </s:c>
      <s:c r="D528" s="6" t="n">
        <s:v>27800</s:v>
      </s:c>
      <s:c r="E528" s="6" t="n">
        <s:v>13140</s:v>
      </s:c>
      <s:c r="F528" s="6" t="n">
        <s:v>13463</s:v>
      </s:c>
      <s:c r="G528" s="6" t="n">
        <s:v>27744</s:v>
      </s:c>
      <s:c r="H528" s="6" t="n">
        <s:v>23507</s:v>
      </s:c>
      <s:c r="I528" s="6" t="n">
        <s:v>4484</s:v>
      </s:c>
      <s:c r="J528" s="6" t="n">
        <s:f>IF(COUNT(C528:I528)=7,SUM(C528:I528),"")</s:f>
        <s:v>123044</s:v>
      </s:c>
    </s:row>
    <s:row r="529">
      <s:c r="A529" s="5" t="n">
        <s:v>46287</s:v>
      </s:c>
      <s:c r="B529" s="2" t="n">
        <s:v>20</s:v>
      </s:c>
      <s:c r="C529" s="6" t="n">
        <s:v>12895</s:v>
      </s:c>
      <s:c r="D529" s="6" t="n">
        <s:v>26878</s:v>
      </s:c>
      <s:c r="E529" s="6" t="n">
        <s:v>12775</s:v>
      </s:c>
      <s:c r="F529" s="6" t="n">
        <s:v>13119</s:v>
      </s:c>
      <s:c r="G529" s="6" t="n">
        <s:v>26392</s:v>
      </s:c>
      <s:c r="H529" s="6" t="n">
        <s:v>23029</s:v>
      </s:c>
      <s:c r="I529" s="6" t="n">
        <s:v>4555</s:v>
      </s:c>
      <s:c r="J529" s="6" t="n">
        <s:f>IF(COUNT(C529:I529)=7,SUM(C529:I529),"")</s:f>
        <s:v>119643</s:v>
      </s:c>
    </s:row>
    <s:row r="530">
      <s:c r="A530" s="5" t="n">
        <s:v>46287</s:v>
      </s:c>
      <s:c r="B530" s="2" t="n">
        <s:v>21</s:v>
      </s:c>
      <s:c r="C530" s="6" t="n">
        <s:v>12552</s:v>
      </s:c>
      <s:c r="D530" s="6" t="n">
        <s:v>25483</s:v>
      </s:c>
      <s:c r="E530" s="6" t="n">
        <s:v>11938</s:v>
      </s:c>
      <s:c r="F530" s="6" t="n">
        <s:v>12255</s:v>
      </s:c>
      <s:c r="G530" s="6" t="n">
        <s:v>25704</s:v>
      </s:c>
      <s:c r="H530" s="6" t="n">
        <s:v>23250</s:v>
      </s:c>
      <s:c r="I530" s="6" t="n">
        <s:v>4559</s:v>
      </s:c>
      <s:c r="J530" s="6" t="n">
        <s:f>IF(COUNT(C530:I530)=7,SUM(C530:I530),"")</s:f>
        <s:v>115741</s:v>
      </s:c>
    </s:row>
    <s:row r="531">
      <s:c r="A531" s="5" t="n">
        <s:v>46287</s:v>
      </s:c>
      <s:c r="B531" s="2" t="n">
        <s:v>22</s:v>
      </s:c>
      <s:c r="C531" s="6" t="n">
        <s:v>12194</s:v>
      </s:c>
      <s:c r="D531" s="6" t="n">
        <s:v>23477</s:v>
      </s:c>
      <s:c r="E531" s="6" t="n">
        <s:v>11786</s:v>
      </s:c>
      <s:c r="F531" s="6" t="n">
        <s:v>12652</s:v>
      </s:c>
      <s:c r="G531" s="6" t="n">
        <s:v>23187</s:v>
      </s:c>
      <s:c r="H531" s="6" t="n">
        <s:v>23328</s:v>
      </s:c>
      <s:c r="I531" s="6" t="n">
        <s:v>4631</s:v>
      </s:c>
      <s:c r="J531" s="6" t="n">
        <s:f>IF(COUNT(C531:I531)=7,SUM(C531:I531),"")</s:f>
        <s:v>111255</s:v>
      </s:c>
    </s:row>
    <s:row r="532">
      <s:c r="A532" s="5" t="n">
        <s:v>46287</s:v>
      </s:c>
      <s:c r="B532" s="2" t="n">
        <s:v>23</s:v>
      </s:c>
      <s:c r="C532" s="6" t="n">
        <s:v>12007</s:v>
      </s:c>
      <s:c r="D532" s="6" t="n">
        <s:v>21487</s:v>
      </s:c>
      <s:c r="E532" s="6" t="n">
        <s:v>11327</s:v>
      </s:c>
      <s:c r="F532" s="6" t="n">
        <s:v>12268</s:v>
      </s:c>
      <s:c r="G532" s="6" t="n">
        <s:v>22426</s:v>
      </s:c>
      <s:c r="H532" s="6" t="n">
        <s:v>23260</s:v>
      </s:c>
      <s:c r="I532" s="6" t="n">
        <s:v>4982</s:v>
      </s:c>
      <s:c r="J532" s="6" t="n">
        <s:f>IF(COUNT(C532:I532)=7,SUM(C532:I532),"")</s:f>
        <s:v>107757</s:v>
      </s:c>
    </s:row>
    <s:row r="533">
      <s:c r="A533" s="5" t="n">
        <s:v>46288</s:v>
      </s:c>
      <s:c r="B533" s="2" t="n">
        <s:v>0</s:v>
      </s:c>
      <s:c r="C533" s="6" t="n">
        <s:v>11625</s:v>
      </s:c>
      <s:c r="D533" s="6" t="n">
        <s:v>21176</s:v>
      </s:c>
      <s:c r="E533" s="6" t="n">
        <s:v>10451</s:v>
      </s:c>
      <s:c r="F533" s="6" t="n">
        <s:v>10477</s:v>
      </s:c>
      <s:c r="G533" s="6" t="n">
        <s:v>23521</s:v>
      </s:c>
      <s:c r="H533" s="6" t="n">
        <s:v>23022</s:v>
      </s:c>
      <s:c r="I533" s="6" t="n">
        <s:v>5098</s:v>
      </s:c>
      <s:c r="J533" s="6" t="n">
        <s:f>IF(COUNT(C533:I533)=7,SUM(C533:I533),"")</s:f>
        <s:v>105370</s:v>
      </s:c>
    </s:row>
    <s:row r="534">
      <s:c r="A534" s="5" t="n">
        <s:v>46288</s:v>
      </s:c>
      <s:c r="B534" s="2" t="n">
        <s:v>1</s:v>
      </s:c>
      <s:c r="C534" s="6" t="n">
        <s:v>11166</s:v>
      </s:c>
      <s:c r="D534" s="6" t="n">
        <s:v>20955</s:v>
      </s:c>
      <s:c r="E534" s="6" t="n">
        <s:v>10112</s:v>
      </s:c>
      <s:c r="F534" s="6" t="n">
        <s:v>10641</s:v>
      </s:c>
      <s:c r="G534" s="6" t="n">
        <s:v>23085</s:v>
      </s:c>
      <s:c r="H534" s="6" t="n">
        <s:v>23682</s:v>
      </s:c>
      <s:c r="I534" s="6" t="n">
        <s:v>5216</s:v>
      </s:c>
      <s:c r="J534" s="6" t="n">
        <s:f>IF(COUNT(C534:I534)=7,SUM(C534:I534),"")</s:f>
        <s:v>104857</s:v>
      </s:c>
    </s:row>
    <s:row r="535">
      <s:c r="A535" s="5" t="n">
        <s:v>46288</s:v>
      </s:c>
      <s:c r="B535" s="2" t="n">
        <s:v>2</s:v>
      </s:c>
      <s:c r="C535" s="6" t="n">
        <s:v>11054</s:v>
      </s:c>
      <s:c r="D535" s="6" t="n">
        <s:v>21327</s:v>
      </s:c>
      <s:c r="E535" s="6" t="n">
        <s:v>10422</s:v>
      </s:c>
      <s:c r="F535" s="6" t="n">
        <s:v>10509</s:v>
      </s:c>
      <s:c r="G535" s="6" t="n">
        <s:v>23143</s:v>
      </s:c>
      <s:c r="H535" s="6" t="n">
        <s:v>24146</s:v>
      </s:c>
      <s:c r="I535" s="6" t="n">
        <s:v>5222</s:v>
      </s:c>
      <s:c r="J535" s="6" t="n">
        <s:f>IF(COUNT(C535:I535)=7,SUM(C535:I535),"")</s:f>
        <s:v>105823</s:v>
      </s:c>
    </s:row>
    <s:row r="536">
      <s:c r="A536" s="5" t="n">
        <s:v>46288</s:v>
      </s:c>
      <s:c r="B536" s="2" t="n">
        <s:v>3</s:v>
      </s:c>
      <s:c r="C536" s="6" t="n">
        <s:v>11030</s:v>
      </s:c>
      <s:c r="D536" s="6" t="n">
        <s:v>21685</s:v>
      </s:c>
      <s:c r="E536" s="6" t="n">
        <s:v>10555</s:v>
      </s:c>
      <s:c r="F536" s="6" t="n">
        <s:v>10315</s:v>
      </s:c>
      <s:c r="G536" s="6" t="n">
        <s:v>23032</s:v>
      </s:c>
      <s:c r="H536" s="6" t="n">
        <s:v>24361</s:v>
      </s:c>
      <s:c r="I536" s="6" t="n">
        <s:v>5197</s:v>
      </s:c>
      <s:c r="J536" s="6" t="n">
        <s:f>IF(COUNT(C536:I536)=7,SUM(C536:I536),"")</s:f>
        <s:v>106175</s:v>
      </s:c>
    </s:row>
    <s:row r="537">
      <s:c r="A537" s="5" t="n">
        <s:v>46288</s:v>
      </s:c>
      <s:c r="B537" s="2" t="n">
        <s:v>4</s:v>
      </s:c>
      <s:c r="C537" s="6" t="n">
        <s:v>11039</s:v>
      </s:c>
      <s:c r="D537" s="6" t="n">
        <s:v>21675</s:v>
      </s:c>
      <s:c r="E537" s="6" t="n">
        <s:v>10803</s:v>
      </s:c>
      <s:c r="F537" s="6" t="n">
        <s:v>11086</s:v>
      </s:c>
      <s:c r="G537" s="6" t="n">
        <s:v>24216</s:v>
      </s:c>
      <s:c r="H537" s="6" t="n">
        <s:v>24794</s:v>
      </s:c>
      <s:c r="I537" s="6" t="n">
        <s:v>5077</s:v>
      </s:c>
      <s:c r="J537" s="6" t="n">
        <s:f>IF(COUNT(C537:I537)=7,SUM(C537:I537),"")</s:f>
        <s:v>108690</s:v>
      </s:c>
    </s:row>
    <s:row r="538">
      <s:c r="A538" s="5" t="n">
        <s:v>46288</s:v>
      </s:c>
      <s:c r="B538" s="2" t="n">
        <s:v>5</s:v>
      </s:c>
      <s:c r="C538" s="6" t="n">
        <s:v>11072</s:v>
      </s:c>
      <s:c r="D538" s="6" t="n">
        <s:v>23048</s:v>
      </s:c>
      <s:c r="E538" s="6" t="n">
        <s:v>11263</s:v>
      </s:c>
      <s:c r="F538" s="6" t="n">
        <s:v>11728</s:v>
      </s:c>
      <s:c r="G538" s="6" t="n">
        <s:v>24906</s:v>
      </s:c>
      <s:c r="H538" s="6" t="n">
        <s:v>25194</s:v>
      </s:c>
      <s:c r="I538" s="6" t="n">
        <s:v>5008</s:v>
      </s:c>
      <s:c r="J538" s="6" t="n">
        <s:f>IF(COUNT(C538:I538)=7,SUM(C538:I538),"")</s:f>
        <s:v>112219</s:v>
      </s:c>
    </s:row>
    <s:row r="539">
      <s:c r="A539" s="5" t="n">
        <s:v>46288</s:v>
      </s:c>
      <s:c r="B539" s="2" t="n">
        <s:v>6</s:v>
      </s:c>
      <s:c r="C539" s="6" t="n">
        <s:v>11304</s:v>
      </s:c>
      <s:c r="D539" s="6" t="n">
        <s:v>25174</s:v>
      </s:c>
      <s:c r="E539" s="6" t="n">
        <s:v>11465</s:v>
      </s:c>
      <s:c r="F539" s="6" t="n">
        <s:v>11373</s:v>
      </s:c>
      <s:c r="G539" s="6" t="n">
        <s:v>26899</s:v>
      </s:c>
      <s:c r="H539" s="6" t="n">
        <s:v>24267</s:v>
      </s:c>
      <s:c r="I539" s="6" t="n">
        <s:v>5205</s:v>
      </s:c>
      <s:c r="J539" s="6" t="n">
        <s:f>IF(COUNT(C539:I539)=7,SUM(C539:I539),"")</s:f>
        <s:v>115687</s:v>
      </s:c>
    </s:row>
    <s:row r="540">
      <s:c r="A540" s="5" t="n">
        <s:v>46288</s:v>
      </s:c>
      <s:c r="B540" s="2" t="n">
        <s:v>7</s:v>
      </s:c>
      <s:c r="C540" s="6" t="n">
        <s:v>11689</s:v>
      </s:c>
      <s:c r="D540" s="6" t="n">
        <s:v>25875</s:v>
      </s:c>
      <s:c r="E540" s="6" t="n">
        <s:v>12040</s:v>
      </s:c>
      <s:c r="F540" s="6" t="n">
        <s:v>12881</s:v>
      </s:c>
      <s:c r="G540" s="6" t="n">
        <s:v>27444</s:v>
      </s:c>
      <s:c r="H540" s="6" t="n">
        <s:v>24822</s:v>
      </s:c>
      <s:c r="I540" s="6" t="n">
        <s:v>5167</s:v>
      </s:c>
      <s:c r="J540" s="6" t="n">
        <s:f>IF(COUNT(C540:I540)=7,SUM(C540:I540),"")</s:f>
        <s:v>119918</s:v>
      </s:c>
    </s:row>
    <s:row r="541">
      <s:c r="A541" s="5" t="n">
        <s:v>46288</s:v>
      </s:c>
      <s:c r="B541" s="2" t="n">
        <s:v>8</s:v>
      </s:c>
      <s:c r="C541" s="6" t="n">
        <s:v>12602</s:v>
      </s:c>
      <s:c r="D541" s="6" t="n">
        <s:v>27241</s:v>
      </s:c>
      <s:c r="E541" s="6" t="n">
        <s:v>13201</s:v>
      </s:c>
      <s:c r="F541" s="6" t="n">
        <s:v>14047</s:v>
      </s:c>
      <s:c r="G541" s="6" t="n">
        <s:v>27065</s:v>
      </s:c>
      <s:c r="H541" s="6" t="n">
        <s:v>24988</s:v>
      </s:c>
      <s:c r="I541" s="6" t="n">
        <s:v>5102</s:v>
      </s:c>
      <s:c r="J541" s="6" t="n">
        <s:f>IF(COUNT(C541:I541)=7,SUM(C541:I541),"")</s:f>
        <s:v>124246</s:v>
      </s:c>
    </s:row>
    <s:row r="542">
      <s:c r="A542" s="5" t="n">
        <s:v>46288</s:v>
      </s:c>
      <s:c r="B542" s="2" t="n">
        <s:v>9</s:v>
      </s:c>
      <s:c r="C542" s="6" t="n">
        <s:v>12869</s:v>
      </s:c>
      <s:c r="D542" s="6" t="n">
        <s:v>27768</s:v>
      </s:c>
      <s:c r="E542" s="6" t="n">
        <s:v>13595</s:v>
      </s:c>
      <s:c r="F542" s="6" t="n">
        <s:v>13520</s:v>
      </s:c>
      <s:c r="G542" s="6" t="n">
        <s:v>27444</s:v>
      </s:c>
      <s:c r="H542" s="6" t="n">
        <s:v>25006</s:v>
      </s:c>
      <s:c r="I542" s="6" t="n">
        <s:v>5158</s:v>
      </s:c>
      <s:c r="J542" s="6" t="n">
        <s:f>IF(COUNT(C542:I542)=7,SUM(C542:I542),"")</s:f>
        <s:v>125360</s:v>
      </s:c>
    </s:row>
    <s:row r="543">
      <s:c r="A543" s="5" t="n">
        <s:v>46288</s:v>
      </s:c>
      <s:c r="B543" s="2" t="n">
        <s:v>10</s:v>
      </s:c>
      <s:c r="C543" s="6" t="n">
        <s:v>12976</s:v>
      </s:c>
      <s:c r="D543" s="6" t="n">
        <s:v>27896</s:v>
      </s:c>
      <s:c r="E543" s="6" t="n">
        <s:v>13724</s:v>
      </s:c>
      <s:c r="F543" s="6" t="n">
        <s:v>13494</s:v>
      </s:c>
      <s:c r="G543" s="6" t="n">
        <s:v>27477</s:v>
      </s:c>
      <s:c r="H543" s="6" t="n">
        <s:v>24621</s:v>
      </s:c>
      <s:c r="I543" s="6" t="n">
        <s:v>5148</s:v>
      </s:c>
      <s:c r="J543" s="6" t="n">
        <s:f>IF(COUNT(C543:I543)=7,SUM(C543:I543),"")</s:f>
        <s:v>125336</s:v>
      </s:c>
    </s:row>
    <s:row r="544">
      <s:c r="A544" s="5" t="n">
        <s:v>46288</s:v>
      </s:c>
      <s:c r="B544" s="2" t="n">
        <s:v>11</s:v>
      </s:c>
      <s:c r="C544" s="6" t="n">
        <s:v>12832</s:v>
      </s:c>
      <s:c r="D544" s="6" t="n">
        <s:v>27768</s:v>
      </s:c>
      <s:c r="E544" s="6" t="n">
        <s:v>13437</s:v>
      </s:c>
      <s:c r="F544" s="6" t="n">
        <s:v>13513</s:v>
      </s:c>
      <s:c r="G544" s="6" t="n">
        <s:v>27499</s:v>
      </s:c>
      <s:c r="H544" s="6" t="n">
        <s:v>24352</s:v>
      </s:c>
      <s:c r="I544" s="6" t="n">
        <s:v>5352</s:v>
      </s:c>
      <s:c r="J544" s="6" t="n">
        <s:f>IF(COUNT(C544:I544)=7,SUM(C544:I544),"")</s:f>
        <s:v>124753</s:v>
      </s:c>
    </s:row>
    <s:row r="545">
      <s:c r="A545" s="5" t="n">
        <s:v>46288</s:v>
      </s:c>
      <s:c r="B545" s="2" t="n">
        <s:v>12</s:v>
      </s:c>
      <s:c r="C545" s="6" t="n">
        <s:v>12780</s:v>
      </s:c>
      <s:c r="D545" s="6" t="n">
        <s:v>27776</s:v>
      </s:c>
      <s:c r="E545" s="6" t="n">
        <s:v>13365</s:v>
      </s:c>
      <s:c r="F545" s="6" t="n">
        <s:v>13763</s:v>
      </s:c>
      <s:c r="G545" s="6" t="n">
        <s:v>27482</s:v>
      </s:c>
      <s:c r="H545" s="6" t="n">
        <s:v>24460</s:v>
      </s:c>
      <s:c r="I545" s="6" t="n">
        <s:v>5333</s:v>
      </s:c>
      <s:c r="J545" s="6" t="n">
        <s:f>IF(COUNT(C545:I545)=7,SUM(C545:I545),"")</s:f>
        <s:v>124959</s:v>
      </s:c>
    </s:row>
    <s:row r="546">
      <s:c r="A546" s="5" t="n">
        <s:v>46288</s:v>
      </s:c>
      <s:c r="B546" s="2" t="n">
        <s:v>13</s:v>
      </s:c>
      <s:c r="C546" s="6" t="n">
        <s:v>12810</s:v>
      </s:c>
      <s:c r="D546" s="6" t="n">
        <s:v>27637</s:v>
      </s:c>
      <s:c r="E546" s="6" t="n">
        <s:v>13518</s:v>
      </s:c>
      <s:c r="F546" s="6" t="n">
        <s:v>13943</s:v>
      </s:c>
      <s:c r="G546" s="6" t="n">
        <s:v>27526</s:v>
      </s:c>
      <s:c r="H546" s="6" t="n">
        <s:v>24760</s:v>
      </s:c>
      <s:c r="I546" s="6" t="n">
        <s:v>5471</s:v>
      </s:c>
      <s:c r="J546" s="6" t="n">
        <s:f>IF(COUNT(C546:I546)=7,SUM(C546:I546),"")</s:f>
        <s:v>125665</s:v>
      </s:c>
    </s:row>
    <s:row r="547">
      <s:c r="A547" s="5" t="n">
        <s:v>46288</s:v>
      </s:c>
      <s:c r="B547" s="2" t="n">
        <s:v>14</s:v>
      </s:c>
      <s:c r="C547" s="6" t="n">
        <s:v>12569</s:v>
      </s:c>
      <s:c r="D547" s="6" t="n">
        <s:v>28761</s:v>
      </s:c>
      <s:c r="E547" s="6" t="n">
        <s:v>13131</s:v>
      </s:c>
      <s:c r="F547" s="6" t="n">
        <s:v>13369</s:v>
      </s:c>
      <s:c r="G547" s="6" t="n">
        <s:v>27337</s:v>
      </s:c>
      <s:c r="H547" s="6" t="n">
        <s:v>25135</s:v>
      </s:c>
      <s:c r="I547" s="6" t="n">
        <s:v>5310</s:v>
      </s:c>
      <s:c r="J547" s="6" t="n">
        <s:f>IF(COUNT(C547:I547)=7,SUM(C547:I547),"")</s:f>
        <s:v>125612</s:v>
      </s:c>
    </s:row>
    <s:row r="548">
      <s:c r="A548" s="5" t="n">
        <s:v>46288</s:v>
      </s:c>
      <s:c r="B548" s="2" t="n">
        <s:v>15</s:v>
      </s:c>
      <s:c r="C548" s="6" t="n">
        <s:v>12508</s:v>
      </s:c>
      <s:c r="D548" s="6" t="n">
        <s:v>28921</s:v>
      </s:c>
      <s:c r="E548" s="6" t="n">
        <s:v>13325</s:v>
      </s:c>
      <s:c r="F548" s="6" t="n">
        <s:v>13208</s:v>
      </s:c>
      <s:c r="G548" s="6" t="n">
        <s:v>27246</s:v>
      </s:c>
      <s:c r="H548" s="6" t="n">
        <s:v>25155</s:v>
      </s:c>
      <s:c r="I548" s="6" t="n">
        <s:v>5151</s:v>
      </s:c>
      <s:c r="J548" s="6" t="n">
        <s:f>IF(COUNT(C548:I548)=7,SUM(C548:I548),"")</s:f>
        <s:v>125514</s:v>
      </s:c>
    </s:row>
    <s:row r="549">
      <s:c r="A549" s="5" t="n">
        <s:v>46288</s:v>
      </s:c>
      <s:c r="B549" s="2" t="n">
        <s:v>16</s:v>
      </s:c>
      <s:c r="C549" s="6" t="n">
        <s:v>12449</s:v>
      </s:c>
      <s:c r="D549" s="6" t="n">
        <s:v>28620</s:v>
      </s:c>
      <s:c r="E549" s="6" t="n">
        <s:v>12898</s:v>
      </s:c>
      <s:c r="F549" s="6" t="n">
        <s:v>13047</s:v>
      </s:c>
      <s:c r="G549" s="6" t="n">
        <s:v>27640</s:v>
      </s:c>
      <s:c r="H549" s="6" t="n">
        <s:v>24943</s:v>
      </s:c>
      <s:c r="I549" s="6" t="n">
        <s:v>4969</s:v>
      </s:c>
      <s:c r="J549" s="6" t="n">
        <s:f>IF(COUNT(C549:I549)=7,SUM(C549:I549),"")</s:f>
        <s:v>124566</s:v>
      </s:c>
    </s:row>
    <s:row r="550">
      <s:c r="A550" s="5" t="n">
        <s:v>46288</s:v>
      </s:c>
      <s:c r="B550" s="2" t="n">
        <s:v>17</s:v>
      </s:c>
      <s:c r="C550" s="6" t="n">
        <s:v>12430</s:v>
      </s:c>
      <s:c r="D550" s="6" t="n">
        <s:v>28594</s:v>
      </s:c>
      <s:c r="E550" s="6" t="n">
        <s:v>12516</s:v>
      </s:c>
      <s:c r="F550" s="6" t="n">
        <s:v>13244</s:v>
      </s:c>
      <s:c r="G550" s="6" t="n">
        <s:v>28089</s:v>
      </s:c>
      <s:c r="H550" s="6" t="n">
        <s:v>24821</s:v>
      </s:c>
      <s:c r="I550" s="6" t="n">
        <s:v>4723</s:v>
      </s:c>
      <s:c r="J550" s="6" t="n">
        <s:f>IF(COUNT(C550:I550)=7,SUM(C550:I550),"")</s:f>
        <s:v>124417</s:v>
      </s:c>
    </s:row>
    <s:row r="551">
      <s:c r="A551" s="5" t="n">
        <s:v>46288</s:v>
      </s:c>
      <s:c r="B551" s="2" t="n">
        <s:v>18</s:v>
      </s:c>
      <s:c r="C551" s="6" t="n">
        <s:v>12498</s:v>
      </s:c>
      <s:c r="D551" s="6" t="n">
        <s:v>28918</s:v>
      </s:c>
      <s:c r="E551" s="6" t="n">
        <s:v>13181</s:v>
      </s:c>
      <s:c r="F551" s="6" t="n">
        <s:v>13446</s:v>
      </s:c>
      <s:c r="G551" s="6" t="n">
        <s:v>28308</s:v>
      </s:c>
      <s:c r="H551" s="6" t="n">
        <s:v>24238</s:v>
      </s:c>
      <s:c r="I551" s="6" t="n">
        <s:v>4566</s:v>
      </s:c>
      <s:c r="J551" s="6" t="n">
        <s:f>IF(COUNT(C551:I551)=7,SUM(C551:I551),"")</s:f>
        <s:v>125155</s:v>
      </s:c>
    </s:row>
    <s:row r="552">
      <s:c r="A552" s="5" t="n">
        <s:v>46288</s:v>
      </s:c>
      <s:c r="B552" s="2" t="n">
        <s:v>19</s:v>
      </s:c>
      <s:c r="C552" s="6" t="n">
        <s:v>12481</s:v>
      </s:c>
      <s:c r="D552" s="6" t="n">
        <s:v>28314</s:v>
      </s:c>
      <s:c r="E552" s="6" t="n">
        <s:v>13329</s:v>
      </s:c>
      <s:c r="F552" s="6" t="n">
        <s:v>12790</s:v>
      </s:c>
      <s:c r="G552" s="6" t="n">
        <s:v>27270</s:v>
      </s:c>
      <s:c r="H552" s="6" t="n">
        <s:v>23880</s:v>
      </s:c>
      <s:c r="I552" s="6" t="n">
        <s:v>4571</s:v>
      </s:c>
      <s:c r="J552" s="6" t="n">
        <s:f>IF(COUNT(C552:I552)=7,SUM(C552:I552),"")</s:f>
        <s:v>122635</s:v>
      </s:c>
    </s:row>
    <s:row r="553">
      <s:c r="A553" s="5" t="n">
        <s:v>46288</s:v>
      </s:c>
      <s:c r="B553" s="2" t="n">
        <s:v>20</s:v>
      </s:c>
      <s:c r="C553" s="6" t="n">
        <s:v>12518</s:v>
      </s:c>
      <s:c r="D553" s="6" t="n">
        <s:v>27262</s:v>
      </s:c>
      <s:c r="E553" s="6" t="n">
        <s:v>13248</s:v>
      </s:c>
      <s:c r="F553" s="6" t="n">
        <s:v>12062</s:v>
      </s:c>
      <s:c r="G553" s="6" t="n">
        <s:v>26598</s:v>
      </s:c>
      <s:c r="H553" s="6" t="n">
        <s:v>23595</s:v>
      </s:c>
      <s:c r="I553" s="6" t="n">
        <s:v>4581</s:v>
      </s:c>
      <s:c r="J553" s="6" t="n">
        <s:f>IF(COUNT(C553:I553)=7,SUM(C553:I553),"")</s:f>
        <s:v>119864</s:v>
      </s:c>
    </s:row>
    <s:row r="554">
      <s:c r="A554" s="5" t="n">
        <s:v>46288</s:v>
      </s:c>
      <s:c r="B554" s="2" t="n">
        <s:v>21</s:v>
      </s:c>
      <s:c r="C554" s="6" t="n">
        <s:v>12221</s:v>
      </s:c>
      <s:c r="D554" s="6" t="n">
        <s:v>25561</s:v>
      </s:c>
      <s:c r="E554" s="6" t="n">
        <s:v>12762</s:v>
      </s:c>
      <s:c r="F554" s="6" t="n">
        <s:v>12020</s:v>
      </s:c>
      <s:c r="G554" s="6" t="n">
        <s:v>25614</s:v>
      </s:c>
      <s:c r="H554" s="6" t="n">
        <s:v>23526</s:v>
      </s:c>
      <s:c r="I554" s="6" t="n">
        <s:v>4562</s:v>
      </s:c>
      <s:c r="J554" s="6" t="n">
        <s:f>IF(COUNT(C554:I554)=7,SUM(C554:I554),"")</s:f>
        <s:v>116266</s:v>
      </s:c>
    </s:row>
    <s:row r="555">
      <s:c r="A555" s="5" t="n">
        <s:v>46288</s:v>
      </s:c>
      <s:c r="B555" s="2" t="n">
        <s:v>22</s:v>
      </s:c>
      <s:c r="C555" s="6" t="n">
        <s:v>11942</s:v>
      </s:c>
      <s:c r="D555" s="6" t="n">
        <s:v>25348</s:v>
      </s:c>
      <s:c r="E555" s="6" t="n">
        <s:v>11964</s:v>
      </s:c>
      <s:c r="F555" s="6" t="n">
        <s:v>11290</s:v>
      </s:c>
      <s:c r="G555" s="6" t="n">
        <s:v>22817</s:v>
      </s:c>
      <s:c r="H555" s="6" t="n">
        <s:v>23456</s:v>
      </s:c>
      <s:c r="I555" s="6" t="n">
        <s:v>4752</s:v>
      </s:c>
      <s:c r="J555" s="6" t="n">
        <s:f>IF(COUNT(C555:I555)=7,SUM(C555:I555),"")</s:f>
        <s:v>111569</s:v>
      </s:c>
    </s:row>
    <s:row r="556">
      <s:c r="A556" s="5" t="n">
        <s:v>46288</s:v>
      </s:c>
      <s:c r="B556" s="2" t="n">
        <s:v>23</s:v>
      </s:c>
      <s:c r="C556" s="6" t="n">
        <s:v>11533</s:v>
      </s:c>
      <s:c r="D556" s="6" t="n">
        <s:v>22905</s:v>
      </s:c>
      <s:c r="E556" s="6" t="n">
        <s:v>11705</s:v>
      </s:c>
      <s:c r="F556" s="6" t="n">
        <s:v>12028</s:v>
      </s:c>
      <s:c r="G556" s="6" t="n">
        <s:v>22422</s:v>
      </s:c>
      <s:c r="H556" s="6" t="n">
        <s:v>22618</s:v>
      </s:c>
      <s:c r="I556" s="6" t="n">
        <s:v>4976</s:v>
      </s:c>
      <s:c r="J556" s="6" t="n">
        <s:f>IF(COUNT(C556:I556)=7,SUM(C556:I556),"")</s:f>
        <s:v>108187</s:v>
      </s:c>
    </s:row>
    <s:row r="557">
      <s:c r="A557" s="5" t="n">
        <s:v>46289</s:v>
      </s:c>
      <s:c r="B557" s="2" t="n">
        <s:v>0</s:v>
      </s:c>
      <s:c r="C557" s="6" t="n">
        <s:v>11004</s:v>
      </s:c>
      <s:c r="D557" s="6" t="n">
        <s:v>22400</s:v>
      </s:c>
      <s:c r="E557" s="6" t="n">
        <s:v>10957</s:v>
      </s:c>
      <s:c r="F557" s="6" t="n">
        <s:v>11260</s:v>
      </s:c>
      <s:c r="G557" s="6" t="n">
        <s:v>22177</s:v>
      </s:c>
      <s:c r="H557" s="6" t="n">
        <s:v>23084</s:v>
      </s:c>
      <s:c r="I557" s="6" t="n">
        <s:v>5124</s:v>
      </s:c>
      <s:c r="J557" s="6" t="n">
        <s:f>IF(COUNT(C557:I557)=7,SUM(C557:I557),"")</s:f>
        <s:v>106006</s:v>
      </s:c>
    </s:row>
    <s:row r="558">
      <s:c r="A558" s="5" t="n">
        <s:v>46289</s:v>
      </s:c>
      <s:c r="B558" s="2" t="n">
        <s:v>1</s:v>
      </s:c>
      <s:c r="C558" s="6" t="n">
        <s:v>10846</s:v>
      </s:c>
      <s:c r="D558" s="6" t="n">
        <s:v>22354</s:v>
      </s:c>
      <s:c r="E558" s="6" t="n">
        <s:v>10344</s:v>
      </s:c>
      <s:c r="F558" s="6" t="n">
        <s:v>10140</s:v>
      </s:c>
      <s:c r="G558" s="6" t="n">
        <s:v>22280</s:v>
      </s:c>
      <s:c r="H558" s="6" t="n">
        <s:v>23594</s:v>
      </s:c>
      <s:c r="I558" s="6" t="n">
        <s:v>5193</s:v>
      </s:c>
      <s:c r="J558" s="6" t="n">
        <s:f>IF(COUNT(C558:I558)=7,SUM(C558:I558),"")</s:f>
        <s:v>104751</s:v>
      </s:c>
    </s:row>
    <s:row r="559">
      <s:c r="A559" s="5" t="n">
        <s:v>46289</s:v>
      </s:c>
      <s:c r="B559" s="2" t="n">
        <s:v>2</s:v>
      </s:c>
      <s:c r="C559" s="6" t="n">
        <s:v>10730</s:v>
      </s:c>
      <s:c r="D559" s="6" t="n">
        <s:v>22263</s:v>
      </s:c>
      <s:c r="E559" s="6" t="n">
        <s:v>10665</s:v>
      </s:c>
      <s:c r="F559" s="6" t="n">
        <s:v>10394</s:v>
      </s:c>
      <s:c r="G559" s="6" t="n">
        <s:v>21888</s:v>
      </s:c>
      <s:c r="H559" s="6" t="n">
        <s:v>24722</s:v>
      </s:c>
      <s:c r="I559" s="6" t="n">
        <s:v>5351</s:v>
      </s:c>
      <s:c r="J559" s="6" t="n">
        <s:f>IF(COUNT(C559:I559)=7,SUM(C559:I559),"")</s:f>
        <s:v>106013</s:v>
      </s:c>
    </s:row>
    <s:row r="560">
      <s:c r="A560" s="5" t="n">
        <s:v>46289</s:v>
      </s:c>
      <s:c r="B560" s="2" t="n">
        <s:v>3</s:v>
      </s:c>
      <s:c r="C560" s="6" t="n">
        <s:v>10747</s:v>
      </s:c>
      <s:c r="D560" s="6" t="n">
        <s:v>22125</s:v>
      </s:c>
      <s:c r="E560" s="6" t="n">
        <s:v>10383</s:v>
      </s:c>
      <s:c r="F560" s="6" t="n">
        <s:v>10420</s:v>
      </s:c>
      <s:c r="G560" s="6" t="n">
        <s:v>22458</s:v>
      </s:c>
      <s:c r="H560" s="6" t="n">
        <s:v>24867</s:v>
      </s:c>
      <s:c r="I560" s="6" t="n">
        <s:v>5193</s:v>
      </s:c>
      <s:c r="J560" s="6" t="n">
        <s:f>IF(COUNT(C560:I560)=7,SUM(C560:I560),"")</s:f>
        <s:v>106193</s:v>
      </s:c>
    </s:row>
    <s:row r="561">
      <s:c r="A561" s="5" t="n">
        <s:v>46289</s:v>
      </s:c>
      <s:c r="B561" s="2" t="n">
        <s:v>4</s:v>
      </s:c>
      <s:c r="C561" s="6" t="n">
        <s:v>10778</s:v>
      </s:c>
      <s:c r="D561" s="6" t="n">
        <s:v>22376</s:v>
      </s:c>
      <s:c r="E561" s="6" t="n">
        <s:v>10399</s:v>
      </s:c>
      <s:c r="F561" s="6" t="n">
        <s:v>11228</s:v>
      </s:c>
      <s:c r="G561" s="6" t="n">
        <s:v>24053</s:v>
      </s:c>
      <s:c r="H561" s="6" t="n">
        <s:v>25206</s:v>
      </s:c>
      <s:c r="I561" s="6" t="n">
        <s:v>5209</s:v>
      </s:c>
      <s:c r="J561" s="6" t="n">
        <s:f>IF(COUNT(C561:I561)=7,SUM(C561:I561),"")</s:f>
        <s:v>109249</s:v>
      </s:c>
    </s:row>
    <s:row r="562">
      <s:c r="A562" s="5" t="n">
        <s:v>46289</s:v>
      </s:c>
      <s:c r="B562" s="2" t="n">
        <s:v>5</s:v>
      </s:c>
      <s:c r="C562" s="6" t="n">
        <s:v>11002</s:v>
      </s:c>
      <s:c r="D562" s="6" t="n">
        <s:v>22890</s:v>
      </s:c>
      <s:c r="E562" s="6" t="n">
        <s:v>10465</s:v>
      </s:c>
      <s:c r="F562" s="6" t="n">
        <s:v>11296</s:v>
      </s:c>
      <s:c r="G562" s="6" t="n">
        <s:v>26572</s:v>
      </s:c>
      <s:c r="H562" s="6" t="n">
        <s:v>25061</s:v>
      </s:c>
      <s:c r="I562" s="6" t="n">
        <s:v>5236</s:v>
      </s:c>
      <s:c r="J562" s="6" t="n">
        <s:f>IF(COUNT(C562:I562)=7,SUM(C562:I562),"")</s:f>
        <s:v>112522</s:v>
      </s:c>
    </s:row>
    <s:row r="563">
      <s:c r="A563" s="5" t="n">
        <s:v>46289</s:v>
      </s:c>
      <s:c r="B563" s="2" t="n">
        <s:v>6</s:v>
      </s:c>
      <s:c r="C563" s="6" t="n">
        <s:v>11348</s:v>
      </s:c>
      <s:c r="D563" s="6" t="n">
        <s:v>24623</s:v>
      </s:c>
      <s:c r="E563" s="6" t="n">
        <s:v>10979</s:v>
      </s:c>
      <s:c r="F563" s="6" t="n">
        <s:v>11555</s:v>
      </s:c>
      <s:c r="G563" s="6" t="n">
        <s:v>27744</s:v>
      </s:c>
      <s:c r="H563" s="6" t="n">
        <s:v>24686</s:v>
      </s:c>
      <s:c r="I563" s="6" t="n">
        <s:v>5182</s:v>
      </s:c>
      <s:c r="J563" s="6" t="n">
        <s:f>IF(COUNT(C563:I563)=7,SUM(C563:I563),"")</s:f>
        <s:v>116117</s:v>
      </s:c>
    </s:row>
    <s:row r="564">
      <s:c r="A564" s="5" t="n">
        <s:v>46289</s:v>
      </s:c>
      <s:c r="B564" s="2" t="n">
        <s:v>7</s:v>
      </s:c>
      <s:c r="C564" s="6" t="n">
        <s:v>11572</s:v>
      </s:c>
      <s:c r="D564" s="6" t="n">
        <s:v>26173</s:v>
      </s:c>
      <s:c r="E564" s="6" t="n">
        <s:v>11908</s:v>
      </s:c>
      <s:c r="F564" s="6" t="n">
        <s:v>12724</s:v>
      </s:c>
      <s:c r="G564" s="6" t="n">
        <s:v>27796</s:v>
      </s:c>
      <s:c r="H564" s="6" t="n">
        <s:v>24766</s:v>
      </s:c>
      <s:c r="I564" s="6" t="n">
        <s:v>5193</s:v>
      </s:c>
      <s:c r="J564" s="6" t="n">
        <s:f>IF(COUNT(C564:I564)=7,SUM(C564:I564),"")</s:f>
        <s:v>120132</s:v>
      </s:c>
    </s:row>
    <s:row r="565">
      <s:c r="A565" s="5" t="n">
        <s:v>46289</s:v>
      </s:c>
      <s:c r="B565" s="2" t="n">
        <s:v>8</s:v>
      </s:c>
      <s:c r="C565" s="6" t="n">
        <s:v>11027</s:v>
      </s:c>
      <s:c r="D565" s="6" t="n">
        <s:v>27363</s:v>
      </s:c>
      <s:c r="E565" s="6" t="n">
        <s:v>13135</s:v>
      </s:c>
      <s:c r="F565" s="6" t="n">
        <s:v>13915</s:v>
      </s:c>
      <s:c r="G565" s="6" t="n">
        <s:v>28376</s:v>
      </s:c>
      <s:c r="H565" s="6" t="n">
        <s:v>25111</s:v>
      </s:c>
      <s:c r="I565" s="6" t="n">
        <s:v>5132</s:v>
      </s:c>
      <s:c r="J565" s="6" t="n">
        <s:f>IF(COUNT(C565:I565)=7,SUM(C565:I565),"")</s:f>
        <s:v>124059</s:v>
      </s:c>
    </s:row>
    <s:row r="566">
      <s:c r="A566" s="5" t="n">
        <s:v>46289</s:v>
      </s:c>
      <s:c r="B566" s="2" t="n">
        <s:v>9</s:v>
      </s:c>
      <s:c r="C566" s="6" t="n">
        <s:v>11452</s:v>
      </s:c>
      <s:c r="D566" s="6" t="n">
        <s:v>28615</s:v>
      </s:c>
      <s:c r="E566" s="6" t="n">
        <s:v>13035</s:v>
      </s:c>
      <s:c r="F566" s="6" t="n">
        <s:v>13631</s:v>
      </s:c>
      <s:c r="G566" s="6" t="n">
        <s:v>27995</s:v>
      </s:c>
      <s:c r="H566" s="6" t="n">
        <s:v>25243</s:v>
      </s:c>
      <s:c r="I566" s="6" t="n">
        <s:v>5103</s:v>
      </s:c>
      <s:c r="J566" s="6" t="n">
        <s:f>IF(COUNT(C566:I566)=7,SUM(C566:I566),"")</s:f>
        <s:v>125074</s:v>
      </s:c>
    </s:row>
    <s:row r="567">
      <s:c r="A567" s="5" t="n">
        <s:v>46289</s:v>
      </s:c>
      <s:c r="B567" s="2" t="n">
        <s:v>10</s:v>
      </s:c>
      <s:c r="C567" s="6" t="n">
        <s:v>12118</s:v>
      </s:c>
      <s:c r="D567" s="6" t="n">
        <s:v>28169</s:v>
      </s:c>
      <s:c r="E567" s="6" t="n">
        <s:v>12870</s:v>
      </s:c>
      <s:c r="F567" s="6" t="n">
        <s:v>13125</s:v>
      </s:c>
      <s:c r="G567" s="6" t="n">
        <s:v>28240</s:v>
      </s:c>
      <s:c r="H567" s="6" t="n">
        <s:v>25135</s:v>
      </s:c>
      <s:c r="I567" s="6" t="n">
        <s:v>5144</s:v>
      </s:c>
      <s:c r="J567" s="6" t="n">
        <s:f>IF(COUNT(C567:I567)=7,SUM(C567:I567),"")</s:f>
        <s:v>124801</s:v>
      </s:c>
    </s:row>
    <s:row r="568">
      <s:c r="A568" s="5" t="n">
        <s:v>46289</s:v>
      </s:c>
      <s:c r="B568" s="2" t="n">
        <s:v>11</s:v>
      </s:c>
      <s:c r="C568" s="6" t="n">
        <s:v>12214</s:v>
      </s:c>
      <s:c r="D568" s="6" t="n">
        <s:v>27605</s:v>
      </s:c>
      <s:c r="E568" s="6" t="n">
        <s:v>13342</s:v>
      </s:c>
      <s:c r="F568" s="6" t="n">
        <s:v>13356</s:v>
      </s:c>
      <s:c r="G568" s="6" t="n">
        <s:v>28086</s:v>
      </s:c>
      <s:c r="H568" s="6" t="n">
        <s:v>24557</s:v>
      </s:c>
      <s:c r="I568" s="6" t="n">
        <s:v>5241</s:v>
      </s:c>
      <s:c r="J568" s="6" t="n">
        <s:f>IF(COUNT(C568:I568)=7,SUM(C568:I568),"")</s:f>
        <s:v>124401</s:v>
      </s:c>
    </s:row>
    <s:row r="569">
      <s:c r="A569" s="5" t="n">
        <s:v>46289</s:v>
      </s:c>
      <s:c r="B569" s="2" t="n">
        <s:v>12</s:v>
      </s:c>
      <s:c r="C569" s="6" t="n">
        <s:v>12138</s:v>
      </s:c>
      <s:c r="D569" s="6" t="n">
        <s:v>27602</s:v>
      </s:c>
      <s:c r="E569" s="6" t="n">
        <s:v>13368</s:v>
      </s:c>
      <s:c r="F569" s="6" t="n">
        <s:v>13495</s:v>
      </s:c>
      <s:c r="G569" s="6" t="n">
        <s:v>28035</s:v>
      </s:c>
      <s:c r="H569" s="6" t="n">
        <s:v>24627</s:v>
      </s:c>
      <s:c r="I569" s="6" t="n">
        <s:v>5408</s:v>
      </s:c>
      <s:c r="J569" s="6" t="n">
        <s:f>IF(COUNT(C569:I569)=7,SUM(C569:I569),"")</s:f>
        <s:v>124673</s:v>
      </s:c>
    </s:row>
    <s:row r="570">
      <s:c r="A570" s="5" t="n">
        <s:v>46289</s:v>
      </s:c>
      <s:c r="B570" s="2" t="n">
        <s:v>13</s:v>
      </s:c>
      <s:c r="C570" s="6" t="n">
        <s:v>12156</s:v>
      </s:c>
      <s:c r="D570" s="6" t="n">
        <s:v>27996</s:v>
      </s:c>
      <s:c r="E570" s="6" t="n">
        <s:v>13370</s:v>
      </s:c>
      <s:c r="F570" s="6" t="n">
        <s:v>13380</s:v>
      </s:c>
      <s:c r="G570" s="6" t="n">
        <s:v>27833</s:v>
      </s:c>
      <s:c r="H570" s="6" t="n">
        <s:v>24967</s:v>
      </s:c>
      <s:c r="I570" s="6" t="n">
        <s:v>5410</s:v>
      </s:c>
      <s:c r="J570" s="6" t="n">
        <s:f>IF(COUNT(C570:I570)=7,SUM(C570:I570),"")</s:f>
        <s:v>125112</s:v>
      </s:c>
    </s:row>
    <s:row r="571">
      <s:c r="A571" s="5" t="n">
        <s:v>46289</s:v>
      </s:c>
      <s:c r="B571" s="2" t="n">
        <s:v>14</s:v>
      </s:c>
      <s:c r="C571" s="6" t="n">
        <s:v>12167</s:v>
      </s:c>
      <s:c r="D571" s="6" t="n">
        <s:v>28398</s:v>
      </s:c>
      <s:c r="E571" s="6" t="n">
        <s:v>13221</s:v>
      </s:c>
      <s:c r="F571" s="6" t="n">
        <s:v>13193</s:v>
      </s:c>
      <s:c r="G571" s="6" t="n">
        <s:v>27989</s:v>
      </s:c>
      <s:c r="H571" s="6" t="n">
        <s:v>25241</s:v>
      </s:c>
      <s:c r="I571" s="6" t="n">
        <s:v>5286</s:v>
      </s:c>
      <s:c r="J571" s="6" t="n">
        <s:f>IF(COUNT(C571:I571)=7,SUM(C571:I571),"")</s:f>
        <s:v>125495</s:v>
      </s:c>
    </s:row>
    <s:row r="572">
      <s:c r="A572" s="5" t="n">
        <s:v>46289</s:v>
      </s:c>
      <s:c r="B572" s="2" t="n">
        <s:v>15</s:v>
      </s:c>
      <s:c r="C572" s="6" t="n">
        <s:v>12236</s:v>
      </s:c>
      <s:c r="D572" s="6" t="n">
        <s:v>27909</s:v>
      </s:c>
      <s:c r="E572" s="6" t="n">
        <s:v>13482</s:v>
      </s:c>
      <s:c r="F572" s="6" t="n">
        <s:v>13652</s:v>
      </s:c>
      <s:c r="G572" s="6" t="n">
        <s:v>28054</s:v>
      </s:c>
      <s:c r="H572" s="6" t="n">
        <s:v>25554</s:v>
      </s:c>
      <s:c r="I572" s="6" t="n">
        <s:v>5010</s:v>
      </s:c>
      <s:c r="J572" s="6" t="n">
        <s:f>IF(COUNT(C572:I572)=7,SUM(C572:I572),"")</s:f>
        <s:v>125897</s:v>
      </s:c>
    </s:row>
    <s:row r="573">
      <s:c r="A573" s="5" t="n">
        <s:v>46289</s:v>
      </s:c>
      <s:c r="B573" s="2" t="n">
        <s:v>16</s:v>
      </s:c>
      <s:c r="C573" s="6" t="n">
        <s:v>12087</s:v>
      </s:c>
      <s:c r="D573" s="6" t="n">
        <s:v>27964</s:v>
      </s:c>
      <s:c r="E573" s="6" t="n">
        <s:v>13184</s:v>
      </s:c>
      <s:c r="F573" s="6" t="n">
        <s:v>13084</s:v>
      </s:c>
      <s:c r="G573" s="6" t="n">
        <s:v>27971</s:v>
      </s:c>
      <s:c r="H573" s="6" t="n">
        <s:v>25209</s:v>
      </s:c>
      <s:c r="I573" s="6" t="n">
        <s:v>4931</s:v>
      </s:c>
      <s:c r="J573" s="6" t="n">
        <s:f>IF(COUNT(C573:I573)=7,SUM(C573:I573),"")</s:f>
        <s:v>124430</s:v>
      </s:c>
    </s:row>
    <s:row r="574">
      <s:c r="A574" s="5" t="n">
        <s:v>46289</s:v>
      </s:c>
      <s:c r="B574" s="2" t="n">
        <s:v>17</s:v>
      </s:c>
      <s:c r="C574" s="6" t="n">
        <s:v>12316</s:v>
      </s:c>
      <s:c r="D574" s="6" t="n">
        <s:v>27948</s:v>
      </s:c>
      <s:c r="E574" s="6" t="n">
        <s:v>13474</s:v>
      </s:c>
      <s:c r="F574" s="6" t="n">
        <s:v>13615</s:v>
      </s:c>
      <s:c r="G574" s="6" t="n">
        <s:v>27925</s:v>
      </s:c>
      <s:c r="H574" s="6" t="n">
        <s:v>25360</s:v>
      </s:c>
      <s:c r="I574" s="6" t="n">
        <s:v>4599</s:v>
      </s:c>
      <s:c r="J574" s="6" t="n">
        <s:f>IF(COUNT(C574:I574)=7,SUM(C574:I574),"")</s:f>
        <s:v>125237</s:v>
      </s:c>
    </s:row>
    <s:row r="575">
      <s:c r="A575" s="5" t="n">
        <s:v>46289</s:v>
      </s:c>
      <s:c r="B575" s="2" t="n">
        <s:v>18</s:v>
      </s:c>
      <s:c r="C575" s="6" t="n">
        <s:v>12199</s:v>
      </s:c>
      <s:c r="D575" s="6" t="n">
        <s:v>28796</s:v>
      </s:c>
      <s:c r="E575" s="6" t="n">
        <s:v>13983</s:v>
      </s:c>
      <s:c r="F575" s="6" t="n">
        <s:v>13514</s:v>
      </s:c>
      <s:c r="G575" s="6" t="n">
        <s:v>27912</s:v>
      </s:c>
      <s:c r="H575" s="6" t="n">
        <s:v>24566</s:v>
      </s:c>
      <s:c r="I575" s="6" t="n">
        <s:v>4559</s:v>
      </s:c>
      <s:c r="J575" s="6" t="n">
        <s:f>IF(COUNT(C575:I575)=7,SUM(C575:I575),"")</s:f>
        <s:v>125529</s:v>
      </s:c>
    </s:row>
    <s:row r="576">
      <s:c r="A576" s="5" t="n">
        <s:v>46289</s:v>
      </s:c>
      <s:c r="B576" s="2" t="n">
        <s:v>19</s:v>
      </s:c>
      <s:c r="C576" s="6" t="n">
        <s:v>12265</s:v>
      </s:c>
      <s:c r="D576" s="6" t="n">
        <s:v>28023</s:v>
      </s:c>
      <s:c r="E576" s="6" t="n">
        <s:v>13357</s:v>
      </s:c>
      <s:c r="F576" s="6" t="n">
        <s:v>13074</s:v>
      </s:c>
      <s:c r="G576" s="6" t="n">
        <s:v>28128</s:v>
      </s:c>
      <s:c r="H576" s="6" t="n">
        <s:v>23769</s:v>
      </s:c>
      <s:c r="I576" s="6" t="n">
        <s:v>4568</s:v>
      </s:c>
      <s:c r="J576" s="6" t="n">
        <s:f>IF(COUNT(C576:I576)=7,SUM(C576:I576),"")</s:f>
        <s:v>123184</s:v>
      </s:c>
    </s:row>
    <s:row r="577">
      <s:c r="A577" s="5" t="n">
        <s:v>46289</s:v>
      </s:c>
      <s:c r="B577" s="2" t="n">
        <s:v>20</s:v>
      </s:c>
      <s:c r="C577" s="6" t="n">
        <s:v>12310</s:v>
      </s:c>
      <s:c r="D577" s="6" t="n">
        <s:v>26411</s:v>
      </s:c>
      <s:c r="E577" s="6" t="n">
        <s:v>13206</s:v>
      </s:c>
      <s:c r="F577" s="6" t="n">
        <s:v>12730</s:v>
      </s:c>
      <s:c r="G577" s="6" t="n">
        <s:v>27202</s:v>
      </s:c>
      <s:c r="H577" s="6" t="n">
        <s:v>23894</s:v>
      </s:c>
      <s:c r="I577" s="6" t="n">
        <s:v>4544</s:v>
      </s:c>
      <s:c r="J577" s="6" t="n">
        <s:f>IF(COUNT(C577:I577)=7,SUM(C577:I577),"")</s:f>
        <s:v>120297</s:v>
      </s:c>
    </s:row>
    <s:row r="578">
      <s:c r="A578" s="5" t="n">
        <s:v>46289</s:v>
      </s:c>
      <s:c r="B578" s="2" t="n">
        <s:v>21</s:v>
      </s:c>
      <s:c r="C578" s="6" t="n">
        <s:v>11958</s:v>
      </s:c>
      <s:c r="D578" s="6" t="n">
        <s:v>25791</s:v>
      </s:c>
      <s:c r="E578" s="6" t="n">
        <s:v>12617</s:v>
      </s:c>
      <s:c r="F578" s="6" t="n">
        <s:v>12084</s:v>
      </s:c>
      <s:c r="G578" s="6" t="n">
        <s:v>26708</s:v>
      </s:c>
      <s:c r="H578" s="6" t="n">
        <s:v>23626</s:v>
      </s:c>
      <s:c r="I578" s="6" t="n">
        <s:v>4527</s:v>
      </s:c>
      <s:c r="J578" s="6" t="n">
        <s:f>IF(COUNT(C578:I578)=7,SUM(C578:I578),"")</s:f>
        <s:v>117311</s:v>
      </s:c>
    </s:row>
    <s:row r="579">
      <s:c r="A579" s="5" t="n">
        <s:v>46289</s:v>
      </s:c>
      <s:c r="B579" s="2" t="n">
        <s:v>22</s:v>
      </s:c>
      <s:c r="C579" s="6" t="n">
        <s:v>11940</s:v>
      </s:c>
      <s:c r="D579" s="6" t="n">
        <s:v>23737</s:v>
      </s:c>
      <s:c r="E579" s="6" t="n">
        <s:v>11538</s:v>
      </s:c>
      <s:c r="F579" s="6" t="n">
        <s:v>11606</s:v>
      </s:c>
      <s:c r="G579" s="6" t="n">
        <s:v>25160</s:v>
      </s:c>
      <s:c r="H579" s="6" t="n">
        <s:v>23666</s:v>
      </s:c>
      <s:c r="I579" s="6" t="n">
        <s:v>4697</s:v>
      </s:c>
      <s:c r="J579" s="6" t="n">
        <s:f>IF(COUNT(C579:I579)=7,SUM(C579:I579),"")</s:f>
        <s:v>112344</s:v>
      </s:c>
    </s:row>
    <s:row r="580">
      <s:c r="A580" s="5" t="n">
        <s:v>46289</s:v>
      </s:c>
      <s:c r="B580" s="2" t="n">
        <s:v>23</s:v>
      </s:c>
      <s:c r="C580" s="6" t="n">
        <s:v>10980</s:v>
      </s:c>
      <s:c r="D580" s="6" t="n">
        <s:v>22225</s:v>
      </s:c>
      <s:c r="E580" s="6" t="n">
        <s:v>10913</s:v>
      </s:c>
      <s:c r="F580" s="6" t="n">
        <s:v>11832</s:v>
      </s:c>
      <s:c r="G580" s="6" t="n">
        <s:v>24635</s:v>
      </s:c>
      <s:c r="H580" s="6" t="n">
        <s:v>23738</s:v>
      </s:c>
      <s:c r="I580" s="6" t="n">
        <s:v>4934</s:v>
      </s:c>
      <s:c r="J580" s="6" t="n">
        <s:f>IF(COUNT(C580:I580)=7,SUM(C580:I580),"")</s:f>
        <s:v>109257</s:v>
      </s:c>
    </s:row>
    <s:row r="581">
      <s:c r="A581" s="5" t="n">
        <s:v>46290</s:v>
      </s:c>
      <s:c r="B581" s="2" t="n">
        <s:v>0</s:v>
      </s:c>
      <s:c r="C581" s="6" t="n">
        <s:v>10559</s:v>
      </s:c>
      <s:c r="D581" s="6" t="n">
        <s:v>21820</s:v>
      </s:c>
      <s:c r="E581" s="6" t="n">
        <s:v>10397</s:v>
      </s:c>
      <s:c r="F581" s="6" t="n">
        <s:v>10233</s:v>
      </s:c>
      <s:c r="G581" s="6" t="n">
        <s:v>24652</s:v>
      </s:c>
      <s:c r="H581" s="6" t="n">
        <s:v>23259</s:v>
      </s:c>
      <s:c r="I581" s="6" t="n">
        <s:v>5124</s:v>
      </s:c>
      <s:c r="J581" s="6" t="n">
        <s:f>IF(COUNT(C581:I581)=7,SUM(C581:I581),"")</s:f>
        <s:v>106044</s:v>
      </s:c>
    </s:row>
    <s:row r="582">
      <s:c r="A582" s="5" t="n">
        <s:v>46290</s:v>
      </s:c>
      <s:c r="B582" s="2" t="n">
        <s:v>1</s:v>
      </s:c>
      <s:c r="C582" s="6" t="n">
        <s:v>10669</s:v>
      </s:c>
      <s:c r="D582" s="6" t="n">
        <s:v>21563</s:v>
      </s:c>
      <s:c r="E582" s="6" t="n">
        <s:v>10256</s:v>
      </s:c>
      <s:c r="F582" s="6" t="n">
        <s:v>9853</s:v>
      </s:c>
      <s:c r="G582" s="6" t="n">
        <s:v>24331</s:v>
      </s:c>
      <s:c r="H582" s="6" t="n">
        <s:v>23649</s:v>
      </s:c>
      <s:c r="I582" s="6" t="n">
        <s:v>5258</s:v>
      </s:c>
      <s:c r="J582" s="6" t="n">
        <s:f>IF(COUNT(C582:I582)=7,SUM(C582:I582),"")</s:f>
        <s:v>105579</s:v>
      </s:c>
    </s:row>
    <s:row r="583">
      <s:c r="A583" s="5" t="n">
        <s:v>46290</s:v>
      </s:c>
      <s:c r="B583" s="2" t="n">
        <s:v>2</s:v>
      </s:c>
      <s:c r="C583" s="6" t="n">
        <s:v>10664</s:v>
      </s:c>
      <s:c r="D583" s="6" t="n">
        <s:v>20903</s:v>
      </s:c>
      <s:c r="E583" s="6" t="n">
        <s:v>10343</s:v>
      </s:c>
      <s:c r="F583" s="6" t="n">
        <s:v>10080</s:v>
      </s:c>
      <s:c r="G583" s="6" t="n">
        <s:v>24593</s:v>
      </s:c>
      <s:c r="H583" s="6" t="n">
        <s:v>24632</s:v>
      </s:c>
      <s:c r="I583" s="6" t="n">
        <s:v>5266</s:v>
      </s:c>
      <s:c r="J583" s="6" t="n">
        <s:f>IF(COUNT(C583:I583)=7,SUM(C583:I583),"")</s:f>
        <s:v>106481</s:v>
      </s:c>
    </s:row>
    <s:row r="584">
      <s:c r="A584" s="5" t="n">
        <s:v>46290</s:v>
      </s:c>
      <s:c r="B584" s="2" t="n">
        <s:v>3</s:v>
      </s:c>
      <s:c r="C584" s="6" t="n">
        <s:v>10622</s:v>
      </s:c>
      <s:c r="D584" s="6" t="n">
        <s:v>20785</s:v>
      </s:c>
      <s:c r="E584" s="6" t="n">
        <s:v>10376</s:v>
      </s:c>
      <s:c r="F584" s="6" t="n">
        <s:v>10099</s:v>
      </s:c>
      <s:c r="G584" s="6" t="n">
        <s:v>24119</s:v>
      </s:c>
      <s:c r="H584" s="6" t="n">
        <s:v>24258</s:v>
      </s:c>
      <s:c r="I584" s="6" t="n">
        <s:v>5182</s:v>
      </s:c>
      <s:c r="J584" s="6" t="n">
        <s:f>IF(COUNT(C584:I584)=7,SUM(C584:I584),"")</s:f>
        <s:v>105441</s:v>
      </s:c>
    </s:row>
    <s:row r="585">
      <s:c r="A585" s="5" t="n">
        <s:v>46290</s:v>
      </s:c>
      <s:c r="B585" s="2" t="n">
        <s:v>4</s:v>
      </s:c>
      <s:c r="C585" s="6" t="n">
        <s:v>10637</s:v>
      </s:c>
      <s:c r="D585" s="6" t="n">
        <s:v>20876</s:v>
      </s:c>
      <s:c r="E585" s="6" t="n">
        <s:v>10459</s:v>
      </s:c>
      <s:c r="F585" s="6" t="n">
        <s:v>11158</s:v>
      </s:c>
      <s:c r="G585" s="6" t="n">
        <s:v>25940</s:v>
      </s:c>
      <s:c r="H585" s="6" t="n">
        <s:v>25193</s:v>
      </s:c>
      <s:c r="I585" s="6" t="n">
        <s:v>5136</s:v>
      </s:c>
      <s:c r="J585" s="6" t="n">
        <s:f>IF(COUNT(C585:I585)=7,SUM(C585:I585),"")</s:f>
        <s:v>109399</s:v>
      </s:c>
    </s:row>
    <s:row r="586">
      <s:c r="A586" s="5" t="n">
        <s:v>46290</s:v>
      </s:c>
      <s:c r="B586" s="2" t="n">
        <s:v>5</s:v>
      </s:c>
      <s:c r="C586" s="6" t="n">
        <s:v>10882</s:v>
      </s:c>
      <s:c r="D586" s="6" t="n">
        <s:v>21835</s:v>
      </s:c>
      <s:c r="E586" s="6" t="n">
        <s:v>11009</s:v>
      </s:c>
      <s:c r="F586" s="6" t="n">
        <s:v>11691</s:v>
      </s:c>
      <s:c r="G586" s="6" t="n">
        <s:v>26913</s:v>
      </s:c>
      <s:c r="H586" s="6" t="n">
        <s:v>25550</s:v>
      </s:c>
      <s:c r="I586" s="6" t="n">
        <s:v>5055</s:v>
      </s:c>
      <s:c r="J586" s="6" t="n">
        <s:f>IF(COUNT(C586:I586)=7,SUM(C586:I586),"")</s:f>
        <s:v>112935</s:v>
      </s:c>
    </s:row>
    <s:row r="587">
      <s:c r="A587" s="5" t="n">
        <s:v>46290</s:v>
      </s:c>
      <s:c r="B587" s="2" t="n">
        <s:v>6</s:v>
      </s:c>
      <s:c r="C587" s="6" t="n">
        <s:v>11352</s:v>
      </s:c>
      <s:c r="D587" s="6" t="n">
        <s:v>24308</s:v>
      </s:c>
      <s:c r="E587" s="6" t="n">
        <s:v>11087</s:v>
      </s:c>
      <s:c r="F587" s="6" t="n">
        <s:v>12190</s:v>
      </s:c>
      <s:c r="G587" s="6" t="n">
        <s:v>27911</s:v>
      </s:c>
      <s:c r="H587" s="6" t="n">
        <s:v>24848</s:v>
      </s:c>
      <s:c r="I587" s="6" t="n">
        <s:v>5035</s:v>
      </s:c>
      <s:c r="J587" s="6" t="n">
        <s:f>IF(COUNT(C587:I587)=7,SUM(C587:I587),"")</s:f>
        <s:v>116731</s:v>
      </s:c>
    </s:row>
    <s:row r="588">
      <s:c r="A588" s="5" t="n">
        <s:v>46290</s:v>
      </s:c>
      <s:c r="B588" s="2" t="n">
        <s:v>7</s:v>
      </s:c>
      <s:c r="C588" s="6" t="n">
        <s:v>11789</s:v>
      </s:c>
      <s:c r="D588" s="6" t="n">
        <s:v>25668</s:v>
      </s:c>
      <s:c r="E588" s="6" t="n">
        <s:v>12118</s:v>
      </s:c>
      <s:c r="F588" s="6" t="n">
        <s:v>12892</s:v>
      </s:c>
      <s:c r="G588" s="6" t="n">
        <s:v>28709</s:v>
      </s:c>
      <s:c r="H588" s="6" t="n">
        <s:v>24484</s:v>
      </s:c>
      <s:c r="I588" s="6" t="n">
        <s:v>5161</s:v>
      </s:c>
      <s:c r="J588" s="6" t="n">
        <s:f>IF(COUNT(C588:I588)=7,SUM(C588:I588),"")</s:f>
        <s:v>120821</s:v>
      </s:c>
    </s:row>
    <s:row r="589">
      <s:c r="A589" s="5" t="n">
        <s:v>46290</s:v>
      </s:c>
      <s:c r="B589" s="2" t="n">
        <s:v>8</s:v>
      </s:c>
      <s:c r="C589" s="6" t="n">
        <s:v>12146</s:v>
      </s:c>
      <s:c r="D589" s="6" t="n">
        <s:v>26768</s:v>
      </s:c>
      <s:c r="E589" s="6" t="n">
        <s:v>12770</s:v>
      </s:c>
      <s:c r="F589" s="6" t="n">
        <s:v>13771</s:v>
      </s:c>
      <s:c r="G589" s="6" t="n">
        <s:v>28611</s:v>
      </s:c>
      <s:c r="H589" s="6" t="n">
        <s:v>25127</s:v>
      </s:c>
      <s:c r="I589" s="6" t="n">
        <s:v>5122</s:v>
      </s:c>
      <s:c r="J589" s="6" t="n">
        <s:f>IF(COUNT(C589:I589)=7,SUM(C589:I589),"")</s:f>
        <s:v>124315</s:v>
      </s:c>
    </s:row>
    <s:row r="590">
      <s:c r="A590" s="5" t="n">
        <s:v>46290</s:v>
      </s:c>
      <s:c r="B590" s="2" t="n">
        <s:v>9</s:v>
      </s:c>
      <s:c r="C590" s="6" t="n">
        <s:v>12421</s:v>
      </s:c>
      <s:c r="D590" s="6" t="n">
        <s:v>27347</s:v>
      </s:c>
      <s:c r="E590" s="6" t="n">
        <s:v>12917</s:v>
      </s:c>
      <s:c r="F590" s="6" t="n">
        <s:v>13642</s:v>
      </s:c>
      <s:c r="G590" s="6" t="n">
        <s:v>28789</s:v>
      </s:c>
      <s:c r="H590" s="6" t="n">
        <s:v>25231</s:v>
      </s:c>
      <s:c r="I590" s="6" t="n">
        <s:v>5133</s:v>
      </s:c>
      <s:c r="J590" s="6" t="n">
        <s:f>IF(COUNT(C590:I590)=7,SUM(C590:I590),"")</s:f>
        <s:v>125480</s:v>
      </s:c>
    </s:row>
    <s:row r="591">
      <s:c r="A591" s="5" t="n">
        <s:v>46290</s:v>
      </s:c>
      <s:c r="B591" s="2" t="n">
        <s:v>10</s:v>
      </s:c>
      <s:c r="C591" s="6" t="n">
        <s:v>12523</s:v>
      </s:c>
      <s:c r="D591" s="6" t="n">
        <s:v>27299</s:v>
      </s:c>
      <s:c r="E591" s="6" t="n">
        <s:v>12949</s:v>
      </s:c>
      <s:c r="F591" s="6" t="n">
        <s:v>13606</s:v>
      </s:c>
      <s:c r="G591" s="6" t="n">
        <s:v>28703</s:v>
      </s:c>
      <s:c r="H591" s="6" t="n">
        <s:v>25254</s:v>
      </s:c>
      <s:c r="I591" s="6" t="n">
        <s:v>4921</s:v>
      </s:c>
      <s:c r="J591" s="6" t="n">
        <s:f>IF(COUNT(C591:I591)=7,SUM(C591:I591),"")</s:f>
        <s:v>125255</s:v>
      </s:c>
    </s:row>
    <s:row r="592">
      <s:c r="A592" s="5" t="n">
        <s:v>46290</s:v>
      </s:c>
      <s:c r="B592" s="2" t="n">
        <s:v>11</s:v>
      </s:c>
      <s:c r="C592" s="6" t="n">
        <s:v>12465</s:v>
      </s:c>
      <s:c r="D592" s="6" t="n">
        <s:v>27333</s:v>
      </s:c>
      <s:c r="E592" s="6" t="n">
        <s:v>13018</s:v>
      </s:c>
      <s:c r="F592" s="6" t="n">
        <s:v>13292</s:v>
      </s:c>
      <s:c r="G592" s="6" t="n">
        <s:v>28639</s:v>
      </s:c>
      <s:c r="H592" s="6" t="n">
        <s:v>24736</s:v>
      </s:c>
      <s:c r="I592" s="6" t="n">
        <s:v>5212</s:v>
      </s:c>
      <s:c r="J592" s="6" t="n">
        <s:f>IF(COUNT(C592:I592)=7,SUM(C592:I592),"")</s:f>
        <s:v>124695</s:v>
      </s:c>
    </s:row>
    <s:row r="593">
      <s:c r="A593" s="5" t="n">
        <s:v>46290</s:v>
      </s:c>
      <s:c r="B593" s="2" t="n">
        <s:v>12</s:v>
      </s:c>
      <s:c r="C593" s="6" t="n">
        <s:v>12418</s:v>
      </s:c>
      <s:c r="D593" s="6" t="n">
        <s:v>27562</s:v>
      </s:c>
      <s:c r="E593" s="6" t="n">
        <s:v>13179</s:v>
      </s:c>
      <s:c r="F593" s="6" t="n">
        <s:v>13248</s:v>
      </s:c>
      <s:c r="G593" s="6" t="n">
        <s:v>28507</s:v>
      </s:c>
      <s:c r="H593" s="6" t="n">
        <s:v>24367</s:v>
      </s:c>
      <s:c r="I593" s="6" t="n">
        <s:v>5497</s:v>
      </s:c>
      <s:c r="J593" s="6" t="n">
        <s:f>IF(COUNT(C593:I593)=7,SUM(C593:I593),"")</s:f>
        <s:v>124778</s:v>
      </s:c>
    </s:row>
    <s:row r="594">
      <s:c r="A594" s="5" t="n">
        <s:v>46290</s:v>
      </s:c>
      <s:c r="B594" s="2" t="n">
        <s:v>13</s:v>
      </s:c>
      <s:c r="C594" s="6" t="n">
        <s:v>12402</s:v>
      </s:c>
      <s:c r="D594" s="6" t="n">
        <s:v>27569</s:v>
      </s:c>
      <s:c r="E594" s="6" t="n">
        <s:v>13292</s:v>
      </s:c>
      <s:c r="F594" s="6" t="n">
        <s:v>13253</s:v>
      </s:c>
      <s:c r="G594" s="6" t="n">
        <s:v>28304</s:v>
      </s:c>
      <s:c r="H594" s="6" t="n">
        <s:v>25296</s:v>
      </s:c>
      <s:c r="I594" s="6" t="n">
        <s:v>5459</s:v>
      </s:c>
      <s:c r="J594" s="6" t="n">
        <s:f>IF(COUNT(C594:I594)=7,SUM(C594:I594),"")</s:f>
        <s:v>125575</s:v>
      </s:c>
    </s:row>
    <s:row r="595">
      <s:c r="A595" s="5" t="n">
        <s:v>46290</s:v>
      </s:c>
      <s:c r="B595" s="2" t="n">
        <s:v>14</s:v>
      </s:c>
      <s:c r="C595" s="6" t="n">
        <s:v>12258</s:v>
      </s:c>
      <s:c r="D595" s="6" t="n">
        <s:v>27776</s:v>
      </s:c>
      <s:c r="E595" s="6" t="n">
        <s:v>13148</s:v>
      </s:c>
      <s:c r="F595" s="6" t="n">
        <s:v>12880</s:v>
      </s:c>
      <s:c r="G595" s="6" t="n">
        <s:v>28183</s:v>
      </s:c>
      <s:c r="H595" s="6" t="n">
        <s:v>25543</s:v>
      </s:c>
      <s:c r="I595" s="6" t="n">
        <s:v>5355</s:v>
      </s:c>
      <s:c r="J595" s="6" t="n">
        <s:f>IF(COUNT(C595:I595)=7,SUM(C595:I595),"")</s:f>
        <s:v>125143</s:v>
      </s:c>
    </s:row>
    <s:row r="596">
      <s:c r="A596" s="5" t="n">
        <s:v>46290</s:v>
      </s:c>
      <s:c r="B596" s="2" t="n">
        <s:v>15</s:v>
      </s:c>
      <s:c r="C596" s="6" t="n">
        <s:v>12302</s:v>
      </s:c>
      <s:c r="D596" s="6" t="n">
        <s:v>27777</s:v>
      </s:c>
      <s:c r="E596" s="6" t="n">
        <s:v>13362</s:v>
      </s:c>
      <s:c r="F596" s="6" t="n">
        <s:v>13079</s:v>
      </s:c>
      <s:c r="G596" s="6" t="n">
        <s:v>28468</s:v>
      </s:c>
      <s:c r="H596" s="6" t="n">
        <s:v>25315</s:v>
      </s:c>
      <s:c r="I596" s="6" t="n">
        <s:v>5246</s:v>
      </s:c>
      <s:c r="J596" s="6" t="n">
        <s:f>IF(COUNT(C596:I596)=7,SUM(C596:I596),"")</s:f>
        <s:v>125549</s:v>
      </s:c>
    </s:row>
    <s:row r="597">
      <s:c r="A597" s="5" t="n">
        <s:v>46290</s:v>
      </s:c>
      <s:c r="B597" s="2" t="n">
        <s:v>16</s:v>
      </s:c>
      <s:c r="C597" s="6" t="n">
        <s:v>12240</s:v>
      </s:c>
      <s:c r="D597" s="6" t="n">
        <s:v>27646</s:v>
      </s:c>
      <s:c r="E597" s="6" t="n">
        <s:v>13094</s:v>
      </s:c>
      <s:c r="F597" s="6" t="n">
        <s:v>12513</s:v>
      </s:c>
      <s:c r="G597" s="6" t="n">
        <s:v>28682</s:v>
      </s:c>
      <s:c r="H597" s="6" t="n">
        <s:v>25208</s:v>
      </s:c>
      <s:c r="I597" s="6" t="n">
        <s:v>5093</s:v>
      </s:c>
      <s:c r="J597" s="6" t="n">
        <s:f>IF(COUNT(C597:I597)=7,SUM(C597:I597),"")</s:f>
        <s:v>124476</s:v>
      </s:c>
    </s:row>
    <s:row r="598">
      <s:c r="A598" s="5" t="n">
        <s:v>46290</s:v>
      </s:c>
      <s:c r="B598" s="2" t="n">
        <s:v>17</s:v>
      </s:c>
      <s:c r="C598" s="6" t="n">
        <s:v>12245</s:v>
      </s:c>
      <s:c r="D598" s="6" t="n">
        <s:v>27840</s:v>
      </s:c>
      <s:c r="E598" s="6" t="n">
        <s:v>13362</s:v>
      </s:c>
      <s:c r="F598" s="6" t="n">
        <s:v>12624</s:v>
      </s:c>
      <s:c r="G598" s="6" t="n">
        <s:v>29162</s:v>
      </s:c>
      <s:c r="H598" s="6" t="n">
        <s:v>25191</s:v>
      </s:c>
      <s:c r="I598" s="6" t="n">
        <s:v>4898</s:v>
      </s:c>
      <s:c r="J598" s="6" t="n">
        <s:f>IF(COUNT(C598:I598)=7,SUM(C598:I598),"")</s:f>
        <s:v>125322</s:v>
      </s:c>
    </s:row>
    <s:row r="599">
      <s:c r="A599" s="5" t="n">
        <s:v>46290</s:v>
      </s:c>
      <s:c r="B599" s="2" t="n">
        <s:v>18</s:v>
      </s:c>
      <s:c r="C599" s="6" t="n">
        <s:v>12302</s:v>
      </s:c>
      <s:c r="D599" s="6" t="n">
        <s:v>27926</s:v>
      </s:c>
      <s:c r="E599" s="6" t="n">
        <s:v>13972</s:v>
      </s:c>
      <s:c r="F599" s="6" t="n">
        <s:v>12916</s:v>
      </s:c>
      <s:c r="G599" s="6" t="n">
        <s:v>29044</s:v>
      </s:c>
      <s:c r="H599" s="6" t="n">
        <s:v>24540</s:v>
      </s:c>
      <s:c r="I599" s="6" t="n">
        <s:v>4772</s:v>
      </s:c>
      <s:c r="J599" s="6" t="n">
        <s:f>IF(COUNT(C599:I599)=7,SUM(C599:I599),"")</s:f>
        <s:v>125472</s:v>
      </s:c>
    </s:row>
    <s:row r="600">
      <s:c r="A600" s="5" t="n">
        <s:v>46290</s:v>
      </s:c>
      <s:c r="B600" s="2" t="n">
        <s:v>19</s:v>
      </s:c>
      <s:c r="C600" s="6" t="n">
        <s:v>12296</s:v>
      </s:c>
      <s:c r="D600" s="6" t="n">
        <s:v>27844</s:v>
      </s:c>
      <s:c r="E600" s="6" t="n">
        <s:v>13667</s:v>
      </s:c>
      <s:c r="F600" s="6" t="n">
        <s:v>12352</s:v>
      </s:c>
      <s:c r="G600" s="6" t="n">
        <s:v>28362</s:v>
      </s:c>
      <s:c r="H600" s="6" t="n">
        <s:v>23666</s:v>
      </s:c>
      <s:c r="I600" s="6" t="n">
        <s:v>4644</s:v>
      </s:c>
      <s:c r="J600" s="6" t="n">
        <s:f>IF(COUNT(C600:I600)=7,SUM(C600:I600),"")</s:f>
        <s:v>122831</s:v>
      </s:c>
    </s:row>
    <s:row r="601">
      <s:c r="A601" s="5" t="n">
        <s:v>46290</s:v>
      </s:c>
      <s:c r="B601" s="2" t="n">
        <s:v>20</s:v>
      </s:c>
      <s:c r="C601" s="6" t="n">
        <s:v>12276</s:v>
      </s:c>
      <s:c r="D601" s="6" t="n">
        <s:v>26870</s:v>
      </s:c>
      <s:c r="E601" s="6" t="n">
        <s:v>13194</s:v>
      </s:c>
      <s:c r="F601" s="6" t="n">
        <s:v>11757</s:v>
      </s:c>
      <s:c r="G601" s="6" t="n">
        <s:v>27905</s:v>
      </s:c>
      <s:c r="H601" s="6" t="n">
        <s:v>23357</s:v>
      </s:c>
      <s:c r="I601" s="6" t="n">
        <s:v>4613</s:v>
      </s:c>
      <s:c r="J601" s="6" t="n">
        <s:f>IF(COUNT(C601:I601)=7,SUM(C601:I601),"")</s:f>
        <s:v>119972</s:v>
      </s:c>
    </s:row>
    <s:row r="602">
      <s:c r="A602" s="5" t="n">
        <s:v>46290</s:v>
      </s:c>
      <s:c r="B602" s="2" t="n">
        <s:v>21</s:v>
      </s:c>
      <s:c r="C602" s="6" t="n">
        <s:v>12120</s:v>
      </s:c>
      <s:c r="D602" s="6" t="n">
        <s:v>24949</s:v>
      </s:c>
      <s:c r="E602" s="6" t="n">
        <s:v>13212</s:v>
      </s:c>
      <s:c r="F602" s="6" t="n">
        <s:v>11823</s:v>
      </s:c>
      <s:c r="G602" s="6" t="n">
        <s:v>26698</s:v>
      </s:c>
      <s:c r="H602" s="6" t="n">
        <s:v>23633</s:v>
      </s:c>
      <s:c r="I602" s="6" t="n">
        <s:v>4682</s:v>
      </s:c>
      <s:c r="J602" s="6" t="n">
        <s:f>IF(COUNT(C602:I602)=7,SUM(C602:I602),"")</s:f>
        <s:v>117117</s:v>
      </s:c>
    </s:row>
    <s:row r="603">
      <s:c r="A603" s="5" t="n">
        <s:v>46290</s:v>
      </s:c>
      <s:c r="B603" s="2" t="n">
        <s:v>22</s:v>
      </s:c>
      <s:c r="C603" s="6" t="n">
        <s:v>11612</s:v>
      </s:c>
      <s:c r="D603" s="6" t="n">
        <s:v>24545</s:v>
      </s:c>
      <s:c r="E603" s="6" t="n">
        <s:v>12110</s:v>
      </s:c>
      <s:c r="F603" s="6" t="n">
        <s:v>11361</s:v>
      </s:c>
      <s:c r="G603" s="6" t="n">
        <s:v>25313</s:v>
      </s:c>
      <s:c r="H603" s="6" t="n">
        <s:v>23225</s:v>
      </s:c>
      <s:c r="I603" s="6" t="n">
        <s:v>4607</s:v>
      </s:c>
      <s:c r="J603" s="6" t="n">
        <s:f>IF(COUNT(C603:I603)=7,SUM(C603:I603),"")</s:f>
        <s:v>112773</s:v>
      </s:c>
    </s:row>
    <s:row r="604">
      <s:c r="A604" s="5" t="n">
        <s:v>46290</s:v>
      </s:c>
      <s:c r="B604" s="2" t="n">
        <s:v>23</s:v>
      </s:c>
      <s:c r="C604" s="6" t="n">
        <s:v>11363</s:v>
      </s:c>
      <s:c r="D604" s="6" t="n">
        <s:v>22924</s:v>
      </s:c>
      <s:c r="E604" s="6" t="n">
        <s:v>11831</s:v>
      </s:c>
      <s:c r="F604" s="6" t="n">
        <s:v>10544</s:v>
      </s:c>
      <s:c r="G604" s="6" t="n">
        <s:v>24846</s:v>
      </s:c>
      <s:c r="H604" s="6" t="n">
        <s:v>23080</s:v>
      </s:c>
      <s:c r="I604" s="6" t="n">
        <s:v>4790</s:v>
      </s:c>
      <s:c r="J604" s="6" t="n">
        <s:f>IF(COUNT(C604:I604)=7,SUM(C604:I604),"")</s:f>
        <s:v>109378</s:v>
      </s:c>
    </s:row>
    <s:row r="605">
      <s:c r="A605" s="5" t="n">
        <s:v>46291</s:v>
      </s:c>
      <s:c r="B605" s="2" t="n">
        <s:v>0</s:v>
      </s:c>
      <s:c r="C605" s="6" t="n">
        <s:v>11204</s:v>
      </s:c>
      <s:c r="D605" s="6" t="n">
        <s:v>22489</s:v>
      </s:c>
      <s:c r="E605" s="6" t="n">
        <s:v>10872</s:v>
      </s:c>
      <s:c r="F605" s="6" t="n">
        <s:v>9343</s:v>
      </s:c>
      <s:c r="G605" s="6" t="n">
        <s:v>25607</s:v>
      </s:c>
      <s:c r="H605" s="6" t="n">
        <s:v>22454</s:v>
      </s:c>
      <s:c r="I605" s="6" t="n">
        <s:v>4990</s:v>
      </s:c>
      <s:c r="J605" s="6" t="n">
        <s:f>IF(COUNT(C605:I605)=7,SUM(C605:I605),"")</s:f>
        <s:v>106959</s:v>
      </s:c>
    </s:row>
    <s:row r="606">
      <s:c r="A606" s="5" t="n">
        <s:v>46291</s:v>
      </s:c>
      <s:c r="B606" s="2" t="n">
        <s:v>1</s:v>
      </s:c>
      <s:c r="C606" s="6" t="n">
        <s:v>10784</s:v>
      </s:c>
      <s:c r="D606" s="6" t="n">
        <s:v>22097</s:v>
      </s:c>
      <s:c r="E606" s="6" t="n">
        <s:v>10509</s:v>
      </s:c>
      <s:c r="F606" s="6" t="n">
        <s:v>9046</s:v>
      </s:c>
      <s:c r="G606" s="6" t="n">
        <s:v>25474</s:v>
      </s:c>
      <s:c r="H606" s="6" t="n">
        <s:v>22612</s:v>
      </s:c>
      <s:c r="I606" s="6" t="n">
        <s:v>5160</s:v>
      </s:c>
      <s:c r="J606" s="6" t="n">
        <s:f>IF(COUNT(C606:I606)=7,SUM(C606:I606),"")</s:f>
        <s:v>105682</s:v>
      </s:c>
    </s:row>
    <s:row r="607">
      <s:c r="A607" s="5" t="n">
        <s:v>46291</s:v>
      </s:c>
      <s:c r="B607" s="2" t="n">
        <s:v>2</s:v>
      </s:c>
      <s:c r="C607" s="6" t="n">
        <s:v>10746</s:v>
      </s:c>
      <s:c r="D607" s="6" t="n">
        <s:v>20619</s:v>
      </s:c>
      <s:c r="E607" s="6" t="n">
        <s:v>10546</s:v>
      </s:c>
      <s:c r="F607" s="6" t="n">
        <s:v>9412</s:v>
      </s:c>
      <s:c r="G607" s="6" t="n">
        <s:v>25954</s:v>
      </s:c>
      <s:c r="H607" s="6" t="n">
        <s:v>23178</s:v>
      </s:c>
      <s:c r="I607" s="6" t="n">
        <s:v>5443</s:v>
      </s:c>
      <s:c r="J607" s="6" t="n">
        <s:f>IF(COUNT(C607:I607)=7,SUM(C607:I607),"")</s:f>
        <s:v>105898</s:v>
      </s:c>
    </s:row>
    <s:row r="608">
      <s:c r="A608" s="5" t="n">
        <s:v>46291</s:v>
      </s:c>
      <s:c r="B608" s="2" t="n">
        <s:v>3</s:v>
      </s:c>
      <s:c r="C608" s="6" t="n">
        <s:v>10720</s:v>
      </s:c>
      <s:c r="D608" s="6" t="n">
        <s:v>20466</s:v>
      </s:c>
      <s:c r="E608" s="6" t="n">
        <s:v>10197</s:v>
      </s:c>
      <s:c r="F608" s="6" t="n">
        <s:v>8988</s:v>
      </s:c>
      <s:c r="G608" s="6" t="n">
        <s:v>26526</s:v>
      </s:c>
      <s:c r="H608" s="6" t="n">
        <s:v>23564</s:v>
      </s:c>
      <s:c r="I608" s="6" t="n">
        <s:v>5416</s:v>
      </s:c>
      <s:c r="J608" s="6" t="n">
        <s:f>IF(COUNT(C608:I608)=7,SUM(C608:I608),"")</s:f>
        <s:v>105877</s:v>
      </s:c>
    </s:row>
    <s:row r="609">
      <s:c r="A609" s="5" t="n">
        <s:v>46291</s:v>
      </s:c>
      <s:c r="B609" s="2" t="n">
        <s:v>4</s:v>
      </s:c>
      <s:c r="C609" s="6" t="n">
        <s:v>10876</s:v>
      </s:c>
      <s:c r="D609" s="6" t="n">
        <s:v>20636</s:v>
      </s:c>
      <s:c r="E609" s="6" t="n">
        <s:v>10341</s:v>
      </s:c>
      <s:c r="F609" s="6" t="n">
        <s:v>9421</s:v>
      </s:c>
      <s:c r="G609" s="6" t="n">
        <s:v>26688</s:v>
      </s:c>
      <s:c r="H609" s="6" t="n">
        <s:v>24453</s:v>
      </s:c>
      <s:c r="I609" s="6" t="n">
        <s:v>5316</s:v>
      </s:c>
      <s:c r="J609" s="6" t="n">
        <s:f>IF(COUNT(C609:I609)=7,SUM(C609:I609),"")</s:f>
        <s:v>107731</s:v>
      </s:c>
    </s:row>
    <s:row r="610">
      <s:c r="A610" s="5" t="n">
        <s:v>46291</s:v>
      </s:c>
      <s:c r="B610" s="2" t="n">
        <s:v>5</s:v>
      </s:c>
      <s:c r="C610" s="6" t="n">
        <s:v>11246</s:v>
      </s:c>
      <s:c r="D610" s="6" t="n">
        <s:v>21455</s:v>
      </s:c>
      <s:c r="E610" s="6" t="n">
        <s:v>10477</s:v>
      </s:c>
      <s:c r="F610" s="6" t="n">
        <s:v>9399</s:v>
      </s:c>
      <s:c r="G610" s="6" t="n">
        <s:v>26780</s:v>
      </s:c>
      <s:c r="H610" s="6" t="n">
        <s:v>25044</s:v>
      </s:c>
      <s:c r="I610" s="6" t="n">
        <s:v>5398</s:v>
      </s:c>
      <s:c r="J610" s="6" t="n">
        <s:f>IF(COUNT(C610:I610)=7,SUM(C610:I610),"")</s:f>
        <s:v>109799</s:v>
      </s:c>
    </s:row>
    <s:row r="611">
      <s:c r="A611" s="5" t="n">
        <s:v>46291</s:v>
      </s:c>
      <s:c r="B611" s="2" t="n">
        <s:v>6</s:v>
      </s:c>
      <s:c r="C611" s="6" t="n">
        <s:v>11390</s:v>
      </s:c>
      <s:c r="D611" s="6" t="n">
        <s:v>22701</s:v>
      </s:c>
      <s:c r="E611" s="6" t="n">
        <s:v>11019</s:v>
      </s:c>
      <s:c r="F611" s="6" t="n">
        <s:v>9521</s:v>
      </s:c>
      <s:c r="G611" s="6" t="n">
        <s:v>27295</s:v>
      </s:c>
      <s:c r="H611" s="6" t="n">
        <s:v>25103</s:v>
      </s:c>
      <s:c r="I611" s="6" t="n">
        <s:v>5329</s:v>
      </s:c>
      <s:c r="J611" s="6" t="n">
        <s:f>IF(COUNT(C611:I611)=7,SUM(C611:I611),"")</s:f>
        <s:v>112358</s:v>
      </s:c>
    </s:row>
    <s:row r="612">
      <s:c r="A612" s="5" t="n">
        <s:v>46291</s:v>
      </s:c>
      <s:c r="B612" s="2" t="n">
        <s:v>7</s:v>
      </s:c>
      <s:c r="C612" s="6" t="n">
        <s:v>11361</s:v>
      </s:c>
      <s:c r="D612" s="6" t="n">
        <s:v>23503</s:v>
      </s:c>
      <s:c r="E612" s="6" t="n">
        <s:v>12092</s:v>
      </s:c>
      <s:c r="F612" s="6" t="n">
        <s:v>10738</s:v>
      </s:c>
      <s:c r="G612" s="6" t="n">
        <s:v>28085</s:v>
      </s:c>
      <s:c r="H612" s="6" t="n">
        <s:v>25345</s:v>
      </s:c>
      <s:c r="I612" s="6" t="n">
        <s:v>5323</s:v>
      </s:c>
      <s:c r="J612" s="6" t="n">
        <s:f>IF(COUNT(C612:I612)=7,SUM(C612:I612),"")</s:f>
        <s:v>116447</s:v>
      </s:c>
    </s:row>
    <s:row r="613">
      <s:c r="A613" s="5" t="n">
        <s:v>46291</s:v>
      </s:c>
      <s:c r="B613" s="2" t="n">
        <s:v>8</s:v>
      </s:c>
      <s:c r="C613" s="6" t="n">
        <s:v>11159</s:v>
      </s:c>
      <s:c r="D613" s="6" t="n">
        <s:v>25216</s:v>
      </s:c>
      <s:c r="E613" s="6" t="n">
        <s:v>12738</s:v>
      </s:c>
      <s:c r="F613" s="6" t="n">
        <s:v>12325</s:v>
      </s:c>
      <s:c r="G613" s="6" t="n">
        <s:v>28597</s:v>
      </s:c>
      <s:c r="H613" s="6" t="n">
        <s:v>25441</s:v>
      </s:c>
      <s:c r="I613" s="6" t="n">
        <s:v>5363</s:v>
      </s:c>
      <s:c r="J613" s="6" t="n">
        <s:f>IF(COUNT(C613:I613)=7,SUM(C613:I613),"")</s:f>
        <s:v>120839</s:v>
      </s:c>
    </s:row>
    <s:row r="614">
      <s:c r="A614" s="5" t="n">
        <s:v>46291</s:v>
      </s:c>
      <s:c r="B614" s="2" t="n">
        <s:v>9</s:v>
      </s:c>
      <s:c r="C614" s="6" t="n">
        <s:v>11696</s:v>
      </s:c>
      <s:c r="D614" s="6" t="n">
        <s:v>25870</s:v>
      </s:c>
      <s:c r="E614" s="6" t="n">
        <s:v>12952</s:v>
      </s:c>
      <s:c r="F614" s="6" t="n">
        <s:v>11903</s:v>
      </s:c>
      <s:c r="G614" s="6" t="n">
        <s:v>28974</s:v>
      </s:c>
      <s:c r="H614" s="6" t="n">
        <s:v>24919</s:v>
      </s:c>
      <s:c r="I614" s="6" t="n">
        <s:v>5427</s:v>
      </s:c>
      <s:c r="J614" s="6" t="n">
        <s:f>IF(COUNT(C614:I614)=7,SUM(C614:I614),"")</s:f>
        <s:v>121741</s:v>
      </s:c>
    </s:row>
    <s:row r="615">
      <s:c r="A615" s="5" t="n">
        <s:v>46291</s:v>
      </s:c>
      <s:c r="B615" s="2" t="n">
        <s:v>10</s:v>
      </s:c>
      <s:c r="C615" s="6" t="n">
        <s:v>11700</s:v>
      </s:c>
      <s:c r="D615" s="6" t="n">
        <s:v>26117</s:v>
      </s:c>
      <s:c r="E615" s="6" t="n">
        <s:v>13240</s:v>
      </s:c>
      <s:c r="F615" s="6" t="n">
        <s:v>12299</s:v>
      </s:c>
      <s:c r="G615" s="6" t="n">
        <s:v>28576</s:v>
      </s:c>
      <s:c r="H615" s="6" t="n">
        <s:v>25512</s:v>
      </s:c>
      <s:c r="I615" s="6" t="n">
        <s:v>5376</s:v>
      </s:c>
      <s:c r="J615" s="6" t="n">
        <s:f>IF(COUNT(C615:I615)=7,SUM(C615:I615),"")</s:f>
        <s:v>122820</s:v>
      </s:c>
    </s:row>
    <s:row r="616">
      <s:c r="A616" s="5" t="n">
        <s:v>46291</s:v>
      </s:c>
      <s:c r="B616" s="2" t="n">
        <s:v>11</s:v>
      </s:c>
      <s:c r="C616" s="6" t="n">
        <s:v>12232</s:v>
      </s:c>
      <s:c r="D616" s="6" t="n">
        <s:v>25858</s:v>
      </s:c>
      <s:c r="E616" s="6" t="n">
        <s:v>13023</s:v>
      </s:c>
      <s:c r="F616" s="6" t="n">
        <s:v>12038</s:v>
      </s:c>
      <s:c r="G616" s="6" t="n">
        <s:v>28653</s:v>
      </s:c>
      <s:c r="H616" s="6" t="n">
        <s:v>25246</s:v>
      </s:c>
      <s:c r="I616" s="6" t="n">
        <s:v>5606</s:v>
      </s:c>
      <s:c r="J616" s="6" t="n">
        <s:f>IF(COUNT(C616:I616)=7,SUM(C616:I616),"")</s:f>
        <s:v>122656</s:v>
      </s:c>
    </s:row>
    <s:row r="617">
      <s:c r="A617" s="5" t="n">
        <s:v>46291</s:v>
      </s:c>
      <s:c r="B617" s="2" t="n">
        <s:v>12</s:v>
      </s:c>
      <s:c r="C617" s="6" t="n">
        <s:v>12363</s:v>
      </s:c>
      <s:c r="D617" s="6" t="n">
        <s:v>25499</s:v>
      </s:c>
      <s:c r="E617" s="6" t="n">
        <s:v>13312</s:v>
      </s:c>
      <s:c r="F617" s="6" t="n">
        <s:v>11875</s:v>
      </s:c>
      <s:c r="G617" s="6" t="n">
        <s:v>28532</s:v>
      </s:c>
      <s:c r="H617" s="6" t="n">
        <s:v>25179</s:v>
      </s:c>
      <s:c r="I617" s="6" t="n">
        <s:v>5609</s:v>
      </s:c>
      <s:c r="J617" s="6" t="n">
        <s:f>IF(COUNT(C617:I617)=7,SUM(C617:I617),"")</s:f>
        <s:v>122369</s:v>
      </s:c>
    </s:row>
    <s:row r="618">
      <s:c r="A618" s="5" t="n">
        <s:v>46291</s:v>
      </s:c>
      <s:c r="B618" s="2" t="n">
        <s:v>13</s:v>
      </s:c>
      <s:c r="C618" s="6" t="n">
        <s:v>12441</s:v>
      </s:c>
      <s:c r="D618" s="6" t="n">
        <s:v>25411</s:v>
      </s:c>
      <s:c r="E618" s="6" t="n">
        <s:v>13371</s:v>
      </s:c>
      <s:c r="F618" s="6" t="n">
        <s:v>11775</s:v>
      </s:c>
      <s:c r="G618" s="6" t="n">
        <s:v>28487</s:v>
      </s:c>
      <s:c r="H618" s="6" t="n">
        <s:v>25380</s:v>
      </s:c>
      <s:c r="I618" s="6" t="n">
        <s:v>5558</s:v>
      </s:c>
      <s:c r="J618" s="6" t="n">
        <s:f>IF(COUNT(C618:I618)=7,SUM(C618:I618),"")</s:f>
        <s:v>122423</s:v>
      </s:c>
    </s:row>
    <s:row r="619">
      <s:c r="A619" s="5" t="n">
        <s:v>46291</s:v>
      </s:c>
      <s:c r="B619" s="2" t="n">
        <s:v>14</s:v>
      </s:c>
      <s:c r="C619" s="6" t="n">
        <s:v>12435</s:v>
      </s:c>
      <s:c r="D619" s="6" t="n">
        <s:v>25741</s:v>
      </s:c>
      <s:c r="E619" s="6" t="n">
        <s:v>13332</s:v>
      </s:c>
      <s:c r="F619" s="6" t="n">
        <s:v>11533</s:v>
      </s:c>
      <s:c r="G619" s="6" t="n">
        <s:v>28457</s:v>
      </s:c>
      <s:c r="H619" s="6" t="n">
        <s:v>25699</s:v>
      </s:c>
      <s:c r="I619" s="6" t="n">
        <s:v>5468</s:v>
      </s:c>
      <s:c r="J619" s="6" t="n">
        <s:f>IF(COUNT(C619:I619)=7,SUM(C619:I619),"")</s:f>
        <s:v>122665</s:v>
      </s:c>
    </s:row>
    <s:row r="620">
      <s:c r="A620" s="5" t="n">
        <s:v>46291</s:v>
      </s:c>
      <s:c r="B620" s="2" t="n">
        <s:v>15</s:v>
      </s:c>
      <s:c r="C620" s="6" t="n">
        <s:v>12416</s:v>
      </s:c>
      <s:c r="D620" s="6" t="n">
        <s:v>26160</s:v>
      </s:c>
      <s:c r="E620" s="6" t="n">
        <s:v>13422</s:v>
      </s:c>
      <s:c r="F620" s="6" t="n">
        <s:v>10967</s:v>
      </s:c>
      <s:c r="G620" s="6" t="n">
        <s:v>28617</s:v>
      </s:c>
      <s:c r="H620" s="6" t="n">
        <s:v>25373</s:v>
      </s:c>
      <s:c r="I620" s="6" t="n">
        <s:v>5291</s:v>
      </s:c>
      <s:c r="J620" s="6" t="n">
        <s:f>IF(COUNT(C620:I620)=7,SUM(C620:I620),"")</s:f>
        <s:v>122246</s:v>
      </s:c>
    </s:row>
    <s:row r="621">
      <s:c r="A621" s="5" t="n">
        <s:v>46291</s:v>
      </s:c>
      <s:c r="B621" s="2" t="n">
        <s:v>16</s:v>
      </s:c>
      <s:c r="C621" s="6" t="n">
        <s:v>12212</s:v>
      </s:c>
      <s:c r="D621" s="6" t="n">
        <s:v>26406</s:v>
      </s:c>
      <s:c r="E621" s="6" t="n">
        <s:v>13480</s:v>
      </s:c>
      <s:c r="F621" s="6" t="n">
        <s:v>11294</s:v>
      </s:c>
      <s:c r="G621" s="6" t="n">
        <s:v>28799</s:v>
      </s:c>
      <s:c r="H621" s="6" t="n">
        <s:v>25197</s:v>
      </s:c>
      <s:c r="I621" s="6" t="n">
        <s:v>5056</s:v>
      </s:c>
      <s:c r="J621" s="6" t="n">
        <s:f>IF(COUNT(C621:I621)=7,SUM(C621:I621),"")</s:f>
        <s:v>122444</s:v>
      </s:c>
    </s:row>
    <s:row r="622">
      <s:c r="A622" s="5" t="n">
        <s:v>46291</s:v>
      </s:c>
      <s:c r="B622" s="2" t="n">
        <s:v>17</s:v>
      </s:c>
      <s:c r="C622" s="6" t="n">
        <s:v>12220</s:v>
      </s:c>
      <s:c r="D622" s="6" t="n">
        <s:v>26787</s:v>
      </s:c>
      <s:c r="E622" s="6" t="n">
        <s:v>13678</s:v>
      </s:c>
      <s:c r="F622" s="6" t="n">
        <s:v>11829</s:v>
      </s:c>
      <s:c r="G622" s="6" t="n">
        <s:v>28802</s:v>
      </s:c>
      <s:c r="H622" s="6" t="n">
        <s:v>25140</s:v>
      </s:c>
      <s:c r="I622" s="6" t="n">
        <s:v>4958</s:v>
      </s:c>
      <s:c r="J622" s="6" t="n">
        <s:f>IF(COUNT(C622:I622)=7,SUM(C622:I622),"")</s:f>
        <s:v>123414</s:v>
      </s:c>
    </s:row>
    <s:row r="623">
      <s:c r="A623" s="5" t="n">
        <s:v>46291</s:v>
      </s:c>
      <s:c r="B623" s="2" t="n">
        <s:v>18</s:v>
      </s:c>
      <s:c r="C623" s="6" t="n">
        <s:v>12306</s:v>
      </s:c>
      <s:c r="D623" s="6" t="n">
        <s:v>27882</s:v>
      </s:c>
      <s:c r="E623" s="6" t="n">
        <s:v>13803</s:v>
      </s:c>
      <s:c r="F623" s="6" t="n">
        <s:v>11880</s:v>
      </s:c>
      <s:c r="G623" s="6" t="n">
        <s:v>28664</s:v>
      </s:c>
      <s:c r="H623" s="6" t="n">
        <s:v>24400</s:v>
      </s:c>
      <s:c r="I623" s="6" t="n">
        <s:v>4876</s:v>
      </s:c>
      <s:c r="J623" s="6" t="n">
        <s:f>IF(COUNT(C623:I623)=7,SUM(C623:I623),"")</s:f>
        <s:v>123811</s:v>
      </s:c>
    </s:row>
    <s:row r="624">
      <s:c r="A624" s="5" t="n">
        <s:v>46291</s:v>
      </s:c>
      <s:c r="B624" s="2" t="n">
        <s:v>19</s:v>
      </s:c>
      <s:c r="C624" s="6" t="n">
        <s:v>12527</s:v>
      </s:c>
      <s:c r="D624" s="6" t="n">
        <s:v>27573</s:v>
      </s:c>
      <s:c r="E624" s="6" t="n">
        <s:v>13554</s:v>
      </s:c>
      <s:c r="F624" s="6" t="n">
        <s:v>11077</s:v>
      </s:c>
      <s:c r="G624" s="6" t="n">
        <s:v>28340</s:v>
      </s:c>
      <s:c r="H624" s="6" t="n">
        <s:v>23691</s:v>
      </s:c>
      <s:c r="I624" s="6" t="n">
        <s:v>4742</s:v>
      </s:c>
      <s:c r="J624" s="6" t="n">
        <s:f>IF(COUNT(C624:I624)=7,SUM(C624:I624),"")</s:f>
        <s:v>121504</s:v>
      </s:c>
    </s:row>
    <s:row r="625">
      <s:c r="A625" s="5" t="n">
        <s:v>46291</s:v>
      </s:c>
      <s:c r="B625" s="2" t="n">
        <s:v>20</s:v>
      </s:c>
      <s:c r="C625" s="6" t="n">
        <s:v>12354</s:v>
      </s:c>
      <s:c r="D625" s="6" t="n">
        <s:v>26507</s:v>
      </s:c>
      <s:c r="E625" s="6" t="n">
        <s:v>13801</s:v>
      </s:c>
      <s:c r="F625" s="6" t="n">
        <s:v>10640</s:v>
      </s:c>
      <s:c r="G625" s="6" t="n">
        <s:v>28392</s:v>
      </s:c>
      <s:c r="H625" s="6" t="n">
        <s:v>22753</s:v>
      </s:c>
      <s:c r="I625" s="6" t="n">
        <s:v>4739</s:v>
      </s:c>
      <s:c r="J625" s="6" t="n">
        <s:f>IF(COUNT(C625:I625)=7,SUM(C625:I625),"")</s:f>
        <s:v>119186</s:v>
      </s:c>
    </s:row>
    <s:row r="626">
      <s:c r="A626" s="5" t="n">
        <s:v>46291</s:v>
      </s:c>
      <s:c r="B626" s="2" t="n">
        <s:v>21</s:v>
      </s:c>
      <s:c r="C626" s="6" t="n">
        <s:v>12111</s:v>
      </s:c>
      <s:c r="D626" s="6" t="n">
        <s:v>25251</s:v>
      </s:c>
      <s:c r="E626" s="6" t="n">
        <s:v>13473</s:v>
      </s:c>
      <s:c r="F626" s="6" t="n">
        <s:v>9743</s:v>
      </s:c>
      <s:c r="G626" s="6" t="n">
        <s:v>27441</s:v>
      </s:c>
      <s:c r="H626" s="6" t="n">
        <s:v>22501</s:v>
      </s:c>
      <s:c r="I626" s="6" t="n">
        <s:v>4767</s:v>
      </s:c>
      <s:c r="J626" s="6" t="n">
        <s:f>IF(COUNT(C626:I626)=7,SUM(C626:I626),"")</s:f>
        <s:v>115287</s:v>
      </s:c>
    </s:row>
    <s:row r="627">
      <s:c r="A627" s="5" t="n">
        <s:v>46291</s:v>
      </s:c>
      <s:c r="B627" s="2" t="n">
        <s:v>22</s:v>
      </s:c>
      <s:c r="C627" s="6" t="n">
        <s:v>11776</s:v>
      </s:c>
      <s:c r="D627" s="6" t="n">
        <s:v>24118</s:v>
      </s:c>
      <s:c r="E627" s="6" t="n">
        <s:v>12614</s:v>
      </s:c>
      <s:c r="F627" s="6" t="n">
        <s:v>10169</s:v>
      </s:c>
      <s:c r="G627" s="6" t="n">
        <s:v>25590</s:v>
      </s:c>
      <s:c r="H627" s="6" t="n">
        <s:v>22591</s:v>
      </s:c>
      <s:c r="I627" s="6" t="n">
        <s:v>4878</s:v>
      </s:c>
      <s:c r="J627" s="6" t="n">
        <s:f>IF(COUNT(C627:I627)=7,SUM(C627:I627),"")</s:f>
        <s:v>111736</s:v>
      </s:c>
    </s:row>
    <s:row r="628">
      <s:c r="A628" s="5" t="n">
        <s:v>46291</s:v>
      </s:c>
      <s:c r="B628" s="2" t="n">
        <s:v>23</s:v>
      </s:c>
      <s:c r="C628" s="6" t="n">
        <s:v>11657</s:v>
      </s:c>
      <s:c r="D628" s="6" t="n">
        <s:v>22632</s:v>
      </s:c>
      <s:c r="E628" s="6" t="n">
        <s:v>11963</s:v>
      </s:c>
      <s:c r="F628" s="6" t="n">
        <s:v>9981</s:v>
      </s:c>
      <s:c r="G628" s="6" t="n">
        <s:v>24987</s:v>
      </s:c>
      <s:c r="H628" s="6" t="n">
        <s:v>22690</s:v>
      </s:c>
      <s:c r="I628" s="6" t="n">
        <s:v>4849</s:v>
      </s:c>
      <s:c r="J628" s="6" t="n">
        <s:f>IF(COUNT(C628:I628)=7,SUM(C628:I628),"")</s:f>
        <s:v>108759</s:v>
      </s:c>
    </s:row>
    <s:row r="629">
      <s:c r="A629" s="5" t="n">
        <s:v>46292</s:v>
      </s:c>
      <s:c r="B629" s="2" t="n">
        <s:v>0</s:v>
      </s:c>
      <s:c r="C629" s="6" t="n">
        <s:v>11454</s:v>
      </s:c>
      <s:c r="D629" s="6" t="n">
        <s:v>22293</s:v>
      </s:c>
      <s:c r="E629" s="6" t="n">
        <s:v>11181</s:v>
      </s:c>
      <s:c r="F629" s="6" t="n">
        <s:v>9590</s:v>
      </s:c>
      <s:c r="G629" s="6" t="n">
        <s:v>23997</s:v>
      </s:c>
      <s:c r="H629" s="6" t="n">
        <s:v>23069</s:v>
      </s:c>
      <s:c r="I629" s="6" t="n">
        <s:v>4977</s:v>
      </s:c>
      <s:c r="J629" s="6" t="n">
        <s:f>IF(COUNT(C629:I629)=7,SUM(C629:I629),"")</s:f>
        <s:v>106561</s:v>
      </s:c>
    </s:row>
    <s:row r="630">
      <s:c r="A630" s="5" t="n">
        <s:v>46292</s:v>
      </s:c>
      <s:c r="B630" s="2" t="n">
        <s:v>1</s:v>
      </s:c>
      <s:c r="C630" s="6" t="n">
        <s:v>11222</s:v>
      </s:c>
      <s:c r="D630" s="6" t="n">
        <s:v>21554</s:v>
      </s:c>
      <s:c r="E630" s="6" t="n">
        <s:v>10713</s:v>
      </s:c>
      <s:c r="F630" s="6" t="n">
        <s:v>9205</s:v>
      </s:c>
      <s:c r="G630" s="6" t="n">
        <s:v>23632</s:v>
      </s:c>
      <s:c r="H630" s="6" t="n">
        <s:v>23070</s:v>
      </s:c>
      <s:c r="I630" s="6" t="n">
        <s:v>5251</s:v>
      </s:c>
      <s:c r="J630" s="6" t="n">
        <s:f>IF(COUNT(C630:I630)=7,SUM(C630:I630),"")</s:f>
        <s:v>104647</s:v>
      </s:c>
    </s:row>
    <s:row r="631">
      <s:c r="A631" s="5" t="n">
        <s:v>46292</s:v>
      </s:c>
      <s:c r="B631" s="2" t="n">
        <s:v>2</s:v>
      </s:c>
      <s:c r="C631" s="6" t="n">
        <s:v>11064</s:v>
      </s:c>
      <s:c r="D631" s="6" t="n">
        <s:v>20838</s:v>
      </s:c>
      <s:c r="E631" s="6" t="n">
        <s:v>10889</s:v>
      </s:c>
      <s:c r="F631" s="6" t="n">
        <s:v>9564</s:v>
      </s:c>
      <s:c r="G631" s="6" t="n">
        <s:v>23544</s:v>
      </s:c>
      <s:c r="H631" s="6" t="n">
        <s:v>23707</s:v>
      </s:c>
      <s:c r="I631" s="6" t="n">
        <s:v>5452</s:v>
      </s:c>
      <s:c r="J631" s="6" t="n">
        <s:f>IF(COUNT(C631:I631)=7,SUM(C631:I631),"")</s:f>
        <s:v>105058</s:v>
      </s:c>
    </s:row>
    <s:row r="632">
      <s:c r="A632" s="5" t="n">
        <s:v>46292</s:v>
      </s:c>
      <s:c r="B632" s="2" t="n">
        <s:v>3</s:v>
      </s:c>
      <s:c r="C632" s="6" t="n">
        <s:v>11258</s:v>
      </s:c>
      <s:c r="D632" s="6" t="n">
        <s:v>20564</s:v>
      </s:c>
      <s:c r="E632" s="6" t="n">
        <s:v>10683</s:v>
      </s:c>
      <s:c r="F632" s="6" t="n">
        <s:v>9508</s:v>
      </s:c>
      <s:c r="G632" s="6" t="n">
        <s:v>23300</s:v>
      </s:c>
      <s:c r="H632" s="6" t="n">
        <s:v>24008</s:v>
      </s:c>
      <s:c r="I632" s="6" t="n">
        <s:v>5464</s:v>
      </s:c>
      <s:c r="J632" s="6" t="n">
        <s:f>IF(COUNT(C632:I632)=7,SUM(C632:I632),"")</s:f>
        <s:v>104785</s:v>
      </s:c>
    </s:row>
    <s:row r="633">
      <s:c r="A633" s="5" t="n">
        <s:v>46292</s:v>
      </s:c>
      <s:c r="B633" s="2" t="n">
        <s:v>4</s:v>
      </s:c>
      <s:c r="C633" s="6" t="n">
        <s:v>11316</s:v>
      </s:c>
      <s:c r="D633" s="6" t="n">
        <s:v>20623</s:v>
      </s:c>
      <s:c r="E633" s="6" t="n">
        <s:v>10535</s:v>
      </s:c>
      <s:c r="F633" s="6" t="n">
        <s:v>9384</s:v>
      </s:c>
      <s:c r="G633" s="6" t="n">
        <s:v>24697</s:v>
      </s:c>
      <s:c r="H633" s="6" t="n">
        <s:v>23726</s:v>
      </s:c>
      <s:c r="I633" s="6" t="n">
        <s:v>5525</s:v>
      </s:c>
      <s:c r="J633" s="6" t="n">
        <s:f>IF(COUNT(C633:I633)=7,SUM(C633:I633),"")</s:f>
        <s:v>105806</s:v>
      </s:c>
    </s:row>
    <s:row r="634">
      <s:c r="A634" s="5" t="n">
        <s:v>46292</s:v>
      </s:c>
      <s:c r="B634" s="2" t="n">
        <s:v>5</s:v>
      </s:c>
      <s:c r="C634" s="6" t="n">
        <s:v>11549</s:v>
      </s:c>
      <s:c r="D634" s="6" t="n">
        <s:v>21103</s:v>
      </s:c>
      <s:c r="E634" s="6" t="n">
        <s:v>10754</s:v>
      </s:c>
      <s:c r="F634" s="6" t="n">
        <s:v>9357</s:v>
      </s:c>
      <s:c r="G634" s="6" t="n">
        <s:v>25634</s:v>
      </s:c>
      <s:c r="H634" s="6" t="n">
        <s:v>24083</s:v>
      </s:c>
      <s:c r="I634" s="6" t="n">
        <s:v>5390</s:v>
      </s:c>
      <s:c r="J634" s="6" t="n">
        <s:f>IF(COUNT(C634:I634)=7,SUM(C634:I634),"")</s:f>
        <s:v>107870</s:v>
      </s:c>
    </s:row>
    <s:row r="635">
      <s:c r="A635" s="5" t="n">
        <s:v>46292</s:v>
      </s:c>
      <s:c r="B635" s="2" t="n">
        <s:v>6</s:v>
      </s:c>
      <s:c r="C635" s="6" t="n">
        <s:v>11536</s:v>
      </s:c>
      <s:c r="D635" s="6" t="n">
        <s:v>22166</s:v>
      </s:c>
      <s:c r="E635" s="6" t="n">
        <s:v>11558</s:v>
      </s:c>
      <s:c r="F635" s="6" t="n">
        <s:v>9560</s:v>
      </s:c>
      <s:c r="G635" s="6" t="n">
        <s:v>26147</s:v>
      </s:c>
      <s:c r="H635" s="6" t="n">
        <s:v>24512</s:v>
      </s:c>
      <s:c r="I635" s="6" t="n">
        <s:v>5354</s:v>
      </s:c>
      <s:c r="J635" s="6" t="n">
        <s:f>IF(COUNT(C635:I635)=7,SUM(C635:I635),"")</s:f>
        <s:v>110833</s:v>
      </s:c>
    </s:row>
    <s:row r="636">
      <s:c r="A636" s="5" t="n">
        <s:v>46292</s:v>
      </s:c>
      <s:c r="B636" s="2" t="n">
        <s:v>7</s:v>
      </s:c>
      <s:c r="C636" s="6" t="n">
        <s:v>11649</s:v>
      </s:c>
      <s:c r="D636" s="6" t="n">
        <s:v>22954</s:v>
      </s:c>
      <s:c r="E636" s="6" t="n">
        <s:v>12141</s:v>
      </s:c>
      <s:c r="F636" s="6" t="n">
        <s:v>10096</s:v>
      </s:c>
      <s:c r="G636" s="6" t="n">
        <s:v>26940</s:v>
      </s:c>
      <s:c r="H636" s="6" t="n">
        <s:v>24695</s:v>
      </s:c>
      <s:c r="I636" s="6" t="n">
        <s:v>5272</s:v>
      </s:c>
      <s:c r="J636" s="6" t="n">
        <s:f>IF(COUNT(C636:I636)=7,SUM(C636:I636),"")</s:f>
        <s:v>113747</s:v>
      </s:c>
    </s:row>
    <s:row r="637">
      <s:c r="A637" s="5" t="n">
        <s:v>46292</s:v>
      </s:c>
      <s:c r="B637" s="2" t="n">
        <s:v>8</s:v>
      </s:c>
      <s:c r="C637" s="6" t="n">
        <s:v>11821</s:v>
      </s:c>
      <s:c r="D637" s="6" t="n">
        <s:v>24904</s:v>
      </s:c>
      <s:c r="E637" s="6" t="n">
        <s:v>12800</s:v>
      </s:c>
      <s:c r="F637" s="6" t="n">
        <s:v>10114</s:v>
      </s:c>
      <s:c r="G637" s="6" t="n">
        <s:v>28036</s:v>
      </s:c>
      <s:c r="H637" s="6" t="n">
        <s:v>25127</s:v>
      </s:c>
      <s:c r="I637" s="6" t="n">
        <s:v>5201</s:v>
      </s:c>
      <s:c r="J637" s="6" t="n">
        <s:f>IF(COUNT(C637:I637)=7,SUM(C637:I637),"")</s:f>
        <s:v>118003</s:v>
      </s:c>
    </s:row>
    <s:row r="638">
      <s:c r="A638" s="5" t="n">
        <s:v>46292</s:v>
      </s:c>
      <s:c r="B638" s="2" t="n">
        <s:v>9</s:v>
      </s:c>
      <s:c r="C638" s="6" t="n">
        <s:v>12010</s:v>
      </s:c>
      <s:c r="D638" s="6" t="n">
        <s:v>25408</s:v>
      </s:c>
      <s:c r="E638" s="6" t="n">
        <s:v>13305</s:v>
      </s:c>
      <s:c r="F638" s="6" t="n">
        <s:v>10780</s:v>
      </s:c>
      <s:c r="G638" s="6" t="n">
        <s:v>28572</s:v>
      </s:c>
      <s:c r="H638" s="6" t="n">
        <s:v>24895</s:v>
      </s:c>
      <s:c r="I638" s="6" t="n">
        <s:v>5194</s:v>
      </s:c>
      <s:c r="J638" s="6" t="n">
        <s:f>IF(COUNT(C638:I638)=7,SUM(C638:I638),"")</s:f>
        <s:v>120164</s:v>
      </s:c>
    </s:row>
    <s:row r="639">
      <s:c r="A639" s="5" t="n">
        <s:v>46292</s:v>
      </s:c>
      <s:c r="B639" s="2" t="n">
        <s:v>10</s:v>
      </s:c>
      <s:c r="C639" s="6" t="n">
        <s:v>12197</s:v>
      </s:c>
      <s:c r="D639" s="6" t="n">
        <s:v>25705</s:v>
      </s:c>
      <s:c r="E639" s="6" t="n">
        <s:v>13147</s:v>
      </s:c>
      <s:c r="F639" s="6" t="n">
        <s:v>10933</s:v>
      </s:c>
      <s:c r="G639" s="6" t="n">
        <s:v>28626</s:v>
      </s:c>
      <s:c r="H639" s="6" t="n">
        <s:v>24833</s:v>
      </s:c>
      <s:c r="I639" s="6" t="n">
        <s:v>5253</s:v>
      </s:c>
      <s:c r="J639" s="6" t="n">
        <s:f>IF(COUNT(C639:I639)=7,SUM(C639:I639),"")</s:f>
        <s:v>120694</s:v>
      </s:c>
    </s:row>
    <s:row r="640">
      <s:c r="A640" s="5" t="n">
        <s:v>46292</s:v>
      </s:c>
      <s:c r="B640" s="2" t="n">
        <s:v>11</s:v>
      </s:c>
      <s:c r="C640" s="6" t="n">
        <s:v>12233</s:v>
      </s:c>
      <s:c r="D640" s="6" t="n">
        <s:v>25790</s:v>
      </s:c>
      <s:c r="E640" s="6" t="n">
        <s:v>13016</s:v>
      </s:c>
      <s:c r="F640" s="6" t="n">
        <s:v>11091</s:v>
      </s:c>
      <s:c r="G640" s="6" t="n">
        <s:v>28532</s:v>
      </s:c>
      <s:c r="H640" s="6" t="n">
        <s:v>24866</s:v>
      </s:c>
      <s:c r="I640" s="6" t="n">
        <s:v>5528</s:v>
      </s:c>
      <s:c r="J640" s="6" t="n">
        <s:f>IF(COUNT(C640:I640)=7,SUM(C640:I640),"")</s:f>
        <s:v>121056</s:v>
      </s:c>
    </s:row>
    <s:row r="641">
      <s:c r="A641" s="5" t="n">
        <s:v>46292</s:v>
      </s:c>
      <s:c r="B641" s="2" t="n">
        <s:v>12</s:v>
      </s:c>
      <s:c r="C641" s="6" t="n">
        <s:v>12228</s:v>
      </s:c>
      <s:c r="D641" s="6" t="n">
        <s:v>25806</s:v>
      </s:c>
      <s:c r="E641" s="6" t="n">
        <s:v>13272</s:v>
      </s:c>
      <s:c r="F641" s="6" t="n">
        <s:v>10988</s:v>
      </s:c>
      <s:c r="G641" s="6" t="n">
        <s:v>28389</s:v>
      </s:c>
      <s:c r="H641" s="6" t="n">
        <s:v>25097</s:v>
      </s:c>
      <s:c r="I641" s="6" t="n">
        <s:v>5583</s:v>
      </s:c>
      <s:c r="J641" s="6" t="n">
        <s:f>IF(COUNT(C641:I641)=7,SUM(C641:I641),"")</s:f>
        <s:v>121363</s:v>
      </s:c>
    </s:row>
    <s:row r="642">
      <s:c r="A642" s="5" t="n">
        <s:v>46292</s:v>
      </s:c>
      <s:c r="B642" s="2" t="n">
        <s:v>13</s:v>
      </s:c>
      <s:c r="C642" s="6" t="n">
        <s:v>11164</s:v>
      </s:c>
      <s:c r="D642" s="6" t="n">
        <s:v>26228</s:v>
      </s:c>
      <s:c r="E642" s="6" t="n">
        <s:v>13407</s:v>
      </s:c>
      <s:c r="F642" s="6" t="n">
        <s:v>11144</s:v>
      </s:c>
      <s:c r="G642" s="6" t="n">
        <s:v>28419</s:v>
      </s:c>
      <s:c r="H642" s="6" t="n">
        <s:v>25216</s:v>
      </s:c>
      <s:c r="I642" s="6" t="n">
        <s:v>5675</s:v>
      </s:c>
      <s:c r="J642" s="6" t="n">
        <s:f>IF(COUNT(C642:I642)=7,SUM(C642:I642),"")</s:f>
        <s:v>121253</s:v>
      </s:c>
    </s:row>
    <s:row r="643">
      <s:c r="A643" s="5" t="n">
        <s:v>46292</s:v>
      </s:c>
      <s:c r="B643" s="2" t="n">
        <s:v>14</s:v>
      </s:c>
      <s:c r="C643" s="6" t="n">
        <s:v>11093</s:v>
      </s:c>
      <s:c r="D643" s="6" t="n">
        <s:v>26351</s:v>
      </s:c>
      <s:c r="E643" s="6" t="n">
        <s:v>13354</s:v>
      </s:c>
      <s:c r="F643" s="6" t="n">
        <s:v>11360</s:v>
      </s:c>
      <s:c r="G643" s="6" t="n">
        <s:v>28412</s:v>
      </s:c>
      <s:c r="H643" s="6" t="n">
        <s:v>25355</s:v>
      </s:c>
      <s:c r="I643" s="6" t="n">
        <s:v>5394</s:v>
      </s:c>
      <s:c r="J643" s="6" t="n">
        <s:f>IF(COUNT(C643:I643)=7,SUM(C643:I643),"")</s:f>
        <s:v>121319</s:v>
      </s:c>
    </s:row>
    <s:row r="644">
      <s:c r="A644" s="5" t="n">
        <s:v>46292</s:v>
      </s:c>
      <s:c r="B644" s="2" t="n">
        <s:v>15</s:v>
      </s:c>
      <s:c r="C644" s="6" t="n">
        <s:v>11167</s:v>
      </s:c>
      <s:c r="D644" s="6" t="n">
        <s:v>26690</s:v>
      </s:c>
      <s:c r="E644" s="6" t="n">
        <s:v>13263</s:v>
      </s:c>
      <s:c r="F644" s="6" t="n">
        <s:v>11657</s:v>
      </s:c>
      <s:c r="G644" s="6" t="n">
        <s:v>28449</s:v>
      </s:c>
      <s:c r="H644" s="6" t="n">
        <s:v>25393</s:v>
      </s:c>
      <s:c r="I644" s="6" t="n">
        <s:v>5253</s:v>
      </s:c>
      <s:c r="J644" s="6" t="n">
        <s:f>IF(COUNT(C644:I644)=7,SUM(C644:I644),"")</s:f>
        <s:v>121872</s:v>
      </s:c>
    </s:row>
    <s:row r="645">
      <s:c r="A645" s="5" t="n">
        <s:v>46292</s:v>
      </s:c>
      <s:c r="B645" s="2" t="n">
        <s:v>16</s:v>
      </s:c>
      <s:c r="C645" s="6" t="n">
        <s:v>11407</s:v>
      </s:c>
      <s:c r="D645" s="6" t="n">
        <s:v>27108</s:v>
      </s:c>
      <s:c r="E645" s="6" t="n">
        <s:v>13231</s:v>
      </s:c>
      <s:c r="F645" s="6" t="n">
        <s:v>11765</s:v>
      </s:c>
      <s:c r="G645" s="6" t="n">
        <s:v>28559</s:v>
      </s:c>
      <s:c r="H645" s="6" t="n">
        <s:v>25280</s:v>
      </s:c>
      <s:c r="I645" s="6" t="n">
        <s:v>5194</s:v>
      </s:c>
      <s:c r="J645" s="6" t="n">
        <s:f>IF(COUNT(C645:I645)=7,SUM(C645:I645),"")</s:f>
        <s:v>122544</s:v>
      </s:c>
    </s:row>
    <s:row r="646">
      <s:c r="A646" s="5" t="n">
        <s:v>46292</s:v>
      </s:c>
      <s:c r="B646" s="2" t="n">
        <s:v>17</s:v>
      </s:c>
      <s:c r="C646" s="6" t="n">
        <s:v>12360</s:v>
      </s:c>
      <s:c r="D646" s="6" t="n">
        <s:v>26985</s:v>
      </s:c>
      <s:c r="E646" s="6" t="n">
        <s:v>13389</s:v>
      </s:c>
      <s:c r="F646" s="6" t="n">
        <s:v>12191</s:v>
      </s:c>
      <s:c r="G646" s="6" t="n">
        <s:v>28482</s:v>
      </s:c>
      <s:c r="H646" s="6" t="n">
        <s:v>24941</s:v>
      </s:c>
      <s:c r="I646" s="6" t="n">
        <s:v>4879</s:v>
      </s:c>
      <s:c r="J646" s="6" t="n">
        <s:f>IF(COUNT(C646:I646)=7,SUM(C646:I646),"")</s:f>
        <s:v>123227</s:v>
      </s:c>
    </s:row>
    <s:row r="647">
      <s:c r="A647" s="5" t="n">
        <s:v>46292</s:v>
      </s:c>
      <s:c r="B647" s="2" t="n">
        <s:v>18</s:v>
      </s:c>
      <s:c r="C647" s="6" t="n">
        <s:v>12475</s:v>
      </s:c>
      <s:c r="D647" s="6" t="n">
        <s:v>27681</s:v>
      </s:c>
      <s:c r="E647" s="6" t="n">
        <s:v>13952</s:v>
      </s:c>
      <s:c r="F647" s="6" t="n">
        <s:v>12273</s:v>
      </s:c>
      <s:c r="G647" s="6" t="n">
        <s:v>28937</s:v>
      </s:c>
      <s:c r="H647" s="6" t="n">
        <s:v>24208</s:v>
      </s:c>
      <s:c r="I647" s="6" t="n">
        <s:v>4841</s:v>
      </s:c>
      <s:c r="J647" s="6" t="n">
        <s:f>IF(COUNT(C647:I647)=7,SUM(C647:I647),"")</s:f>
        <s:v>124367</s:v>
      </s:c>
    </s:row>
    <s:row r="648">
      <s:c r="A648" s="5" t="n">
        <s:v>46292</s:v>
      </s:c>
      <s:c r="B648" s="2" t="n">
        <s:v>19</s:v>
      </s:c>
      <s:c r="C648" s="6" t="n">
        <s:v>12470</s:v>
      </s:c>
      <s:c r="D648" s="6" t="n">
        <s:v>27689</s:v>
      </s:c>
      <s:c r="E648" s="6" t="n">
        <s:v>13604</s:v>
      </s:c>
      <s:c r="F648" s="6" t="n">
        <s:v>11311</s:v>
      </s:c>
      <s:c r="G648" s="6" t="n">
        <s:v>28698</s:v>
      </s:c>
      <s:c r="H648" s="6" t="n">
        <s:v>23437</s:v>
      </s:c>
      <s:c r="I648" s="6" t="n">
        <s:v>4697</s:v>
      </s:c>
      <s:c r="J648" s="6" t="n">
        <s:f>IF(COUNT(C648:I648)=7,SUM(C648:I648),"")</s:f>
        <s:v>121906</s:v>
      </s:c>
    </s:row>
    <s:row r="649">
      <s:c r="A649" s="5" t="n">
        <s:v>46292</s:v>
      </s:c>
      <s:c r="B649" s="2" t="n">
        <s:v>20</s:v>
      </s:c>
      <s:c r="C649" s="6" t="n">
        <s:v>12513</s:v>
      </s:c>
      <s:c r="D649" s="6" t="n">
        <s:v>27329</s:v>
      </s:c>
      <s:c r="E649" s="6" t="n">
        <s:v>13305</s:v>
      </s:c>
      <s:c r="F649" s="6" t="n">
        <s:v>11391</s:v>
      </s:c>
      <s:c r="G649" s="6" t="n">
        <s:v>27398</s:v>
      </s:c>
      <s:c r="H649" s="6" t="n">
        <s:v>22772</s:v>
      </s:c>
      <s:c r="I649" s="6" t="n">
        <s:v>4629</s:v>
      </s:c>
      <s:c r="J649" s="6" t="n">
        <s:f>IF(COUNT(C649:I649)=7,SUM(C649:I649),"")</s:f>
        <s:v>119337</s:v>
      </s:c>
    </s:row>
    <s:row r="650">
      <s:c r="A650" s="5" t="n">
        <s:v>46292</s:v>
      </s:c>
      <s:c r="B650" s="2" t="n">
        <s:v>21</s:v>
      </s:c>
      <s:c r="C650" s="6" t="n">
        <s:v>12281</s:v>
      </s:c>
      <s:c r="D650" s="6" t="n">
        <s:v>24949</s:v>
      </s:c>
      <s:c r="E650" s="6" t="n">
        <s:v>12830</s:v>
      </s:c>
      <s:c r="F650" s="6" t="n">
        <s:v>10408</s:v>
      </s:c>
      <s:c r="G650" s="6" t="n">
        <s:v>27703</s:v>
      </s:c>
      <s:c r="H650" s="6" t="n">
        <s:v>22712</s:v>
      </s:c>
      <s:c r="I650" s="6" t="n">
        <s:v>4604</s:v>
      </s:c>
      <s:c r="J650" s="6" t="n">
        <s:f>IF(COUNT(C650:I650)=7,SUM(C650:I650),"")</s:f>
        <s:v>115487</s:v>
      </s:c>
    </s:row>
    <s:row r="651">
      <s:c r="A651" s="5" t="n">
        <s:v>46292</s:v>
      </s:c>
      <s:c r="B651" s="2" t="n">
        <s:v>22</s:v>
      </s:c>
      <s:c r="C651" s="6" t="n">
        <s:v>11992</s:v>
      </s:c>
      <s:c r="D651" s="6" t="n">
        <s:v>23491</s:v>
      </s:c>
      <s:c r="E651" s="6" t="n">
        <s:v>12196</s:v>
      </s:c>
      <s:c r="F651" s="6" t="n">
        <s:v>9230</s:v>
      </s:c>
      <s:c r="G651" s="6" t="n">
        <s:v>26946</s:v>
      </s:c>
      <s:c r="H651" s="6" t="n">
        <s:v>22326</s:v>
      </s:c>
      <s:c r="I651" s="6" t="n">
        <s:v>4833</s:v>
      </s:c>
      <s:c r="J651" s="6" t="n">
        <s:f>IF(COUNT(C651:I651)=7,SUM(C651:I651),"")</s:f>
        <s:v>111014</s:v>
      </s:c>
    </s:row>
    <s:row r="652">
      <s:c r="A652" s="5" t="n">
        <s:v>46292</s:v>
      </s:c>
      <s:c r="B652" s="2" t="n">
        <s:v>23</s:v>
      </s:c>
      <s:c r="C652" s="6" t="n">
        <s:v>11511</s:v>
      </s:c>
      <s:c r="D652" s="6" t="n">
        <s:v>22355</s:v>
      </s:c>
      <s:c r="E652" s="6" t="n">
        <s:v>11586</s:v>
      </s:c>
      <s:c r="F652" s="6" t="n">
        <s:v>9303</s:v>
      </s:c>
      <s:c r="G652" s="6" t="n">
        <s:v>25980</s:v>
      </s:c>
      <s:c r="H652" s="6" t="n">
        <s:v>22128</s:v>
      </s:c>
      <s:c r="I652" s="6" t="n">
        <s:v>5006</s:v>
      </s:c>
      <s:c r="J652" s="6" t="n">
        <s:f>IF(COUNT(C652:I652)=7,SUM(C652:I652),"")</s:f>
        <s:v>107869</s:v>
      </s:c>
    </s:row>
    <s:row r="653">
      <s:c r="A653" s="5" t="n">
        <s:v>46293</s:v>
      </s:c>
      <s:c r="B653" s="2" t="n">
        <s:v>0</s:v>
      </s:c>
      <s:c r="C653" s="6" t="n">
        <s:v>10921</s:v>
      </s:c>
      <s:c r="D653" s="6" t="n">
        <s:v>21392</s:v>
      </s:c>
      <s:c r="E653" s="6" t="n">
        <s:v>11259</s:v>
      </s:c>
      <s:c r="F653" s="6" t="n">
        <s:v>9645</s:v>
      </s:c>
      <s:c r="G653" s="6" t="n">
        <s:v>25306</s:v>
      </s:c>
      <s:c r="H653" s="6" t="n">
        <s:v>22590</s:v>
      </s:c>
      <s:c r="I653" s="6" t="n">
        <s:v>5204</s:v>
      </s:c>
      <s:c r="J653" s="6" t="n">
        <s:f>IF(COUNT(C653:I653)=7,SUM(C653:I653),"")</s:f>
        <s:v>106317</s:v>
      </s:c>
    </s:row>
    <s:row r="654">
      <s:c r="A654" s="5" t="n">
        <s:v>46293</s:v>
      </s:c>
      <s:c r="B654" s="2" t="n">
        <s:v>1</s:v>
      </s:c>
      <s:c r="C654" s="6" t="n">
        <s:v>10821</s:v>
      </s:c>
      <s:c r="D654" s="6" t="n">
        <s:v>21244</s:v>
      </s:c>
      <s:c r="E654" s="6" t="n">
        <s:v>11042</s:v>
      </s:c>
      <s:c r="F654" s="6" t="n">
        <s:v>9483</s:v>
      </s:c>
      <s:c r="G654" s="6" t="n">
        <s:v>24465</s:v>
      </s:c>
      <s:c r="H654" s="6" t="n">
        <s:v>22877</s:v>
      </s:c>
      <s:c r="I654" s="6" t="n">
        <s:v>5409</s:v>
      </s:c>
      <s:c r="J654" s="6" t="n">
        <s:f>IF(COUNT(C654:I654)=7,SUM(C654:I654),"")</s:f>
        <s:v>105341</s:v>
      </s:c>
    </s:row>
    <s:row r="655">
      <s:c r="A655" s="5" t="n">
        <s:v>46293</s:v>
      </s:c>
      <s:c r="B655" s="2" t="n">
        <s:v>2</s:v>
      </s:c>
      <s:c r="C655" s="6" t="n">
        <s:v>10795</s:v>
      </s:c>
      <s:c r="D655" s="6" t="n">
        <s:v>20875</s:v>
      </s:c>
      <s:c r="E655" s="6" t="n">
        <s:v>10956</s:v>
      </s:c>
      <s:c r="F655" s="6" t="n">
        <s:v>9680</s:v>
      </s:c>
      <s:c r="G655" s="6" t="n">
        <s:v>24412</s:v>
      </s:c>
      <s:c r="H655" s="6" t="n">
        <s:v>23975</s:v>
      </s:c>
      <s:c r="I655" s="6" t="n">
        <s:v>5450</s:v>
      </s:c>
      <s:c r="J655" s="6" t="n">
        <s:f>IF(COUNT(C655:I655)=7,SUM(C655:I655),"")</s:f>
        <s:v>106143</s:v>
      </s:c>
    </s:row>
    <s:row r="656">
      <s:c r="A656" s="5" t="n">
        <s:v>46293</s:v>
      </s:c>
      <s:c r="B656" s="2" t="n">
        <s:v>3</s:v>
      </s:c>
      <s:c r="C656" s="6" t="n">
        <s:v>10804</s:v>
      </s:c>
      <s:c r="D656" s="6" t="n">
        <s:v>21150</s:v>
      </s:c>
      <s:c r="E656" s="6" t="n">
        <s:v>10870</s:v>
      </s:c>
      <s:c r="F656" s="6" t="n">
        <s:v>9936</s:v>
      </s:c>
      <s:c r="G656" s="6" t="n">
        <s:v>24648</s:v>
      </s:c>
      <s:c r="H656" s="6" t="n">
        <s:v>24155</s:v>
      </s:c>
      <s:c r="I656" s="6" t="n">
        <s:v>5583</s:v>
      </s:c>
      <s:c r="J656" s="6" t="n">
        <s:f>IF(COUNT(C656:I656)=7,SUM(C656:I656),"")</s:f>
        <s:v>107146</s:v>
      </s:c>
    </s:row>
    <s:row r="657">
      <s:c r="A657" s="5" t="n">
        <s:v>46293</s:v>
      </s:c>
      <s:c r="B657" s="2" t="n">
        <s:v>4</s:v>
      </s:c>
      <s:c r="C657" s="6" t="n">
        <s:v>10760</s:v>
      </s:c>
      <s:c r="D657" s="6" t="n">
        <s:v>22200</s:v>
      </s:c>
      <s:c r="E657" s="6" t="n">
        <s:v>10787</s:v>
      </s:c>
      <s:c r="F657" s="6" t="n">
        <s:v>9563</s:v>
      </s:c>
      <s:c r="G657" s="6" t="n">
        <s:v>26090</s:v>
      </s:c>
      <s:c r="H657" s="6" t="n">
        <s:v>24896</s:v>
      </s:c>
      <s:c r="I657" s="6" t="n">
        <s:v>5459</s:v>
      </s:c>
      <s:c r="J657" s="6" t="n">
        <s:f>IF(COUNT(C657:I657)=7,SUM(C657:I657),"")</s:f>
        <s:v>109755</s:v>
      </s:c>
    </s:row>
    <s:row r="658">
      <s:c r="A658" s="5" t="n">
        <s:v>46293</s:v>
      </s:c>
      <s:c r="B658" s="2" t="n">
        <s:v>5</s:v>
      </s:c>
      <s:c r="C658" s="6" t="n">
        <s:v>11145</s:v>
      </s:c>
      <s:c r="D658" s="6" t="n">
        <s:v>23076</s:v>
      </s:c>
      <s:c r="E658" s="6" t="n">
        <s:v>10929</s:v>
      </s:c>
      <s:c r="F658" s="6" t="n">
        <s:v>10362</s:v>
      </s:c>
      <s:c r="G658" s="6" t="n">
        <s:v>27802</s:v>
      </s:c>
      <s:c r="H658" s="6" t="n">
        <s:v>25256</s:v>
      </s:c>
      <s:c r="I658" s="6" t="n">
        <s:v>5263</s:v>
      </s:c>
      <s:c r="J658" s="6" t="n">
        <s:f>IF(COUNT(C658:I658)=7,SUM(C658:I658),"")</s:f>
        <s:v>113833</s:v>
      </s:c>
    </s:row>
    <s:row r="659">
      <s:c r="A659" s="5" t="n">
        <s:v>46293</s:v>
      </s:c>
      <s:c r="B659" s="2" t="n">
        <s:v>6</s:v>
      </s:c>
      <s:c r="C659" s="6" t="n">
        <s:v>11688</s:v>
      </s:c>
      <s:c r="D659" s="6" t="n">
        <s:v>25375</s:v>
      </s:c>
      <s:c r="E659" s="6" t="n">
        <s:v>11600</s:v>
      </s:c>
      <s:c r="F659" s="6" t="n">
        <s:v>10378</s:v>
      </s:c>
      <s:c r="G659" s="6" t="n">
        <s:v>28453</s:v>
      </s:c>
      <s:c r="H659" s="6" t="n">
        <s:v>24823</s:v>
      </s:c>
      <s:c r="I659" s="6" t="n">
        <s:v>5177</s:v>
      </s:c>
      <s:c r="J659" s="6" t="n">
        <s:f>IF(COUNT(C659:I659)=7,SUM(C659:I659),"")</s:f>
        <s:v>117494</s:v>
      </s:c>
    </s:row>
    <s:row r="660">
      <s:c r="A660" s="5" t="n">
        <s:v>46293</s:v>
      </s:c>
      <s:c r="B660" s="2" t="n">
        <s:v>7</s:v>
      </s:c>
      <s:c r="C660" s="6" t="n">
        <s:v>11967</s:v>
      </s:c>
      <s:c r="D660" s="6" t="n">
        <s:v>26468</s:v>
      </s:c>
      <s:c r="E660" s="6" t="n">
        <s:v>12386</s:v>
      </s:c>
      <s:c r="F660" s="6" t="n">
        <s:v>11570</s:v>
      </s:c>
      <s:c r="G660" s="6" t="n">
        <s:v>28621</s:v>
      </s:c>
      <s:c r="H660" s="6" t="n">
        <s:v>24359</s:v>
      </s:c>
      <s:c r="I660" s="6" t="n">
        <s:v>5136</s:v>
      </s:c>
      <s:c r="J660" s="6" t="n">
        <s:f>IF(COUNT(C660:I660)=7,SUM(C660:I660),"")</s:f>
        <s:v>120507</s:v>
      </s:c>
    </s:row>
    <s:row r="661">
      <s:c r="A661" s="5" t="n">
        <s:v>46293</s:v>
      </s:c>
      <s:c r="B661" s="2" t="n">
        <s:v>8</s:v>
      </s:c>
      <s:c r="C661" s="6" t="n">
        <s:v>12479</s:v>
      </s:c>
      <s:c r="D661" s="6" t="n">
        <s:v>27727</s:v>
      </s:c>
      <s:c r="E661" s="6" t="n">
        <s:v>13038</s:v>
      </s:c>
      <s:c r="F661" s="6" t="n">
        <s:v>12506</s:v>
      </s:c>
      <s:c r="G661" s="6" t="n">
        <s:v>28999</s:v>
      </s:c>
      <s:c r="H661" s="6" t="n">
        <s:v>25131</s:v>
      </s:c>
      <s:c r="I661" s="6" t="n">
        <s:v>5190</s:v>
      </s:c>
      <s:c r="J661" s="6" t="n">
        <s:f>IF(COUNT(C661:I661)=7,SUM(C661:I661),"")</s:f>
        <s:v>125070</s:v>
      </s:c>
    </s:row>
    <s:row r="662">
      <s:c r="A662" s="5" t="n">
        <s:v>46293</s:v>
      </s:c>
      <s:c r="B662" s="2" t="n">
        <s:v>9</s:v>
      </s:c>
      <s:c r="C662" s="6" t="n">
        <s:v>12429</s:v>
      </s:c>
      <s:c r="D662" s="6" t="n">
        <s:v>28248</s:v>
      </s:c>
      <s:c r="E662" s="6" t="n">
        <s:v>13349</s:v>
      </s:c>
      <s:c r="F662" s="6" t="n">
        <s:v>12508</s:v>
      </s:c>
      <s:c r="G662" s="6" t="n">
        <s:v>28982</s:v>
      </s:c>
      <s:c r="H662" s="6" t="n">
        <s:v>25310</s:v>
      </s:c>
      <s:c r="I662" s="6" t="n">
        <s:v>5220</s:v>
      </s:c>
      <s:c r="J662" s="6" t="n">
        <s:f>IF(COUNT(C662:I662)=7,SUM(C662:I662),"")</s:f>
        <s:v>126046</s:v>
      </s:c>
    </s:row>
    <s:row r="663">
      <s:c r="A663" s="5" t="n">
        <s:v>46293</s:v>
      </s:c>
      <s:c r="B663" s="2" t="n">
        <s:v>10</s:v>
      </s:c>
      <s:c r="C663" s="6" t="n">
        <s:v>12547</s:v>
      </s:c>
      <s:c r="D663" s="6" t="n">
        <s:v>28148</s:v>
      </s:c>
      <s:c r="E663" s="6" t="n">
        <s:v>13428</s:v>
      </s:c>
      <s:c r="F663" s="6" t="n">
        <s:v>12028</s:v>
      </s:c>
      <s:c r="G663" s="6" t="n">
        <s:v>29018</s:v>
      </s:c>
      <s:c r="H663" s="6" t="n">
        <s:v>25442</s:v>
      </s:c>
      <s:c r="I663" s="6" t="n">
        <s:v>5303</s:v>
      </s:c>
      <s:c r="J663" s="6" t="n">
        <s:f>IF(COUNT(C663:I663)=7,SUM(C663:I663),"")</s:f>
        <s:v>125914</s:v>
      </s:c>
    </s:row>
    <s:row r="664">
      <s:c r="A664" s="5" t="n">
        <s:v>46293</s:v>
      </s:c>
      <s:c r="B664" s="2" t="n">
        <s:v>11</s:v>
      </s:c>
      <s:c r="C664" s="6" t="n">
        <s:v>12535</s:v>
      </s:c>
      <s:c r="D664" s="6" t="n">
        <s:v>27898</s:v>
      </s:c>
      <s:c r="E664" s="6" t="n">
        <s:v>13259</s:v>
      </s:c>
      <s:c r="F664" s="6" t="n">
        <s:v>12096</s:v>
      </s:c>
      <s:c r="G664" s="6" t="n">
        <s:v>28759</s:v>
      </s:c>
      <s:c r="H664" s="6" t="n">
        <s:v>25284</s:v>
      </s:c>
      <s:c r="I664" s="6" t="n">
        <s:v>5376</s:v>
      </s:c>
      <s:c r="J664" s="6" t="n">
        <s:f>IF(COUNT(C664:I664)=7,SUM(C664:I664),"")</s:f>
        <s:v>125207</s:v>
      </s:c>
    </s:row>
    <s:row r="665">
      <s:c r="A665" s="5" t="n">
        <s:v>46293</s:v>
      </s:c>
      <s:c r="B665" s="2" t="n">
        <s:v>12</s:v>
      </s:c>
      <s:c r="C665" s="6" t="n">
        <s:v>12476</s:v>
      </s:c>
      <s:c r="D665" s="6" t="n">
        <s:v>27821</s:v>
      </s:c>
      <s:c r="E665" s="6" t="n">
        <s:v>13287</s:v>
      </s:c>
      <s:c r="F665" s="6" t="n">
        <s:v>12262</s:v>
      </s:c>
      <s:c r="G665" s="6" t="n">
        <s:v>28693</s:v>
      </s:c>
      <s:c r="H665" s="6" t="n">
        <s:v>24968</s:v>
      </s:c>
      <s:c r="I665" s="6" t="n">
        <s:v>5502</s:v>
      </s:c>
      <s:c r="J665" s="6" t="n">
        <s:f>IF(COUNT(C665:I665)=7,SUM(C665:I665),"")</s:f>
        <s:v>125009</s:v>
      </s:c>
    </s:row>
    <s:row r="666">
      <s:c r="A666" s="5" t="n">
        <s:v>46293</s:v>
      </s:c>
      <s:c r="B666" s="2" t="n">
        <s:v>13</s:v>
      </s:c>
      <s:c r="C666" s="6" t="n">
        <s:v>12502</s:v>
      </s:c>
      <s:c r="D666" s="6" t="n">
        <s:v>27805</s:v>
      </s:c>
      <s:c r="E666" s="6" t="n">
        <s:v>13331</s:v>
      </s:c>
      <s:c r="F666" s="6" t="n">
        <s:v>12665</s:v>
      </s:c>
      <s:c r="G666" s="6" t="n">
        <s:v>28919</s:v>
      </s:c>
      <s:c r="H666" s="6" t="n">
        <s:v>25071</s:v>
      </s:c>
      <s:c r="I666" s="6" t="n">
        <s:v>5505</s:v>
      </s:c>
      <s:c r="J666" s="6" t="n">
        <s:f>IF(COUNT(C666:I666)=7,SUM(C666:I666),"")</s:f>
        <s:v>125798</s:v>
      </s:c>
    </s:row>
    <s:row r="667">
      <s:c r="A667" s="5" t="n">
        <s:v>46293</s:v>
      </s:c>
      <s:c r="B667" s="2" t="n">
        <s:v>14</s:v>
      </s:c>
      <s:c r="C667" s="6" t="n">
        <s:v>12519</s:v>
      </s:c>
      <s:c r="D667" s="6" t="n">
        <s:v>27486</s:v>
      </s:c>
      <s:c r="E667" s="6" t="n">
        <s:v>13144</s:v>
      </s:c>
      <s:c r="F667" s="6" t="n">
        <s:v>12235</s:v>
      </s:c>
      <s:c r="G667" s="6" t="n">
        <s:v>28994</s:v>
      </s:c>
      <s:c r="H667" s="6" t="n">
        <s:v>25288</s:v>
      </s:c>
      <s:c r="I667" s="6" t="n">
        <s:v>5275</s:v>
      </s:c>
      <s:c r="J667" s="6" t="n">
        <s:f>IF(COUNT(C667:I667)=7,SUM(C667:I667),"")</s:f>
        <s:v>124941</s:v>
      </s:c>
    </s:row>
    <s:row r="668">
      <s:c r="A668" s="5" t="n">
        <s:v>46293</s:v>
      </s:c>
      <s:c r="B668" s="2" t="n">
        <s:v>15</s:v>
      </s:c>
      <s:c r="C668" s="6" t="n">
        <s:v>12529</s:v>
      </s:c>
      <s:c r="D668" s="6" t="n">
        <s:v>27300</s:v>
      </s:c>
      <s:c r="E668" s="6" t="n">
        <s:v>13371</s:v>
      </s:c>
      <s:c r="F668" s="6" t="n">
        <s:v>12906</s:v>
      </s:c>
      <s:c r="G668" s="6" t="n">
        <s:v>29012</s:v>
      </s:c>
      <s:c r="H668" s="6" t="n">
        <s:v>25567</s:v>
      </s:c>
      <s:c r="I668" s="6" t="n">
        <s:v>5157</s:v>
      </s:c>
      <s:c r="J668" s="6" t="n">
        <s:f>IF(COUNT(C668:I668)=7,SUM(C668:I668),"")</s:f>
        <s:v>125842</s:v>
      </s:c>
    </s:row>
    <s:row r="669">
      <s:c r="A669" s="5" t="n">
        <s:v>46293</s:v>
      </s:c>
      <s:c r="B669" s="2" t="n">
        <s:v>16</s:v>
      </s:c>
      <s:c r="C669" s="6" t="n">
        <s:v>12455</s:v>
      </s:c>
      <s:c r="D669" s="6" t="n">
        <s:v>27696</s:v>
      </s:c>
      <s:c r="E669" s="6" t="n">
        <s:v>13090</s:v>
      </s:c>
      <s:c r="F669" s="6" t="n">
        <s:v>12253</s:v>
      </s:c>
      <s:c r="G669" s="6" t="n">
        <s:v>28595</s:v>
      </s:c>
      <s:c r="H669" s="6" t="n">
        <s:v>25305</s:v>
      </s:c>
      <s:c r="I669" s="6" t="n">
        <s:v>5016</s:v>
      </s:c>
      <s:c r="J669" s="6" t="n">
        <s:f>IF(COUNT(C669:I669)=7,SUM(C669:I669),"")</s:f>
        <s:v>124410</s:v>
      </s:c>
    </s:row>
    <s:row r="670">
      <s:c r="A670" s="5" t="n">
        <s:v>46293</s:v>
      </s:c>
      <s:c r="B670" s="2" t="n">
        <s:v>17</s:v>
      </s:c>
      <s:c r="C670" s="6" t="n">
        <s:v>12416</s:v>
      </s:c>
      <s:c r="D670" s="6" t="n">
        <s:v>28180</s:v>
      </s:c>
      <s:c r="E670" s="6" t="n">
        <s:v>13338</s:v>
      </s:c>
      <s:c r="F670" s="6" t="n">
        <s:v>12401</s:v>
      </s:c>
      <s:c r="G670" s="6" t="n">
        <s:v>28842</s:v>
      </s:c>
      <s:c r="H670" s="6" t="n">
        <s:v>24933</s:v>
      </s:c>
      <s:c r="I670" s="6" t="n">
        <s:v>5015</s:v>
      </s:c>
      <s:c r="J670" s="6" t="n">
        <s:f>IF(COUNT(C670:I670)=7,SUM(C670:I670),"")</s:f>
        <s:v>125125</s:v>
      </s:c>
    </s:row>
    <s:row r="671">
      <s:c r="A671" s="5" t="n">
        <s:v>46293</s:v>
      </s:c>
      <s:c r="B671" s="2" t="n">
        <s:v>18</s:v>
      </s:c>
      <s:c r="C671" s="6" t="n">
        <s:v>12495</s:v>
      </s:c>
      <s:c r="D671" s="6" t="n">
        <s:v>28289</s:v>
      </s:c>
      <s:c r="E671" s="6" t="n">
        <s:v>13481</s:v>
      </s:c>
      <s:c r="F671" s="6" t="n">
        <s:v>13537</s:v>
      </s:c>
      <s:c r="G671" s="6" t="n">
        <s:v>28698</s:v>
      </s:c>
      <s:c r="H671" s="6" t="n">
        <s:v>24513</s:v>
      </s:c>
      <s:c r="I671" s="6" t="n">
        <s:v>4648</s:v>
      </s:c>
      <s:c r="J671" s="6" t="n">
        <s:f>IF(COUNT(C671:I671)=7,SUM(C671:I671),"")</s:f>
        <s:v>125661</s:v>
      </s:c>
    </s:row>
    <s:row r="672">
      <s:c r="A672" s="5" t="n">
        <s:v>46293</s:v>
      </s:c>
      <s:c r="B672" s="2" t="n">
        <s:v>19</s:v>
      </s:c>
      <s:c r="C672" s="6" t="n">
        <s:v>12489</s:v>
      </s:c>
      <s:c r="D672" s="6" t="n">
        <s:v>28094</s:v>
      </s:c>
      <s:c r="E672" s="6" t="n">
        <s:v>13335</s:v>
      </s:c>
      <s:c r="F672" s="6" t="n">
        <s:v>12379</s:v>
      </s:c>
      <s:c r="G672" s="6" t="n">
        <s:v>28499</s:v>
      </s:c>
      <s:c r="H672" s="6" t="n">
        <s:v>24009</s:v>
      </s:c>
      <s:c r="I672" s="6" t="n">
        <s:v>4691</s:v>
      </s:c>
      <s:c r="J672" s="6" t="n">
        <s:f>IF(COUNT(C672:I672)=7,SUM(C672:I672),"")</s:f>
        <s:v>123496</s:v>
      </s:c>
    </s:row>
    <s:row r="673">
      <s:c r="A673" s="5" t="n">
        <s:v>46293</s:v>
      </s:c>
      <s:c r="B673" s="2" t="n">
        <s:v>20</s:v>
      </s:c>
      <s:c r="C673" s="6" t="n">
        <s:v>12485</s:v>
      </s:c>
      <s:c r="D673" s="6" t="n">
        <s:v>27156</s:v>
      </s:c>
      <s:c r="E673" s="6" t="n">
        <s:v>13343</s:v>
      </s:c>
      <s:c r="F673" s="6" t="n">
        <s:v>11716</s:v>
      </s:c>
      <s:c r="G673" s="6" t="n">
        <s:v>27487</s:v>
      </s:c>
      <s:c r="H673" s="6" t="n">
        <s:v>23560</s:v>
      </s:c>
      <s:c r="I673" s="6" t="n">
        <s:v>4643</s:v>
      </s:c>
      <s:c r="J673" s="6" t="n">
        <s:f>IF(COUNT(C673:I673)=7,SUM(C673:I673),"")</s:f>
        <s:v>120390</s:v>
      </s:c>
    </s:row>
    <s:row r="674">
      <s:c r="A674" s="5" t="n">
        <s:v>46293</s:v>
      </s:c>
      <s:c r="B674" s="2" t="n">
        <s:v>21</s:v>
      </s:c>
      <s:c r="C674" s="6" t="n">
        <s:v>12385</s:v>
      </s:c>
      <s:c r="D674" s="6" t="n">
        <s:v>25800</s:v>
      </s:c>
      <s:c r="E674" s="6" t="n">
        <s:v>12554</s:v>
      </s:c>
      <s:c r="F674" s="6" t="n">
        <s:v>11324</s:v>
      </s:c>
      <s:c r="G674" s="6" t="n">
        <s:v>26484</s:v>
      </s:c>
      <s:c r="H674" s="6" t="n">
        <s:v>23372</s:v>
      </s:c>
      <s:c r="I674" s="6" t="n">
        <s:v>4729</s:v>
      </s:c>
      <s:c r="J674" s="6" t="n">
        <s:f>IF(COUNT(C674:I674)=7,SUM(C674:I674),"")</s:f>
        <s:v>116648</s:v>
      </s:c>
    </s:row>
    <s:row r="675">
      <s:c r="A675" s="5" t="n">
        <s:v>46293</s:v>
      </s:c>
      <s:c r="B675" s="2" t="n">
        <s:v>22</s:v>
      </s:c>
      <s:c r="C675" s="6" t="n">
        <s:v>12150</s:v>
      </s:c>
      <s:c r="D675" s="6" t="n">
        <s:v>24498</s:v>
      </s:c>
      <s:c r="E675" s="6" t="n">
        <s:v>11861</s:v>
      </s:c>
      <s:c r="F675" s="6" t="n">
        <s:v>10381</s:v>
      </s:c>
      <s:c r="G675" s="6" t="n">
        <s:v>24967</s:v>
      </s:c>
      <s:c r="H675" s="6" t="n">
        <s:v>22954</s:v>
      </s:c>
      <s:c r="I675" s="6" t="n">
        <s:v>4768</s:v>
      </s:c>
      <s:c r="J675" s="6" t="n">
        <s:f>IF(COUNT(C675:I675)=7,SUM(C675:I675),"")</s:f>
        <s:v>111579</s:v>
      </s:c>
    </s:row>
    <s:row r="676">
      <s:c r="A676" s="5" t="n">
        <s:v>46293</s:v>
      </s:c>
      <s:c r="B676" s="2" t="n">
        <s:v>23</s:v>
      </s:c>
      <s:c r="C676" s="6" t="n">
        <s:v>11885</s:v>
      </s:c>
      <s:c r="D676" s="6" t="n">
        <s:v>22666</s:v>
      </s:c>
      <s:c r="E676" s="6" t="n">
        <s:v>11195</s:v>
      </s:c>
      <s:c r="F676" s="6" t="n">
        <s:v>10551</s:v>
      </s:c>
      <s:c r="G676" s="6" t="n">
        <s:v>23768</s:v>
      </s:c>
      <s:c r="H676" s="6" t="n">
        <s:v>22969</s:v>
      </s:c>
      <s:c r="I676" s="6" t="n">
        <s:v>5072</s:v>
      </s:c>
      <s:c r="J676" s="6" t="n">
        <s:f>IF(COUNT(C676:I676)=7,SUM(C676:I676),"")</s:f>
        <s:v>108106</s:v>
      </s:c>
    </s:row>
    <s:row r="677">
      <s:c r="A677" s="5" t="n">
        <s:v>46294</s:v>
      </s:c>
      <s:c r="B677" s="2" t="n">
        <s:v>0</s:v>
      </s:c>
      <s:c r="C677" s="6" t="n">
        <s:v>11878</s:v>
      </s:c>
      <s:c r="D677" s="6" t="n">
        <s:v>21983</s:v>
      </s:c>
      <s:c r="E677" s="6" t="n">
        <s:v>10633</s:v>
      </s:c>
      <s:c r="F677" s="6" t="n">
        <s:v>9569</s:v>
      </s:c>
      <s:c r="G677" s="6" t="n">
        <s:v>24027</s:v>
      </s:c>
      <s:c r="H677" s="6" t="n">
        <s:v>23127</s:v>
      </s:c>
      <s:c r="I677" s="6" t="n">
        <s:v>5224</s:v>
      </s:c>
      <s:c r="J677" s="6" t="n">
        <s:f>IF(COUNT(C677:I677)=7,SUM(C677:I677),"")</s:f>
        <s:v>106441</s:v>
      </s:c>
    </s:row>
    <s:row r="678">
      <s:c r="A678" s="5" t="n">
        <s:v>46294</s:v>
      </s:c>
      <s:c r="B678" s="2" t="n">
        <s:v>1</s:v>
      </s:c>
      <s:c r="C678" s="6" t="n">
        <s:v>11251</s:v>
      </s:c>
      <s:c r="D678" s="6" t="n">
        <s:v>21816</s:v>
      </s:c>
      <s:c r="E678" s="6" t="n">
        <s:v>10442</s:v>
      </s:c>
      <s:c r="F678" s="6" t="n">
        <s:v>9527</s:v>
      </s:c>
      <s:c r="G678" s="6" t="n">
        <s:v>23744</s:v>
      </s:c>
      <s:c r="H678" s="6" t="n">
        <s:v>23752</s:v>
      </s:c>
      <s:c r="I678" s="6" t="n">
        <s:v>5341</s:v>
      </s:c>
      <s:c r="J678" s="6" t="n">
        <s:f>IF(COUNT(C678:I678)=7,SUM(C678:I678),"")</s:f>
        <s:v>105873</s:v>
      </s:c>
    </s:row>
    <s:row r="679">
      <s:c r="A679" s="5" t="n">
        <s:v>46294</s:v>
      </s:c>
      <s:c r="B679" s="2" t="n">
        <s:v>2</s:v>
      </s:c>
      <s:c r="C679" s="6" t="n">
        <s:v>11223</s:v>
      </s:c>
      <s:c r="D679" s="6" t="n">
        <s:v>21564</s:v>
      </s:c>
      <s:c r="E679" s="6" t="n">
        <s:v>10296</s:v>
      </s:c>
      <s:c r="F679" s="6" t="n">
        <s:v>9501</s:v>
      </s:c>
      <s:c r="G679" s="6" t="n">
        <s:v>24020</s:v>
      </s:c>
      <s:c r="H679" s="6" t="n">
        <s:v>24039</s:v>
      </s:c>
      <s:c r="I679" s="6" t="n">
        <s:v>5395</s:v>
      </s:c>
      <s:c r="J679" s="6" t="n">
        <s:f>IF(COUNT(C679:I679)=7,SUM(C679:I679),"")</s:f>
        <s:v>106038</s:v>
      </s:c>
    </s:row>
    <s:row r="680">
      <s:c r="A680" s="5" t="n">
        <s:v>46294</s:v>
      </s:c>
      <s:c r="B680" s="2" t="n">
        <s:v>3</s:v>
      </s:c>
      <s:c r="C680" s="6" t="n">
        <s:v>10856</s:v>
      </s:c>
      <s:c r="D680" s="6" t="n">
        <s:v>22189</s:v>
      </s:c>
      <s:c r="E680" s="6" t="n">
        <s:v>10263</s:v>
      </s:c>
      <s:c r="F680" s="6" t="n">
        <s:v>9756</s:v>
      </s:c>
      <s:c r="G680" s="6" t="n">
        <s:v>24870</s:v>
      </s:c>
      <s:c r="H680" s="6" t="n">
        <s:v>24224</s:v>
      </s:c>
      <s:c r="I680" s="6" t="n">
        <s:v>5376</s:v>
      </s:c>
      <s:c r="J680" s="6" t="n">
        <s:f>IF(COUNT(C680:I680)=7,SUM(C680:I680),"")</s:f>
        <s:v>107534</s:v>
      </s:c>
    </s:row>
    <s:row r="681">
      <s:c r="A681" s="5" t="n">
        <s:v>46294</s:v>
      </s:c>
      <s:c r="B681" s="2" t="n">
        <s:v>4</s:v>
      </s:c>
      <s:c r="C681" s="6" t="n">
        <s:v>10878</s:v>
      </s:c>
      <s:c r="D681" s="6" t="n">
        <s:v>22381</s:v>
      </s:c>
      <s:c r="E681" s="6" t="n">
        <s:v>10550</s:v>
      </s:c>
      <s:c r="F681" s="6" t="n">
        <s:v>10086</s:v>
      </s:c>
      <s:c r="G681" s="6" t="n">
        <s:v>26049</s:v>
      </s:c>
      <s:c r="H681" s="6" t="n">
        <s:v>25160</s:v>
      </s:c>
      <s:c r="I681" s="6" t="n">
        <s:v>5259</s:v>
      </s:c>
      <s:c r="J681" s="6" t="n">
        <s:f>IF(COUNT(C681:I681)=7,SUM(C681:I681),"")</s:f>
        <s:v>110363</s:v>
      </s:c>
    </s:row>
    <s:row r="682">
      <s:c r="A682" s="5" t="n">
        <s:v>46294</s:v>
      </s:c>
      <s:c r="B682" s="2" t="n">
        <s:v>5</s:v>
      </s:c>
      <s:c r="C682" s="6" t="n">
        <s:v>11845</s:v>
      </s:c>
      <s:c r="D682" s="6" t="n">
        <s:v>23445</s:v>
      </s:c>
      <s:c r="E682" s="6" t="n">
        <s:v>10740</s:v>
      </s:c>
      <s:c r="F682" s="6" t="n">
        <s:v>10527</s:v>
      </s:c>
      <s:c r="G682" s="6" t="n">
        <s:v>26925</s:v>
      </s:c>
      <s:c r="H682" s="6" t="n">
        <s:v>25389</s:v>
      </s:c>
      <s:c r="I682" s="6" t="n">
        <s:v>5208</s:v>
      </s:c>
      <s:c r="J682" s="6" t="n">
        <s:f>IF(COUNT(C682:I682)=7,SUM(C682:I682),"")</s:f>
        <s:v>114079</s:v>
      </s:c>
    </s:row>
    <s:row r="683">
      <s:c r="A683" s="5" t="n">
        <s:v>46294</s:v>
      </s:c>
      <s:c r="B683" s="2" t="n">
        <s:v>6</s:v>
      </s:c>
      <s:c r="C683" s="6" t="n">
        <s:v>11935</s:v>
      </s:c>
      <s:c r="D683" s="6" t="n">
        <s:v>24837</s:v>
      </s:c>
      <s:c r="E683" s="6" t="n">
        <s:v>11749</s:v>
      </s:c>
      <s:c r="F683" s="6" t="n">
        <s:v>11654</s:v>
      </s:c>
      <s:c r="G683" s="6" t="n">
        <s:v>27968</s:v>
      </s:c>
      <s:c r="H683" s="6" t="n">
        <s:v>25506</s:v>
      </s:c>
      <s:c r="I683" s="6" t="n">
        <s:v>5255</s:v>
      </s:c>
      <s:c r="J683" s="6" t="n">
        <s:f>IF(COUNT(C683:I683)=7,SUM(C683:I683),"")</s:f>
        <s:v>118904</s:v>
      </s:c>
    </s:row>
    <s:row r="684">
      <s:c r="A684" s="5" t="n">
        <s:v>46294</s:v>
      </s:c>
      <s:c r="B684" s="2" t="n">
        <s:v>7</s:v>
      </s:c>
      <s:c r="C684" s="6" t="n">
        <s:v>12146</s:v>
      </s:c>
      <s:c r="D684" s="6" t="n">
        <s:v>26785</s:v>
      </s:c>
      <s:c r="E684" s="6" t="n">
        <s:v>12383</s:v>
      </s:c>
      <s:c r="F684" s="6" t="n">
        <s:v>12489</s:v>
      </s:c>
      <s:c r="G684" s="6" t="n">
        <s:v>28573</s:v>
      </s:c>
      <s:c r="H684" s="6" t="n">
        <s:v>24928</s:v>
      </s:c>
      <s:c r="I684" s="6" t="n">
        <s:v>5270</s:v>
      </s:c>
      <s:c r="J684" s="6" t="n">
        <s:f>IF(COUNT(C684:I684)=7,SUM(C684:I684),"")</s:f>
        <s:v>122574</s:v>
      </s:c>
    </s:row>
    <s:row r="685">
      <s:c r="A685" s="5" t="n">
        <s:v>46294</s:v>
      </s:c>
      <s:c r="B685" s="2" t="n">
        <s:v>8</s:v>
      </s:c>
      <s:c r="C685" s="6" t="n">
        <s:v>12325</s:v>
      </s:c>
      <s:c r="D685" s="6" t="n">
        <s:v>28325</s:v>
      </s:c>
      <s:c r="E685" s="6" t="n">
        <s:v>12167</s:v>
      </s:c>
      <s:c r="F685" s="6" t="n">
        <s:v>13194</s:v>
      </s:c>
      <s:c r="G685" s="6" t="n">
        <s:v>29112</s:v>
      </s:c>
      <s:c r="H685" s="6" t="n">
        <s:v>25706</s:v>
      </s:c>
      <s:c r="I685" s="6" t="n">
        <s:v>5213</s:v>
      </s:c>
      <s:c r="J685" s="6" t="n">
        <s:f>IF(COUNT(C685:I685)=7,SUM(C685:I685),"")</s:f>
        <s:v>126042</s:v>
      </s:c>
    </s:row>
    <s:row r="686">
      <s:c r="A686" s="5" t="n">
        <s:v>46294</s:v>
      </s:c>
      <s:c r="B686" s="2" t="n">
        <s:v>9</s:v>
      </s:c>
      <s:c r="C686" s="6" t="n">
        <s:v>12575</s:v>
      </s:c>
      <s:c r="D686" s="6" t="n">
        <s:v>28488</s:v>
      </s:c>
      <s:c r="E686" s="6" t="n">
        <s:v>12499</s:v>
      </s:c>
      <s:c r="F686" s="6" t="n">
        <s:v>13200</s:v>
      </s:c>
      <s:c r="G686" s="6" t="n">
        <s:v>29092</s:v>
      </s:c>
      <s:c r="H686" s="6" t="n">
        <s:v>25677</s:v>
      </s:c>
      <s:c r="I686" s="6" t="n">
        <s:v>5236</s:v>
      </s:c>
      <s:c r="J686" s="6" t="n">
        <s:f>IF(COUNT(C686:I686)=7,SUM(C686:I686),"")</s:f>
        <s:v>126767</s:v>
      </s:c>
    </s:row>
    <s:row r="687">
      <s:c r="A687" s="5" t="n">
        <s:v>46294</s:v>
      </s:c>
      <s:c r="B687" s="2" t="n">
        <s:v>10</s:v>
      </s:c>
      <s:c r="C687" s="6" t="n">
        <s:v>12579</s:v>
      </s:c>
      <s:c r="D687" s="6" t="n">
        <s:v>28394</s:v>
      </s:c>
      <s:c r="E687" s="6" t="n">
        <s:v>13025</s:v>
      </s:c>
      <s:c r="F687" s="6" t="n">
        <s:v>12733</s:v>
      </s:c>
      <s:c r="G687" s="6" t="n">
        <s:v>28829</s:v>
      </s:c>
      <s:c r="H687" s="6" t="n">
        <s:v>25757</s:v>
      </s:c>
      <s:c r="I687" s="6" t="n">
        <s:v>5392</s:v>
      </s:c>
      <s:c r="J687" s="6" t="n">
        <s:f>IF(COUNT(C687:I687)=7,SUM(C687:I687),"")</s:f>
        <s:v>126709</s:v>
      </s:c>
    </s:row>
    <s:row r="688">
      <s:c r="A688" s="5" t="n">
        <s:v>46294</s:v>
      </s:c>
      <s:c r="B688" s="2" t="n">
        <s:v>11</s:v>
      </s:c>
      <s:c r="C688" s="6" t="n">
        <s:v>12353</s:v>
      </s:c>
      <s:c r="D688" s="6" t="n">
        <s:v>28303</s:v>
      </s:c>
      <s:c r="E688" s="6" t="n">
        <s:v>13020</s:v>
      </s:c>
      <s:c r="F688" s="6" t="n">
        <s:v>12208</s:v>
      </s:c>
      <s:c r="G688" s="6" t="n">
        <s:v>28722</s:v>
      </s:c>
      <s:c r="H688" s="6" t="n">
        <s:v>25217</s:v>
      </s:c>
      <s:c r="I688" s="6" t="n">
        <s:v>5629</s:v>
      </s:c>
      <s:c r="J688" s="6" t="n">
        <s:f>IF(COUNT(C688:I688)=7,SUM(C688:I688),"")</s:f>
        <s:v>125452</s:v>
      </s:c>
    </s:row>
    <s:row r="689">
      <s:c r="A689" s="5" t="n">
        <s:v>46294</s:v>
      </s:c>
      <s:c r="B689" s="2" t="n">
        <s:v>12</s:v>
      </s:c>
      <s:c r="C689" s="6" t="n">
        <s:v>12454</s:v>
      </s:c>
      <s:c r="D689" s="6" t="n">
        <s:v>28149</s:v>
      </s:c>
      <s:c r="E689" s="6" t="n">
        <s:v>12851</s:v>
      </s:c>
      <s:c r="F689" s="6" t="n">
        <s:v>12108</s:v>
      </s:c>
      <s:c r="G689" s="6" t="n">
        <s:v>28530</s:v>
      </s:c>
      <s:c r="H689" s="6" t="n">
        <s:v>25182</s:v>
      </s:c>
      <s:c r="I689" s="6" t="n">
        <s:v>5689</s:v>
      </s:c>
      <s:c r="J689" s="6" t="n">
        <s:f>IF(COUNT(C689:I689)=7,SUM(C689:I689),"")</s:f>
        <s:v>124963</s:v>
      </s:c>
    </s:row>
    <s:row r="690">
      <s:c r="A690" s="5" t="n">
        <s:v>46294</s:v>
      </s:c>
      <s:c r="B690" s="2" t="n">
        <s:v>13</s:v>
      </s:c>
      <s:c r="C690" s="6" t="n">
        <s:v>12440</s:v>
      </s:c>
      <s:c r="D690" s="6" t="n">
        <s:v>28039</s:v>
      </s:c>
      <s:c r="E690" s="6" t="n">
        <s:v>12805</s:v>
      </s:c>
      <s:c r="F690" s="6" t="n">
        <s:v>12441</s:v>
      </s:c>
      <s:c r="G690" s="6" t="n">
        <s:v>28489</s:v>
      </s:c>
      <s:c r="H690" s="6" t="n">
        <s:v>25894</s:v>
      </s:c>
      <s:c r="I690" s="6" t="n">
        <s:v>5719</s:v>
      </s:c>
      <s:c r="J690" s="6" t="n">
        <s:f>IF(COUNT(C690:I690)=7,SUM(C690:I690),"")</s:f>
        <s:v>125827</s:v>
      </s:c>
    </s:row>
    <s:row r="691">
      <s:c r="A691" s="5" t="n">
        <s:v>46294</s:v>
      </s:c>
      <s:c r="B691" s="2" t="n">
        <s:v>14</s:v>
      </s:c>
      <s:c r="C691" s="6" t="n">
        <s:v>12401</s:v>
      </s:c>
      <s:c r="D691" s="6" t="n">
        <s:v>28259</s:v>
      </s:c>
      <s:c r="E691" s="6" t="n">
        <s:v>12835</s:v>
      </s:c>
      <s:c r="F691" s="6" t="n">
        <s:v>12335</s:v>
      </s:c>
      <s:c r="G691" s="6" t="n">
        <s:v>28497</s:v>
      </s:c>
      <s:c r="H691" s="6" t="n">
        <s:v>25930</s:v>
      </s:c>
      <s:c r="I691" s="6" t="n">
        <s:v>5639</s:v>
      </s:c>
      <s:c r="J691" s="6" t="n">
        <s:f>IF(COUNT(C691:I691)=7,SUM(C691:I691),"")</s:f>
        <s:v>125896</s:v>
      </s:c>
    </s:row>
    <s:row r="692">
      <s:c r="A692" s="5" t="n">
        <s:v>46294</s:v>
      </s:c>
      <s:c r="B692" s="2" t="n">
        <s:v>15</s:v>
      </s:c>
      <s:c r="C692" s="6" t="n">
        <s:v>12277</s:v>
      </s:c>
      <s:c r="D692" s="6" t="n">
        <s:v>28646</s:v>
      </s:c>
      <s:c r="E692" s="6" t="n">
        <s:v>12590</s:v>
      </s:c>
      <s:c r="F692" s="6" t="n">
        <s:v>12165</s:v>
      </s:c>
      <s:c r="G692" s="6" t="n">
        <s:v>28530</s:v>
      </s:c>
      <s:c r="H692" s="6" t="n">
        <s:v>25730</s:v>
      </s:c>
      <s:c r="I692" s="6" t="n">
        <s:v>5387</s:v>
      </s:c>
      <s:c r="J692" s="6" t="n">
        <s:f>IF(COUNT(C692:I692)=7,SUM(C692:I692),"")</s:f>
        <s:v>125325</s:v>
      </s:c>
    </s:row>
    <s:row r="693">
      <s:c r="A693" s="5" t="n">
        <s:v>46294</s:v>
      </s:c>
      <s:c r="B693" s="2" t="n">
        <s:v>16</s:v>
      </s:c>
      <s:c r="C693" s="6" t="n">
        <s:v>12361</s:v>
      </s:c>
      <s:c r="D693" s="6" t="n">
        <s:v>28569</s:v>
      </s:c>
      <s:c r="E693" s="6" t="n">
        <s:v>12638</s:v>
      </s:c>
      <s:c r="F693" s="6" t="n">
        <s:v>12484</s:v>
      </s:c>
      <s:c r="G693" s="6" t="n">
        <s:v>28505</s:v>
      </s:c>
      <s:c r="H693" s="6" t="n">
        <s:v>25638</s:v>
      </s:c>
      <s:c r="I693" s="6" t="n">
        <s:v>5259</s:v>
      </s:c>
      <s:c r="J693" s="6" t="n">
        <s:f>IF(COUNT(C693:I693)=7,SUM(C693:I693),"")</s:f>
        <s:v>125454</s:v>
      </s:c>
    </s:row>
    <s:row r="694">
      <s:c r="A694" s="5" t="n">
        <s:v>46294</s:v>
      </s:c>
      <s:c r="B694" s="2" t="n">
        <s:v>17</s:v>
      </s:c>
      <s:c r="C694" s="6" t="n">
        <s:v>12294</s:v>
      </s:c>
      <s:c r="D694" s="6" t="n">
        <s:v>28770</s:v>
      </s:c>
      <s:c r="E694" s="6" t="n">
        <s:v>13041</s:v>
      </s:c>
      <s:c r="F694" s="6" t="n">
        <s:v>12749</s:v>
      </s:c>
      <s:c r="G694" s="6" t="n">
        <s:v>28589</s:v>
      </s:c>
      <s:c r="H694" s="6" t="n">
        <s:v>25700</s:v>
      </s:c>
      <s:c r="I694" s="6" t="n">
        <s:v>5031</s:v>
      </s:c>
      <s:c r="J694" s="6" t="n">
        <s:f>IF(COUNT(C694:I694)=7,SUM(C694:I694),"")</s:f>
        <s:v>126174</s:v>
      </s:c>
    </s:row>
    <s:row r="695">
      <s:c r="A695" s="5" t="n">
        <s:v>46294</s:v>
      </s:c>
      <s:c r="B695" s="2" t="n">
        <s:v>18</s:v>
      </s:c>
      <s:c r="C695" s="6" t="n">
        <s:v>12431</s:v>
      </s:c>
      <s:c r="D695" s="6" t="n">
        <s:v>29397</s:v>
      </s:c>
      <s:c r="E695" s="6" t="n">
        <s:v>13211</s:v>
      </s:c>
      <s:c r="F695" s="6" t="n">
        <s:v>13296</s:v>
      </s:c>
      <s:c r="G695" s="6" t="n">
        <s:v>28956</s:v>
      </s:c>
      <s:c r="H695" s="6" t="n">
        <s:v>24927</s:v>
      </s:c>
      <s:c r="I695" s="6" t="n">
        <s:v>4955</s:v>
      </s:c>
      <s:c r="J695" s="6" t="n">
        <s:f>IF(COUNT(C695:I695)=7,SUM(C695:I695),"")</s:f>
        <s:v>127173</s:v>
      </s:c>
    </s:row>
    <s:row r="696">
      <s:c r="A696" s="5" t="n">
        <s:v>46294</s:v>
      </s:c>
      <s:c r="B696" s="2" t="n">
        <s:v>19</s:v>
      </s:c>
      <s:c r="C696" s="6" t="n">
        <s:v>12449</s:v>
      </s:c>
      <s:c r="D696" s="6" t="n">
        <s:v>29415</s:v>
      </s:c>
      <s:c r="E696" s="6" t="n">
        <s:v>12898</s:v>
      </s:c>
      <s:c r="F696" s="6" t="n">
        <s:v>12430</s:v>
      </s:c>
      <s:c r="G696" s="6" t="n">
        <s:v>28655</s:v>
      </s:c>
      <s:c r="H696" s="6" t="n">
        <s:v>24422</s:v>
      </s:c>
      <s:c r="I696" s="6" t="n">
        <s:v>4779</s:v>
      </s:c>
      <s:c r="J696" s="6" t="n">
        <s:f>IF(COUNT(C696:I696)=7,SUM(C696:I696),"")</s:f>
        <s:v>125048</s:v>
      </s:c>
    </s:row>
    <s:row r="697">
      <s:c r="A697" s="5" t="n">
        <s:v>46294</s:v>
      </s:c>
      <s:c r="B697" s="2" t="n">
        <s:v>20</s:v>
      </s:c>
      <s:c r="C697" s="6" t="n">
        <s:v>12500</s:v>
      </s:c>
      <s:c r="D697" s="6" t="n">
        <s:v>28412</s:v>
      </s:c>
      <s:c r="E697" s="6" t="n">
        <s:v>12762</s:v>
      </s:c>
      <s:c r="F697" s="6" t="n">
        <s:v>12255</s:v>
      </s:c>
      <s:c r="G697" s="6" t="n">
        <s:v>27606</s:v>
      </s:c>
      <s:c r="H697" s="6" t="n">
        <s:v>23670</s:v>
      </s:c>
      <s:c r="I697" s="6" t="n">
        <s:v>4846</s:v>
      </s:c>
      <s:c r="J697" s="6" t="n">
        <s:f>IF(COUNT(C697:I697)=7,SUM(C697:I697),"")</s:f>
        <s:v>122051</s:v>
      </s:c>
    </s:row>
    <s:row r="698">
      <s:c r="A698" s="5" t="n">
        <s:v>46294</s:v>
      </s:c>
      <s:c r="B698" s="2" t="n">
        <s:v>21</s:v>
      </s:c>
      <s:c r="C698" s="6" t="n">
        <s:v>12315</s:v>
      </s:c>
      <s:c r="D698" s="6" t="n">
        <s:v>26705</s:v>
      </s:c>
      <s:c r="E698" s="6" t="n">
        <s:v>12351</s:v>
      </s:c>
      <s:c r="F698" s="6" t="n">
        <s:v>12059</s:v>
      </s:c>
      <s:c r="G698" s="6" t="n">
        <s:v>26415</s:v>
      </s:c>
      <s:c r="H698" s="6" t="n">
        <s:v>23781</s:v>
      </s:c>
      <s:c r="I698" s="6" t="n">
        <s:v>4880</s:v>
      </s:c>
      <s:c r="J698" s="6" t="n">
        <s:f>IF(COUNT(C698:I698)=7,SUM(C698:I698),"")</s:f>
        <s:v>118506</s:v>
      </s:c>
    </s:row>
    <s:row r="699">
      <s:c r="A699" s="5" t="n">
        <s:v>46294</s:v>
      </s:c>
      <s:c r="B699" s="2" t="n">
        <s:v>22</s:v>
      </s:c>
      <s:c r="C699" s="6" t="n">
        <s:v>12088</s:v>
      </s:c>
      <s:c r="D699" s="6" t="n">
        <s:v>25522</s:v>
      </s:c>
      <s:c r="E699" s="6" t="n">
        <s:v>11331</s:v>
      </s:c>
      <s:c r="F699" s="6" t="n">
        <s:v>11459</s:v>
      </s:c>
      <s:c r="G699" s="6" t="n">
        <s:v>25050</s:v>
      </s:c>
      <s:c r="H699" s="6" t="n">
        <s:v>23284</s:v>
      </s:c>
      <s:c r="I699" s="6" t="n">
        <s:v>4955</s:v>
      </s:c>
      <s:c r="J699" s="6" t="n">
        <s:f>IF(COUNT(C699:I699)=7,SUM(C699:I699),"")</s:f>
        <s:v>113689</s:v>
      </s:c>
    </s:row>
    <s:row r="700">
      <s:c r="A700" s="5" t="n">
        <s:v>46294</s:v>
      </s:c>
      <s:c r="B700" s="2" t="n">
        <s:v>23</s:v>
      </s:c>
      <s:c r="C700" s="6" t="n">
        <s:v>11789</s:v>
      </s:c>
      <s:c r="D700" s="6" t="n">
        <s:v>23550</s:v>
      </s:c>
      <s:c r="E700" s="6" t="n">
        <s:v>10455</s:v>
      </s:c>
      <s:c r="F700" s="6" t="n">
        <s:v>10718</s:v>
      </s:c>
      <s:c r="G700" s="6" t="n">
        <s:v>24676</s:v>
      </s:c>
      <s:c r="H700" s="6" t="n">
        <s:v>23282</s:v>
      </s:c>
      <s:c r="I700" s="6" t="n">
        <s:v>5263</s:v>
      </s:c>
      <s:c r="J700" s="6" t="n">
        <s:f>IF(COUNT(C700:I700)=7,SUM(C700:I700),"")</s:f>
        <s:v>109733</s:v>
      </s:c>
    </s:row>
    <s:row r="701">
      <s:c r="A701" s="5" t="n">
        <s:v>46295</s:v>
      </s:c>
      <s:c r="B701" s="2" t="n">
        <s:v>0</s:v>
      </s:c>
      <s:c r="C701" s="6" t="n">
        <s:v>11525</s:v>
      </s:c>
      <s:c r="D701" s="6" t="n">
        <s:v>22782</s:v>
      </s:c>
      <s:c r="E701" s="6" t="n">
        <s:v>10522</s:v>
      </s:c>
      <s:c r="F701" s="6" t="n">
        <s:v>9638</s:v>
      </s:c>
      <s:c r="G701" s="6" t="n">
        <s:v>24691</s:v>
      </s:c>
      <s:c r="H701" s="6" t="n">
        <s:v>23034</s:v>
      </s:c>
      <s:c r="I701" s="6" t="n">
        <s:v>5461</s:v>
      </s:c>
      <s:c r="J701" s="6" t="n">
        <s:f>IF(COUNT(C701:I701)=7,SUM(C701:I701),"")</s:f>
        <s:v>107653</s:v>
      </s:c>
    </s:row>
    <s:row r="702">
      <s:c r="A702" s="5" t="n">
        <s:v>46295</s:v>
      </s:c>
      <s:c r="B702" s="2" t="n">
        <s:v>1</s:v>
      </s:c>
      <s:c r="C702" s="6" t="n">
        <s:v>11381</s:v>
      </s:c>
      <s:c r="D702" s="6" t="n">
        <s:v>22164</s:v>
      </s:c>
      <s:c r="E702" s="6" t="n">
        <s:v>10492</s:v>
      </s:c>
      <s:c r="F702" s="6" t="n">
        <s:v>9697</s:v>
      </s:c>
      <s:c r="G702" s="6" t="n">
        <s:v>24283</s:v>
      </s:c>
      <s:c r="H702" s="6" t="n">
        <s:v>23216</s:v>
      </s:c>
      <s:c r="I702" s="6" t="n">
        <s:v>5539</s:v>
      </s:c>
      <s:c r="J702" s="6" t="n">
        <s:f>IF(COUNT(C702:I702)=7,SUM(C702:I702),"")</s:f>
        <s:v>106772</s:v>
      </s:c>
    </s:row>
    <s:row r="703">
      <s:c r="A703" s="5" t="n">
        <s:v>46295</s:v>
      </s:c>
      <s:c r="B703" s="2" t="n">
        <s:v>2</s:v>
      </s:c>
      <s:c r="C703" s="6" t="n">
        <s:v>11348</s:v>
      </s:c>
      <s:c r="D703" s="6" t="n">
        <s:v>21958</s:v>
      </s:c>
      <s:c r="E703" s="6" t="n">
        <s:v>10236</s:v>
      </s:c>
      <s:c r="F703" s="6" t="n">
        <s:v>10063</s:v>
      </s:c>
      <s:c r="G703" s="6" t="n">
        <s:v>24291</s:v>
      </s:c>
      <s:c r="H703" s="6" t="n">
        <s:v>24222</s:v>
      </s:c>
      <s:c r="I703" s="6" t="n">
        <s:v>5556</s:v>
      </s:c>
      <s:c r="J703" s="6" t="n">
        <s:f>IF(COUNT(C703:I703)=7,SUM(C703:I703),"")</s:f>
        <s:v>107674</s:v>
      </s:c>
    </s:row>
    <s:row r="704">
      <s:c r="A704" s="5" t="n">
        <s:v>46295</s:v>
      </s:c>
      <s:c r="B704" s="2" t="n">
        <s:v>3</s:v>
      </s:c>
      <s:c r="C704" s="6" t="n">
        <s:v>11304</s:v>
      </s:c>
      <s:c r="D704" s="6" t="n">
        <s:v>22161</s:v>
      </s:c>
      <s:c r="E704" s="6" t="n">
        <s:v>10194</s:v>
      </s:c>
      <s:c r="F704" s="6" t="n">
        <s:v>10009</s:v>
      </s:c>
      <s:c r="G704" s="6" t="n">
        <s:v>24723</s:v>
      </s:c>
      <s:c r="H704" s="6" t="n">
        <s:v>24092</s:v>
      </s:c>
      <s:c r="I704" s="6" t="n">
        <s:v>5449</s:v>
      </s:c>
      <s:c r="J704" s="6" t="n">
        <s:f>IF(COUNT(C704:I704)=7,SUM(C704:I704),"")</s:f>
        <s:v>107932</s:v>
      </s:c>
    </s:row>
    <s:row r="705">
      <s:c r="A705" s="5" t="n">
        <s:v>46295</s:v>
      </s:c>
      <s:c r="B705" s="2" t="n">
        <s:v>4</s:v>
      </s:c>
      <s:c r="C705" s="6" t="n">
        <s:v>11356</s:v>
      </s:c>
      <s:c r="D705" s="6" t="n">
        <s:v>23120</s:v>
      </s:c>
      <s:c r="E705" s="6" t="n">
        <s:v>10305</s:v>
      </s:c>
      <s:c r="F705" s="6" t="n">
        <s:v>10177</s:v>
      </s:c>
      <s:c r="G705" s="6" t="n">
        <s:v>25825</s:v>
      </s:c>
      <s:c r="H705" s="6" t="n">
        <s:v>24986</s:v>
      </s:c>
      <s:c r="I705" s="6" t="n">
        <s:v>5391</s:v>
      </s:c>
      <s:c r="J705" s="6" t="n">
        <s:f>IF(COUNT(C705:I705)=7,SUM(C705:I705),"")</s:f>
        <s:v>111160</s:v>
      </s:c>
    </s:row>
    <s:row r="706">
      <s:c r="A706" s="5" t="n">
        <s:v>46295</s:v>
      </s:c>
      <s:c r="B706" s="2" t="n">
        <s:v>5</s:v>
      </s:c>
      <s:c r="C706" s="6" t="n">
        <s:v>11506</s:v>
      </s:c>
      <s:c r="D706" s="6" t="n">
        <s:v>24040</s:v>
      </s:c>
      <s:c r="E706" s="6" t="n">
        <s:v>10826</s:v>
      </s:c>
      <s:c r="F706" s="6" t="n">
        <s:v>10996</s:v>
      </s:c>
      <s:c r="G706" s="6" t="n">
        <s:v>26502</s:v>
      </s:c>
      <s:c r="H706" s="6" t="n">
        <s:v>25861</s:v>
      </s:c>
      <s:c r="I706" s="6" t="n">
        <s:v>5373</s:v>
      </s:c>
      <s:c r="J706" s="6" t="n">
        <s:f>IF(COUNT(C706:I706)=7,SUM(C706:I706),"")</s:f>
        <s:v>115104</s:v>
      </s:c>
    </s:row>
    <s:row r="707">
      <s:c r="A707" s="5" t="n">
        <s:v>46295</s:v>
      </s:c>
      <s:c r="B707" s="2" t="n">
        <s:v>6</s:v>
      </s:c>
      <s:c r="C707" s="6" t="n">
        <s:v>11967</s:v>
      </s:c>
      <s:c r="D707" s="6" t="n">
        <s:v>26351</s:v>
      </s:c>
      <s:c r="E707" s="6" t="n">
        <s:v>11474</s:v>
      </s:c>
      <s:c r="F707" s="6" t="n">
        <s:v>11334</s:v>
      </s:c>
      <s:c r="G707" s="6" t="n">
        <s:v>27273</s:v>
      </s:c>
      <s:c r="H707" s="6" t="n">
        <s:v>25278</s:v>
      </s:c>
      <s:c r="I707" s="6" t="n">
        <s:v>5393</s:v>
      </s:c>
      <s:c r="J707" s="6" t="n">
        <s:f>IF(COUNT(C707:I707)=7,SUM(C707:I707),"")</s:f>
        <s:v>119070</s:v>
      </s:c>
    </s:row>
    <s:row r="708">
      <s:c r="A708" s="5" t="n">
        <s:v>46295</s:v>
      </s:c>
      <s:c r="B708" s="2" t="n">
        <s:v>7</s:v>
      </s:c>
      <s:c r="C708" s="6" t="n">
        <s:v>12176</s:v>
      </s:c>
      <s:c r="D708" s="6" t="n">
        <s:v>27025</s:v>
      </s:c>
      <s:c r="E708" s="6" t="n">
        <s:v>11956</s:v>
      </s:c>
      <s:c r="F708" s="6" t="n">
        <s:v>13000</s:v>
      </s:c>
      <s:c r="G708" s="6" t="n">
        <s:v>27984</s:v>
      </s:c>
      <s:c r="H708" s="6" t="n">
        <s:v>25436</s:v>
      </s:c>
      <s:c r="I708" s="6" t="n">
        <s:v>5369</s:v>
      </s:c>
      <s:c r="J708" s="6" t="n">
        <s:f>IF(COUNT(C708:I708)=7,SUM(C708:I708),"")</s:f>
        <s:v>122946</s:v>
      </s:c>
    </s:row>
    <s:row r="709">
      <s:c r="A709" s="5" t="n">
        <s:v>46295</s:v>
      </s:c>
      <s:c r="B709" s="2" t="n">
        <s:v>8</s:v>
      </s:c>
      <s:c r="C709" s="6" t="n">
        <s:v>12472</s:v>
      </s:c>
      <s:c r="D709" s="6" t="n">
        <s:v>28885</s:v>
      </s:c>
      <s:c r="E709" s="6" t="n">
        <s:v>12415</s:v>
      </s:c>
      <s:c r="F709" s="6" t="n">
        <s:v>13245</s:v>
      </s:c>
      <s:c r="G709" s="6" t="n">
        <s:v>28292</s:v>
      </s:c>
      <s:c r="H709" s="6" t="n">
        <s:v>25670</s:v>
      </s:c>
      <s:c r="I709" s="6" t="n">
        <s:v>5461</s:v>
      </s:c>
      <s:c r="J709" s="6" t="n">
        <s:f>IF(COUNT(C709:I709)=7,SUM(C709:I709),"")</s:f>
        <s:v>126440</s:v>
      </s:c>
    </s:row>
    <s:row r="710">
      <s:c r="A710" s="5" t="n">
        <s:v>46295</s:v>
      </s:c>
      <s:c r="B710" s="2" t="n">
        <s:v>9</s:v>
      </s:c>
      <s:c r="C710" s="6" t="n">
        <s:v>12560</s:v>
      </s:c>
      <s:c r="D710" s="6" t="n">
        <s:v>28971</s:v>
      </s:c>
      <s:c r="E710" s="6" t="n">
        <s:v>13009</s:v>
      </s:c>
      <s:c r="F710" s="6" t="n">
        <s:v>13533</s:v>
      </s:c>
      <s:c r="G710" s="6" t="n">
        <s:v>28299</s:v>
      </s:c>
      <s:c r="H710" s="6" t="n">
        <s:v>25586</s:v>
      </s:c>
      <s:c r="I710" s="6" t="n">
        <s:v>5374</s:v>
      </s:c>
      <s:c r="J710" s="6" t="n">
        <s:f>IF(COUNT(C710:I710)=7,SUM(C710:I710),"")</s:f>
        <s:v>127332</s:v>
      </s:c>
    </s:row>
    <s:row r="711">
      <s:c r="A711" s="5" t="n">
        <s:v>46295</s:v>
      </s:c>
      <s:c r="B711" s="2" t="n">
        <s:v>10</s:v>
      </s:c>
      <s:c r="C711" s="6" t="n">
        <s:v>12695</s:v>
      </s:c>
      <s:c r="D711" s="6" t="n">
        <s:v>28952</s:v>
      </s:c>
      <s:c r="E711" s="6" t="n">
        <s:v>12882</s:v>
      </s:c>
      <s:c r="F711" s="6" t="n">
        <s:v>13094</s:v>
      </s:c>
      <s:c r="G711" s="6" t="n">
        <s:v>28096</s:v>
      </s:c>
      <s:c r="H711" s="6" t="n">
        <s:v>25572</s:v>
      </s:c>
      <s:c r="I711" s="6" t="n">
        <s:v>5549</s:v>
      </s:c>
      <s:c r="J711" s="6" t="n">
        <s:f>IF(COUNT(C711:I711)=7,SUM(C711:I711),"")</s:f>
        <s:v>126840</s:v>
      </s:c>
    </s:row>
    <s:row r="712">
      <s:c r="A712" s="5" t="n">
        <s:v>46295</s:v>
      </s:c>
      <s:c r="B712" s="2" t="n">
        <s:v>11</s:v>
      </s:c>
      <s:c r="C712" s="6" t="n">
        <s:v>12646</s:v>
      </s:c>
      <s:c r="D712" s="6" t="n">
        <s:v>28887</s:v>
      </s:c>
      <s:c r="E712" s="6" t="n">
        <s:v>12709</s:v>
      </s:c>
      <s:c r="F712" s="6" t="n">
        <s:v>12534</s:v>
      </s:c>
      <s:c r="G712" s="6" t="n">
        <s:v>27939</s:v>
      </s:c>
      <s:c r="H712" s="6" t="n">
        <s:v>25084</s:v>
      </s:c>
      <s:c r="I712" s="6" t="n">
        <s:v>5662</s:v>
      </s:c>
      <s:c r="J712" s="6" t="n">
        <s:f>IF(COUNT(C712:I712)=7,SUM(C712:I712),"")</s:f>
        <s:v>125461</s:v>
      </s:c>
    </s:row>
    <s:row r="713">
      <s:c r="A713" s="5" t="n">
        <s:v>46295</s:v>
      </s:c>
      <s:c r="B713" s="2" t="n">
        <s:v>12</s:v>
      </s:c>
      <s:c r="C713" s="6" t="n">
        <s:v>12511</s:v>
      </s:c>
      <s:c r="D713" s="6" t="n">
        <s:v>28545</s:v>
      </s:c>
      <s:c r="E713" s="6" t="n">
        <s:v>13160</s:v>
      </s:c>
      <s:c r="F713" s="6" t="n">
        <s:v>12970</s:v>
      </s:c>
      <s:c r="G713" s="6" t="n">
        <s:v>27893</s:v>
      </s:c>
      <s:c r="H713" s="6" t="n">
        <s:v>25119</s:v>
      </s:c>
      <s:c r="I713" s="6" t="n">
        <s:v>5827</s:v>
      </s:c>
      <s:c r="J713" s="6" t="n">
        <s:f>IF(COUNT(C713:I713)=7,SUM(C713:I713),"")</s:f>
        <s:v>126025</s:v>
      </s:c>
    </s:row>
    <s:row r="714">
      <s:c r="A714" s="5" t="n">
        <s:v>46295</s:v>
      </s:c>
      <s:c r="B714" s="2" t="n">
        <s:v>13</s:v>
      </s:c>
      <s:c r="C714" s="6" t="n">
        <s:v>12503</s:v>
      </s:c>
      <s:c r="D714" s="6" t="n">
        <s:v>28277</s:v>
      </s:c>
      <s:c r="E714" s="6" t="n">
        <s:v>13399</s:v>
      </s:c>
      <s:c r="F714" s="6" t="n">
        <s:v>12768</s:v>
      </s:c>
      <s:c r="G714" s="6" t="n">
        <s:v>27649</s:v>
      </s:c>
      <s:c r="H714" s="6" t="n">
        <s:v>25137</s:v>
      </s:c>
      <s:c r="I714" s="6" t="n">
        <s:v>5709</s:v>
      </s:c>
      <s:c r="J714" s="6" t="n">
        <s:f>IF(COUNT(C714:I714)=7,SUM(C714:I714),"")</s:f>
        <s:v>125442</s:v>
      </s:c>
    </s:row>
    <s:row r="715">
      <s:c r="A715" s="5" t="n">
        <s:v>46295</s:v>
      </s:c>
      <s:c r="B715" s="2" t="n">
        <s:v>14</s:v>
      </s:c>
      <s:c r="C715" s="6" t="n">
        <s:v>12413</s:v>
      </s:c>
      <s:c r="D715" s="6" t="n">
        <s:v>28658</s:v>
      </s:c>
      <s:c r="E715" s="6" t="n">
        <s:v>13164</s:v>
      </s:c>
      <s:c r="F715" s="6" t="n">
        <s:v>12749</s:v>
      </s:c>
      <s:c r="G715" s="6" t="n">
        <s:v>27463</s:v>
      </s:c>
      <s:c r="H715" s="6" t="n">
        <s:v>25495</s:v>
      </s:c>
      <s:c r="I715" s="6" t="n">
        <s:v>5539</s:v>
      </s:c>
      <s:c r="J715" s="6" t="n">
        <s:f>IF(COUNT(C715:I715)=7,SUM(C715:I715),"")</s:f>
        <s:v>125481</s:v>
      </s:c>
    </s:row>
    <s:row r="716">
      <s:c r="A716" s="5" t="n">
        <s:v>46295</s:v>
      </s:c>
      <s:c r="B716" s="2" t="n">
        <s:v>15</s:v>
      </s:c>
      <s:c r="C716" s="6" t="n">
        <s:v>12508</s:v>
      </s:c>
      <s:c r="D716" s="6" t="n">
        <s:v>28891</s:v>
      </s:c>
      <s:c r="E716" s="6" t="n">
        <s:v>13228</s:v>
      </s:c>
      <s:c r="F716" s="6" t="n">
        <s:v>12903</s:v>
      </s:c>
      <s:c r="G716" s="6" t="n">
        <s:v>27599</s:v>
      </s:c>
      <s:c r="H716" s="6" t="n">
        <s:v>25628</s:v>
      </s:c>
      <s:c r="I716" s="6" t="n">
        <s:v>5384</s:v>
      </s:c>
      <s:c r="J716" s="6" t="n">
        <s:f>IF(COUNT(C716:I716)=7,SUM(C716:I716),"")</s:f>
        <s:v>126141</s:v>
      </s:c>
    </s:row>
    <s:row r="717">
      <s:c r="A717" s="5" t="n">
        <s:v>46295</s:v>
      </s:c>
      <s:c r="B717" s="2" t="n">
        <s:v>16</s:v>
      </s:c>
      <s:c r="C717" s="6" t="n">
        <s:v>12476</s:v>
      </s:c>
      <s:c r="D717" s="6" t="n">
        <s:v>29182</s:v>
      </s:c>
      <s:c r="E717" s="6" t="n">
        <s:v>12748</s:v>
      </s:c>
      <s:c r="F717" s="6" t="n">
        <s:v>12282</s:v>
      </s:c>
      <s:c r="G717" s="6" t="n">
        <s:v>28065</s:v>
      </s:c>
      <s:c r="H717" s="6" t="n">
        <s:v>25032</s:v>
      </s:c>
      <s:c r="I717" s="6" t="n">
        <s:v>5069</s:v>
      </s:c>
      <s:c r="J717" s="6" t="n">
        <s:f>IF(COUNT(C717:I717)=7,SUM(C717:I717),"")</s:f>
        <s:v>124854</s:v>
      </s:c>
    </s:row>
    <s:row r="718">
      <s:c r="A718" s="5" t="n">
        <s:v>46295</s:v>
      </s:c>
      <s:c r="B718" s="2" t="n">
        <s:v>17</s:v>
      </s:c>
      <s:c r="C718" s="6" t="n">
        <s:v>12409</s:v>
      </s:c>
      <s:c r="D718" s="6" t="n">
        <s:v>29466</s:v>
      </s:c>
      <s:c r="E718" s="6" t="n">
        <s:v>13250</s:v>
      </s:c>
      <s:c r="F718" s="6" t="n">
        <s:v>12654</s:v>
      </s:c>
      <s:c r="G718" s="6" t="n">
        <s:v>27925</s:v>
      </s:c>
      <s:c r="H718" s="6" t="n">
        <s:v>25714</s:v>
      </s:c>
      <s:c r="I718" s="6" t="n">
        <s:v>4817</s:v>
      </s:c>
      <s:c r="J718" s="6" t="n">
        <s:f>IF(COUNT(C718:I718)=7,SUM(C718:I718),"")</s:f>
        <s:v>126235</s:v>
      </s:c>
    </s:row>
    <s:row r="719">
      <s:c r="A719" s="5" t="n">
        <s:v>46295</s:v>
      </s:c>
      <s:c r="B719" s="2" t="n">
        <s:v>18</s:v>
      </s:c>
      <s:c r="C719" s="6" t="n">
        <s:v>12399</s:v>
      </s:c>
      <s:c r="D719" s="6" t="n">
        <s:v>30412</s:v>
      </s:c>
      <s:c r="E719" s="6" t="n">
        <s:v>14205</s:v>
      </s:c>
      <s:c r="F719" s="6" t="n">
        <s:v>12689</s:v>
      </s:c>
      <s:c r="G719" s="6" t="n">
        <s:v>27679</s:v>
      </s:c>
      <s:c r="H719" s="6" t="n">
        <s:v>24985</s:v>
      </s:c>
      <s:c r="I719" s="6" t="n">
        <s:v>4803</s:v>
      </s:c>
      <s:c r="J719" s="6" t="n">
        <s:f>IF(COUNT(C719:I719)=7,SUM(C719:I719),"")</s:f>
        <s:v>127172</s:v>
      </s:c>
    </s:row>
    <s:row r="720">
      <s:c r="A720" s="5" t="n">
        <s:v>46295</s:v>
      </s:c>
      <s:c r="B720" s="2" t="n">
        <s:v>19</s:v>
      </s:c>
      <s:c r="C720" s="6" t="n">
        <s:v>12451</s:v>
      </s:c>
      <s:c r="D720" s="6" t="n">
        <s:v>30169</s:v>
      </s:c>
      <s:c r="E720" s="6" t="n">
        <s:v>13889</s:v>
      </s:c>
      <s:c r="F720" s="6" t="n">
        <s:v>11949</s:v>
      </s:c>
      <s:c r="G720" s="6" t="n">
        <s:v>27151</s:v>
      </s:c>
      <s:c r="H720" s="6" t="n">
        <s:v>24344</s:v>
      </s:c>
      <s:c r="I720" s="6" t="n">
        <s:v>4720</s:v>
      </s:c>
      <s:c r="J720" s="6" t="n">
        <s:f>IF(COUNT(C720:I720)=7,SUM(C720:I720),"")</s:f>
        <s:v>124673</s:v>
      </s:c>
    </s:row>
    <s:row r="721">
      <s:c r="A721" s="5" t="n">
        <s:v>46295</s:v>
      </s:c>
      <s:c r="B721" s="2" t="n">
        <s:v>20</s:v>
      </s:c>
      <s:c r="C721" s="6" t="n">
        <s:v>12470</s:v>
      </s:c>
      <s:c r="D721" s="6" t="n">
        <s:v>29187</s:v>
      </s:c>
      <s:c r="E721" s="6" t="n">
        <s:v>13294</s:v>
      </s:c>
      <s:c r="F721" s="6" t="n">
        <s:v>11746</s:v>
      </s:c>
      <s:c r="G721" s="6" t="n">
        <s:v>26594</s:v>
      </s:c>
      <s:c r="H721" s="6" t="n">
        <s:v>23946</s:v>
      </s:c>
      <s:c r="I721" s="6" t="n">
        <s:v>4663</s:v>
      </s:c>
      <s:c r="J721" s="6" t="n">
        <s:f>IF(COUNT(C721:I721)=7,SUM(C721:I721),"")</s:f>
        <s:v>121900</s:v>
      </s:c>
    </s:row>
    <s:row r="722">
      <s:c r="A722" s="5" t="n">
        <s:v>46295</s:v>
      </s:c>
      <s:c r="B722" s="2" t="n">
        <s:v>21</s:v>
      </s:c>
      <s:c r="C722" s="6" t="n">
        <s:v>12483</s:v>
      </s:c>
      <s:c r="D722" s="6" t="n">
        <s:v>27757</s:v>
      </s:c>
      <s:c r="E722" s="6" t="n">
        <s:v>12750</s:v>
      </s:c>
      <s:c r="F722" s="6" t="n">
        <s:v>11226</s:v>
      </s:c>
      <s:c r="G722" s="6" t="n">
        <s:v>25743</s:v>
      </s:c>
      <s:c r="H722" s="6" t="n">
        <s:v>23826</s:v>
      </s:c>
      <s:c r="I722" s="6" t="n">
        <s:v>4711</s:v>
      </s:c>
      <s:c r="J722" s="6" t="n">
        <s:f>IF(COUNT(C722:I722)=7,SUM(C722:I722),"")</s:f>
        <s:v>118496</s:v>
      </s:c>
    </s:row>
    <s:row r="723">
      <s:c r="A723" s="5" t="n">
        <s:v>46295</s:v>
      </s:c>
      <s:c r="B723" s="2" t="n">
        <s:v>22</s:v>
      </s:c>
      <s:c r="C723" s="6" t="n">
        <s:v>12132</s:v>
      </s:c>
      <s:c r="D723" s="6" t="n">
        <s:v>26183</s:v>
      </s:c>
      <s:c r="E723" s="6" t="n">
        <s:v>11654</s:v>
      </s:c>
      <s:c r="F723" s="6" t="n">
        <s:v>10942</s:v>
      </s:c>
      <s:c r="G723" s="6" t="n">
        <s:v>24254</s:v>
      </s:c>
      <s:c r="H723" s="6" t="n">
        <s:v>23181</s:v>
      </s:c>
      <s:c r="I723" s="6" t="n">
        <s:v>4877</s:v>
      </s:c>
      <s:c r="J723" s="6" t="n">
        <s:f>IF(COUNT(C723:I723)=7,SUM(C723:I723),"")</s:f>
        <s:v>113223</s:v>
      </s:c>
    </s:row>
    <s:row r="724">
      <s:c r="A724" s="5" t="n">
        <s:v>46295</s:v>
      </s:c>
      <s:c r="B724" s="2" t="n">
        <s:v>23</s:v>
      </s:c>
      <s:c r="C724" s="6" t="n">
        <s:v>11875</s:v>
      </s:c>
      <s:c r="D724" s="6" t="n">
        <s:v>23844</s:v>
      </s:c>
      <s:c r="E724" s="6" t="n">
        <s:v>10838</s:v>
      </s:c>
      <s:c r="F724" s="6" t="n">
        <s:v>10564</s:v>
      </s:c>
      <s:c r="G724" s="6" t="n">
        <s:v>24534</s:v>
      </s:c>
      <s:c r="H724" s="6" t="n">
        <s:v>23170</s:v>
      </s:c>
      <s:c r="I724" s="6" t="n">
        <s:v>5155</s:v>
      </s:c>
      <s:c r="J724" s="6" t="n">
        <s:f>IF(COUNT(C724:I724)=7,SUM(C724:I724),"")</s:f>
        <s:v>109980</s:v>
      </s:c>
    </s:row>
    <s:row r="725" ht="26" customHeight="1">
      <s:c r="A725" s="7" t="inlineStr">
        <s:is>
          <s:t>Итого за месяц</s:t>
        </s:is>
      </s:c>
      <s:c r="B725" s="8" t="n"/>
      <s:c r="C725" s="9" t="n">
        <s:f>IF(COUNT(C5:C724)=720,SUM(C5:C724),"")</s:f>
        <s:v>8221085</s:v>
      </s:c>
      <s:c r="D725" s="9" t="n">
        <s:f>IF(COUNT(D5:D724)=720,SUM(D5:D724),"")</s:f>
        <s:v>18375091</s:v>
      </s:c>
      <s:c r="E725" s="9" t="n">
        <s:f>IF(COUNT(E5:E724)=720,SUM(E5:E724),"")</s:f>
        <s:v>8822411</s:v>
      </s:c>
      <s:c r="F725" s="9" t="n">
        <s:f>IF(COUNT(F5:F724)=720,SUM(F5:F724),"")</s:f>
        <s:v>8531864</s:v>
      </s:c>
      <s:c r="G725" s="9" t="n">
        <s:f>IF(COUNT(G5:G724)=720,SUM(G5:G724),"")</s:f>
        <s:v>19147818</s:v>
      </s:c>
      <s:c r="H725" s="9" t="n">
        <s:f>IF(COUNT(H5:H724)=720,SUM(H5:H724),"")</s:f>
        <s:v>17322306</s:v>
      </s:c>
      <s:c r="I725" s="9" t="n">
        <s:f>IF(COUNT(I5:I724)=720,SUM(I5:I724),"")</s:f>
        <s:v>3586726</s:v>
      </s:c>
      <s:c r="J725" s="9" t="n">
        <s:f>IF(COUNT(C725:I725)=7,SUM(C725:I725),"")</s:f>
        <s:v>84007301</s:v>
      </s:c>
    </s:row>
  </s:sheetData>
  <s:autoFilter ref="A4:J724"/>
  <s:mergeCells count="3">
    <s:mergeCell ref="A1:J1"/>
    <s:mergeCell ref="A3:J3"/>
    <s:mergeCell ref="A2:J2"/>
  </s:mergeCells>
  <s:conditionalFormatting sqref="C5:I724">
    <s:cfRule type="expression" priority="1" dxfId="0">
      <s:formula>ISBLANK(C5)</s:formula>
    </s:cfRule>
  </s:conditionalFormatting>
  <s:printOptions horizontalCentered="1"/>
  <s:pageMargins left="0.75" right="0.75" top="1" bottom="1" header="0.5" footer="0.5"/>
  <s:pageSetup orientation="landscape" paperSize="8" fitToHeight="0" fitToWidth="1"/>
  <s:legacyDrawing r:id="anysvml"/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A1:J725"/>
  <s:sheetViews>
    <s:sheetView showGridLines="0" workbookViewId="0">
      <s:pane xSplit="2" ySplit="4" topLeftCell="C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24" customWidth="1" min="1" max="1"/>
    <s:col width="12" customWidth="1" min="2" max="2"/>
    <s:col width="15" customWidth="1" min="3" max="3"/>
    <s:col width="15" customWidth="1" min="4" max="4"/>
    <s:col width="15" customWidth="1" min="5" max="5"/>
    <s:col width="15" customWidth="1" min="6" max="6"/>
    <s:col width="15" customWidth="1" min="7" max="7"/>
    <s:col width="15" customWidth="1" min="8" max="8"/>
    <s:col width="15" customWidth="1" min="9" max="9"/>
    <s:col width="15" customWidth="1" min="10" max="10"/>
    <s:col width="23" customWidth="1" min="11" max="11"/>
    <s:col width="23" customWidth="1" min="12" max="12"/>
    <s:col width="11" customWidth="1" min="13" max="13"/>
    <s:col width="17" customWidth="1" min="14" max="14"/>
  </s:cols>
  <s:sheetData>
    <s:row r="1" ht="26" customHeight="1">
      <s:c r="A1" s="1" t="inlineStr">
        <s:is>
          <s:t>Потребление (МВт*ч)</s:t>
        </s:is>
      </s:c>
      <s:c r="B1" s="2" t="n"/>
      <s:c r="C1" s="2" t="n"/>
      <s:c r="D1" s="2" t="n"/>
      <s:c r="E1" s="2" t="n"/>
      <s:c r="F1" s="2" t="n"/>
      <s:c r="G1" s="2" t="n"/>
      <s:c r="H1" s="2" t="n"/>
      <s:c r="I1" s="2" t="n"/>
      <s:c r="J1" s="2" t="n"/>
    </s:row>
    <s:row r="2" ht="38" customHeight="1">
      <s:c r="A2" s="3" t="inlineStr">
        <s:is>
          <s:t>ДАННЫЕ ПОЛНЫЕ. 01.09.2026 — 30.09.2026. Europe/Moscow. Факт.</s:t>
        </s:is>
      </s:c>
      <s:c r="B2" s="2" t="n"/>
      <s:c r="C2" s="2" t="n"/>
      <s:c r="D2" s="2" t="n"/>
      <s:c r="E2" s="2" t="n"/>
      <s:c r="F2" s="2" t="n"/>
      <s:c r="G2" s="2" t="n"/>
      <s:c r="H2" s="2" t="n"/>
      <s:c r="I2" s="2" t="n"/>
      <s:c r="J2" s="2" t="n"/>
    </s:row>
    <s:row r="3" ht="42" customHeight="1">
      <s:c r="A3" s="3" t="inlineStr">
        <s:is>
          <s:t>Энергия за час, МВт·ч. ВСЕГО — сумма 7 ОЭС. Итоги с пропусками не рассчитываются.</s:t>
        </s:is>
      </s:c>
      <s:c r="B3" s="2" t="n"/>
      <s:c r="C3" s="2" t="n"/>
      <s:c r="D3" s="2" t="n"/>
      <s:c r="E3" s="2" t="n"/>
      <s:c r="F3" s="2" t="n"/>
      <s:c r="G3" s="2" t="n"/>
      <s:c r="H3" s="2" t="n"/>
      <s:c r="I3" s="2" t="n"/>
      <s:c r="J3" s="2" t="n"/>
    </s:row>
    <s:row r="4" ht="48" customHeight="1">
      <s:c r="A4" s="4" t="inlineStr">
        <s:is>
          <s:t>Дата</s:t>
        </s:is>
      </s:c>
      <s:c r="B4" s="4" t="inlineStr">
        <s:is>
          <s:t>Час начала</s:t>
        </s:is>
      </s:c>
      <s:c r="C4" s="4" t="inlineStr">
        <s:is>
          <s:t>С-Запад</s:t>
        </s:is>
      </s:c>
      <s:c r="D4" s="4" t="inlineStr">
        <s:is>
          <s:t>Центр</s:t>
        </s:is>
      </s:c>
      <s:c r="E4" s="4" t="inlineStr">
        <s:is>
          <s:t>Юг</s:t>
        </s:is>
      </s:c>
      <s:c r="F4" s="4" t="inlineStr">
        <s:is>
          <s:t>Ср. Волга</s:t>
        </s:is>
      </s:c>
      <s:c r="G4" s="4" t="inlineStr">
        <s:is>
          <s:t>Урал</s:t>
        </s:is>
      </s:c>
      <s:c r="H4" s="4" t="inlineStr">
        <s:is>
          <s:t>Сибирь</s:t>
        </s:is>
      </s:c>
      <s:c r="I4" s="4" t="inlineStr">
        <s:is>
          <s:t>Восток</s:t>
        </s:is>
      </s:c>
      <s:c r="J4" s="4" t="inlineStr">
        <s:is>
          <s:t>ВСЕГО</s:t>
        </s:is>
      </s:c>
    </s:row>
    <s:row r="5">
      <s:c r="A5" s="5" t="n">
        <s:v>46266</s:v>
      </s:c>
      <s:c r="B5" s="2" t="n">
        <s:v>0</s:v>
      </s:c>
      <s:c r="C5" s="6" t="n">
        <s:v>9071</s:v>
      </s:c>
      <s:c r="D5" s="6" t="n">
        <s:v>23640</s:v>
      </s:c>
      <s:c r="E5" s="6" t="n">
        <s:v>9772</s:v>
      </s:c>
      <s:c r="F5" s="6" t="n">
        <s:v>10540</s:v>
      </s:c>
      <s:c r="G5" s="6" t="n">
        <s:v>23493</s:v>
      </s:c>
      <s:c r="H5" s="6" t="n">
        <s:v>21504</s:v>
      </s:c>
      <s:c r="I5" s="6" t="n">
        <s:v>4729</s:v>
      </s:c>
      <s:c r="J5" s="6" t="n">
        <s:f>IF(COUNT(C5:I5)=7,SUM(C5:I5),"")</s:f>
        <s:v>102749</s:v>
      </s:c>
    </s:row>
    <s:row r="6">
      <s:c r="A6" s="5" t="n">
        <s:v>46266</s:v>
      </s:c>
      <s:c r="B6" s="2" t="n">
        <s:v>1</s:v>
      </s:c>
      <s:c r="C6" s="6" t="n">
        <s:v>8752</s:v>
      </s:c>
      <s:c r="D6" s="6" t="n">
        <s:v>22943</s:v>
      </s:c>
      <s:c r="E6" s="6" t="n">
        <s:v>9392</s:v>
      </s:c>
      <s:c r="F6" s="6" t="n">
        <s:v>10428</s:v>
      </s:c>
      <s:c r="G6" s="6" t="n">
        <s:v>23352</s:v>
      </s:c>
      <s:c r="H6" s="6" t="n">
        <s:v>21737</s:v>
      </s:c>
      <s:c r="I6" s="6" t="n">
        <s:v>5022</s:v>
      </s:c>
      <s:c r="J6" s="6" t="n">
        <s:f>IF(COUNT(C6:I6)=7,SUM(C6:I6),"")</s:f>
        <s:v>101626</s:v>
      </s:c>
    </s:row>
    <s:row r="7">
      <s:c r="A7" s="5" t="n">
        <s:v>46266</s:v>
      </s:c>
      <s:c r="B7" s="2" t="n">
        <s:v>2</s:v>
      </s:c>
      <s:c r="C7" s="6" t="n">
        <s:v>8581</s:v>
      </s:c>
      <s:c r="D7" s="6" t="n">
        <s:v>22561</s:v>
      </s:c>
      <s:c r="E7" s="6" t="n">
        <s:v>9181</s:v>
      </s:c>
      <s:c r="F7" s="6" t="n">
        <s:v>10517</s:v>
      </s:c>
      <s:c r="G7" s="6" t="n">
        <s:v>23414</s:v>
      </s:c>
      <s:c r="H7" s="6" t="n">
        <s:v>22574</s:v>
      </s:c>
      <s:c r="I7" s="6" t="n">
        <s:v>5078</s:v>
      </s:c>
      <s:c r="J7" s="6" t="n">
        <s:f>IF(COUNT(C7:I7)=7,SUM(C7:I7),"")</s:f>
        <s:v>101906</s:v>
      </s:c>
    </s:row>
    <s:row r="8">
      <s:c r="A8" s="5" t="n">
        <s:v>46266</s:v>
      </s:c>
      <s:c r="B8" s="2" t="n">
        <s:v>3</s:v>
      </s:c>
      <s:c r="C8" s="6" t="n">
        <s:v>8464</s:v>
      </s:c>
      <s:c r="D8" s="6" t="n">
        <s:v>22326</s:v>
      </s:c>
      <s:c r="E8" s="6" t="n">
        <s:v>9271</s:v>
      </s:c>
      <s:c r="F8" s="6" t="n">
        <s:v>10331</s:v>
      </s:c>
      <s:c r="G8" s="6" t="n">
        <s:v>23565</s:v>
      </s:c>
      <s:c r="H8" s="6" t="n">
        <s:v>22898</s:v>
      </s:c>
      <s:c r="I8" s="6" t="n">
        <s:v>5078</s:v>
      </s:c>
      <s:c r="J8" s="6" t="n">
        <s:f>IF(COUNT(C8:I8)=7,SUM(C8:I8),"")</s:f>
        <s:v>101933</s:v>
      </s:c>
    </s:row>
    <s:row r="9">
      <s:c r="A9" s="5" t="n">
        <s:v>46266</s:v>
      </s:c>
      <s:c r="B9" s="2" t="n">
        <s:v>4</s:v>
      </s:c>
      <s:c r="C9" s="6" t="n">
        <s:v>8564</s:v>
      </s:c>
      <s:c r="D9" s="6" t="n">
        <s:v>22716</s:v>
      </s:c>
      <s:c r="E9" s="6" t="n">
        <s:v>9233</s:v>
      </s:c>
      <s:c r="F9" s="6" t="n">
        <s:v>10477</s:v>
      </s:c>
      <s:c r="G9" s="6" t="n">
        <s:v>24626</s:v>
      </s:c>
      <s:c r="H9" s="6" t="n">
        <s:v>23578</s:v>
      </s:c>
      <s:c r="I9" s="6" t="n">
        <s:v>5018</s:v>
      </s:c>
      <s:c r="J9" s="6" t="n">
        <s:f>IF(COUNT(C9:I9)=7,SUM(C9:I9),"")</s:f>
        <s:v>104212</s:v>
      </s:c>
    </s:row>
    <s:row r="10">
      <s:c r="A10" s="5" t="n">
        <s:v>46266</s:v>
      </s:c>
      <s:c r="B10" s="2" t="n">
        <s:v>5</s:v>
      </s:c>
      <s:c r="C10" s="6" t="n">
        <s:v>8664</s:v>
      </s:c>
      <s:c r="D10" s="6" t="n">
        <s:v>23353</s:v>
      </s:c>
      <s:c r="E10" s="6" t="n">
        <s:v>9571</s:v>
      </s:c>
      <s:c r="F10" s="6" t="n">
        <s:v>11053</s:v>
      </s:c>
      <s:c r="G10" s="6" t="n">
        <s:v>25360</s:v>
      </s:c>
      <s:c r="H10" s="6" t="n">
        <s:v>23691</s:v>
      </s:c>
      <s:c r="I10" s="6" t="n">
        <s:v>5051</s:v>
      </s:c>
      <s:c r="J10" s="6" t="n">
        <s:f>IF(COUNT(C10:I10)=7,SUM(C10:I10),"")</s:f>
        <s:v>106743</s:v>
      </s:c>
    </s:row>
    <s:row r="11">
      <s:c r="A11" s="5" t="n">
        <s:v>46266</s:v>
      </s:c>
      <s:c r="B11" s="2" t="n">
        <s:v>6</s:v>
      </s:c>
      <s:c r="C11" s="6" t="n">
        <s:v>9180</s:v>
      </s:c>
      <s:c r="D11" s="6" t="n">
        <s:v>25331</s:v>
      </s:c>
      <s:c r="E11" s="6" t="n">
        <s:v>10523</s:v>
      </s:c>
      <s:c r="F11" s="6" t="n">
        <s:v>12064</s:v>
      </s:c>
      <s:c r="G11" s="6" t="n">
        <s:v>26779</s:v>
      </s:c>
      <s:c r="H11" s="6" t="n">
        <s:v>23577</s:v>
      </s:c>
      <s:c r="I11" s="6" t="n">
        <s:v>5107</s:v>
      </s:c>
      <s:c r="J11" s="6" t="n">
        <s:f>IF(COUNT(C11:I11)=7,SUM(C11:I11),"")</s:f>
        <s:v>112561</s:v>
      </s:c>
    </s:row>
    <s:row r="12">
      <s:c r="A12" s="5" t="n">
        <s:v>46266</s:v>
      </s:c>
      <s:c r="B12" s="2" t="n">
        <s:v>7</s:v>
      </s:c>
      <s:c r="C12" s="6" t="n">
        <s:v>9803</s:v>
      </s:c>
      <s:c r="D12" s="6" t="n">
        <s:v>26913</s:v>
      </s:c>
      <s:c r="E12" s="6" t="n">
        <s:v>11453</s:v>
      </s:c>
      <s:c r="F12" s="6" t="n">
        <s:v>12787</s:v>
      </s:c>
      <s:c r="G12" s="6" t="n">
        <s:v>26808</s:v>
      </s:c>
      <s:c r="H12" s="6" t="n">
        <s:v>23534</s:v>
      </s:c>
      <s:c r="I12" s="6" t="n">
        <s:v>5022</s:v>
      </s:c>
      <s:c r="J12" s="6" t="n">
        <s:f>IF(COUNT(C12:I12)=7,SUM(C12:I12),"")</s:f>
        <s:v>116320</s:v>
      </s:c>
    </s:row>
    <s:row r="13">
      <s:c r="A13" s="5" t="n">
        <s:v>46266</s:v>
      </s:c>
      <s:c r="B13" s="2" t="n">
        <s:v>8</s:v>
      </s:c>
      <s:c r="C13" s="6" t="n">
        <s:v>10300</s:v>
      </s:c>
      <s:c r="D13" s="6" t="n">
        <s:v>28830</s:v>
      </s:c>
      <s:c r="E13" s="6" t="n">
        <s:v>12297</s:v>
      </s:c>
      <s:c r="F13" s="6" t="n">
        <s:v>13086</s:v>
      </s:c>
      <s:c r="G13" s="6" t="n">
        <s:v>27100</s:v>
      </s:c>
      <s:c r="H13" s="6" t="n">
        <s:v>24007</s:v>
      </s:c>
      <s:c r="I13" s="6" t="n">
        <s:v>5042</s:v>
      </s:c>
      <s:c r="J13" s="6" t="n">
        <s:f>IF(COUNT(C13:I13)=7,SUM(C13:I13),"")</s:f>
        <s:v>120662</s:v>
      </s:c>
    </s:row>
    <s:row r="14">
      <s:c r="A14" s="5" t="n">
        <s:v>46266</s:v>
      </s:c>
      <s:c r="B14" s="2" t="n">
        <s:v>9</s:v>
      </s:c>
      <s:c r="C14" s="6" t="n">
        <s:v>10516</s:v>
      </s:c>
      <s:c r="D14" s="6" t="n">
        <s:v>29476</s:v>
      </s:c>
      <s:c r="E14" s="6" t="n">
        <s:v>12709</s:v>
      </s:c>
      <s:c r="F14" s="6" t="n">
        <s:v>13236</s:v>
      </s:c>
      <s:c r="G14" s="6" t="n">
        <s:v>26734</s:v>
      </s:c>
      <s:c r="H14" s="6" t="n">
        <s:v>24094</s:v>
      </s:c>
      <s:c r="I14" s="6" t="n">
        <s:v>5011</s:v>
      </s:c>
      <s:c r="J14" s="6" t="n">
        <s:f>IF(COUNT(C14:I14)=7,SUM(C14:I14),"")</s:f>
        <s:v>121776</s:v>
      </s:c>
    </s:row>
    <s:row r="15">
      <s:c r="A15" s="5" t="n">
        <s:v>46266</s:v>
      </s:c>
      <s:c r="B15" s="2" t="n">
        <s:v>10</s:v>
      </s:c>
      <s:c r="C15" s="6" t="n">
        <s:v>10652</s:v>
      </s:c>
      <s:c r="D15" s="6" t="n">
        <s:v>29660</s:v>
      </s:c>
      <s:c r="E15" s="6" t="n">
        <s:v>12815</s:v>
      </s:c>
      <s:c r="F15" s="6" t="n">
        <s:v>13145</s:v>
      </s:c>
      <s:c r="G15" s="6" t="n">
        <s:v>26732</s:v>
      </s:c>
      <s:c r="H15" s="6" t="n">
        <s:v>24147</s:v>
      </s:c>
      <s:c r="I15" s="6" t="n">
        <s:v>5053</s:v>
      </s:c>
      <s:c r="J15" s="6" t="n">
        <s:f>IF(COUNT(C15:I15)=7,SUM(C15:I15),"")</s:f>
        <s:v>122204</s:v>
      </s:c>
    </s:row>
    <s:row r="16">
      <s:c r="A16" s="5" t="n">
        <s:v>46266</s:v>
      </s:c>
      <s:c r="B16" s="2" t="n">
        <s:v>11</s:v>
      </s:c>
      <s:c r="C16" s="6" t="n">
        <s:v>10564</s:v>
      </s:c>
      <s:c r="D16" s="6" t="n">
        <s:v>29565</s:v>
      </s:c>
      <s:c r="E16" s="6" t="n">
        <s:v>13076</s:v>
      </s:c>
      <s:c r="F16" s="6" t="n">
        <s:v>13077</s:v>
      </s:c>
      <s:c r="G16" s="6" t="n">
        <s:v>26674</s:v>
      </s:c>
      <s:c r="H16" s="6" t="n">
        <s:v>23574</s:v>
      </s:c>
      <s:c r="I16" s="6" t="n">
        <s:v>5133</s:v>
      </s:c>
      <s:c r="J16" s="6" t="n">
        <s:f>IF(COUNT(C16:I16)=7,SUM(C16:I16),"")</s:f>
        <s:v>121663</s:v>
      </s:c>
    </s:row>
    <s:row r="17">
      <s:c r="A17" s="5" t="n">
        <s:v>46266</s:v>
      </s:c>
      <s:c r="B17" s="2" t="n">
        <s:v>12</s:v>
      </s:c>
      <s:c r="C17" s="6" t="n">
        <s:v>10534</s:v>
      </s:c>
      <s:c r="D17" s="6" t="n">
        <s:v>29769</s:v>
      </s:c>
      <s:c r="E17" s="6" t="n">
        <s:v>13064</s:v>
      </s:c>
      <s:c r="F17" s="6" t="n">
        <s:v>13162</s:v>
      </s:c>
      <s:c r="G17" s="6" t="n">
        <s:v>26679</s:v>
      </s:c>
      <s:c r="H17" s="6" t="n">
        <s:v>23594</s:v>
      </s:c>
      <s:c r="I17" s="6" t="n">
        <s:v>5201</s:v>
      </s:c>
      <s:c r="J17" s="6" t="n">
        <s:f>IF(COUNT(C17:I17)=7,SUM(C17:I17),"")</s:f>
        <s:v>122003</s:v>
      </s:c>
    </s:row>
    <s:row r="18">
      <s:c r="A18" s="5" t="n">
        <s:v>46266</s:v>
      </s:c>
      <s:c r="B18" s="2" t="n">
        <s:v>13</s:v>
      </s:c>
      <s:c r="C18" s="6" t="n">
        <s:v>10630</s:v>
      </s:c>
      <s:c r="D18" s="6" t="n">
        <s:v>29964</s:v>
      </s:c>
      <s:c r="E18" s="6" t="n">
        <s:v>13397</s:v>
      </s:c>
      <s:c r="F18" s="6" t="n">
        <s:v>13200</s:v>
      </s:c>
      <s:c r="G18" s="6" t="n">
        <s:v>26781</s:v>
      </s:c>
      <s:c r="H18" s="6" t="n">
        <s:v>23808</s:v>
      </s:c>
      <s:c r="I18" s="6" t="n">
        <s:v>5238</s:v>
      </s:c>
      <s:c r="J18" s="6" t="n">
        <s:f>IF(COUNT(C18:I18)=7,SUM(C18:I18),"")</s:f>
        <s:v>123018</s:v>
      </s:c>
    </s:row>
    <s:row r="19">
      <s:c r="A19" s="5" t="n">
        <s:v>46266</s:v>
      </s:c>
      <s:c r="B19" s="2" t="n">
        <s:v>14</s:v>
      </s:c>
      <s:c r="C19" s="6" t="n">
        <s:v>10562</s:v>
      </s:c>
      <s:c r="D19" s="6" t="n">
        <s:v>30020</s:v>
      </s:c>
      <s:c r="E19" s="6" t="n">
        <s:v>13183</s:v>
      </s:c>
      <s:c r="F19" s="6" t="n">
        <s:v>13080</s:v>
      </s:c>
      <s:c r="G19" s="6" t="n">
        <s:v>26651</s:v>
      </s:c>
      <s:c r="H19" s="6" t="n">
        <s:v>23898</s:v>
      </s:c>
      <s:c r="I19" s="6" t="n">
        <s:v>5048</s:v>
      </s:c>
      <s:c r="J19" s="6" t="n">
        <s:f>IF(COUNT(C19:I19)=7,SUM(C19:I19),"")</s:f>
        <s:v>122442</s:v>
      </s:c>
    </s:row>
    <s:row r="20">
      <s:c r="A20" s="5" t="n">
        <s:v>46266</s:v>
      </s:c>
      <s:c r="B20" s="2" t="n">
        <s:v>15</s:v>
      </s:c>
      <s:c r="C20" s="6" t="n">
        <s:v>10708</s:v>
      </s:c>
      <s:c r="D20" s="6" t="n">
        <s:v>29900</s:v>
      </s:c>
      <s:c r="E20" s="6" t="n">
        <s:v>13301</s:v>
      </s:c>
      <s:c r="F20" s="6" t="n">
        <s:v>12823</s:v>
      </s:c>
      <s:c r="G20" s="6" t="n">
        <s:v>26569</s:v>
      </s:c>
      <s:c r="H20" s="6" t="n">
        <s:v>24016</s:v>
      </s:c>
      <s:c r="I20" s="6" t="n">
        <s:v>4781</s:v>
      </s:c>
      <s:c r="J20" s="6" t="n">
        <s:f>IF(COUNT(C20:I20)=7,SUM(C20:I20),"")</s:f>
        <s:v>122098</s:v>
      </s:c>
    </s:row>
    <s:row r="21">
      <s:c r="A21" s="5" t="n">
        <s:v>46266</s:v>
      </s:c>
      <s:c r="B21" s="2" t="n">
        <s:v>16</s:v>
      </s:c>
      <s:c r="C21" s="6" t="n">
        <s:v>10468</s:v>
      </s:c>
      <s:c r="D21" s="6" t="n">
        <s:v>29486</s:v>
      </s:c>
      <s:c r="E21" s="6" t="n">
        <s:v>13191</s:v>
      </s:c>
      <s:c r="F21" s="6" t="n">
        <s:v>12739</s:v>
      </s:c>
      <s:c r="G21" s="6" t="n">
        <s:v>26280</s:v>
      </s:c>
      <s:c r="H21" s="6" t="n">
        <s:v>24155</s:v>
      </s:c>
      <s:c r="I21" s="6" t="n">
        <s:v>4657</s:v>
      </s:c>
      <s:c r="J21" s="6" t="n">
        <s:f>IF(COUNT(C21:I21)=7,SUM(C21:I21),"")</s:f>
        <s:v>120976</s:v>
      </s:c>
    </s:row>
    <s:row r="22">
      <s:c r="A22" s="5" t="n">
        <s:v>46266</s:v>
      </s:c>
      <s:c r="B22" s="2" t="n">
        <s:v>17</s:v>
      </s:c>
      <s:c r="C22" s="6" t="n">
        <s:v>10464</s:v>
      </s:c>
      <s:c r="D22" s="6" t="n">
        <s:v>29018</s:v>
      </s:c>
      <s:c r="E22" s="6" t="n">
        <s:v>12917</s:v>
      </s:c>
      <s:c r="F22" s="6" t="n">
        <s:v>12577</s:v>
      </s:c>
      <s:c r="G22" s="6" t="n">
        <s:v>26457</s:v>
      </s:c>
      <s:c r="H22" s="6" t="n">
        <s:v>24124</s:v>
      </s:c>
      <s:c r="I22" s="6" t="n">
        <s:v>4464</s:v>
      </s:c>
      <s:c r="J22" s="6" t="n">
        <s:f>IF(COUNT(C22:I22)=7,SUM(C22:I22),"")</s:f>
        <s:v>120021</s:v>
      </s:c>
    </s:row>
    <s:row r="23">
      <s:c r="A23" s="5" t="n">
        <s:v>46266</s:v>
      </s:c>
      <s:c r="B23" s="2" t="n">
        <s:v>18</s:v>
      </s:c>
      <s:c r="C23" s="6" t="n">
        <s:v>10462</s:v>
      </s:c>
      <s:c r="D23" s="6" t="n">
        <s:v>29386</s:v>
      </s:c>
      <s:c r="E23" s="6" t="n">
        <s:v>13260</s:v>
      </s:c>
      <s:c r="F23" s="6" t="n">
        <s:v>12761</s:v>
      </s:c>
      <s:c r="G23" s="6" t="n">
        <s:v>27068</s:v>
      </s:c>
      <s:c r="H23" s="6" t="n">
        <s:v>23140</s:v>
      </s:c>
      <s:c r="I23" s="6" t="n">
        <s:v>4441</s:v>
      </s:c>
      <s:c r="J23" s="6" t="n">
        <s:f>IF(COUNT(C23:I23)=7,SUM(C23:I23),"")</s:f>
        <s:v>120518</s:v>
      </s:c>
    </s:row>
    <s:row r="24">
      <s:c r="A24" s="5" t="n">
        <s:v>46266</s:v>
      </s:c>
      <s:c r="B24" s="2" t="n">
        <s:v>19</s:v>
      </s:c>
      <s:c r="C24" s="6" t="n">
        <s:v>10447</s:v>
      </s:c>
      <s:c r="D24" s="6" t="n">
        <s:v>29883</s:v>
      </s:c>
      <s:c r="E24" s="6" t="n">
        <s:v>13288</s:v>
      </s:c>
      <s:c r="F24" s="6" t="n">
        <s:v>12947</s:v>
      </s:c>
      <s:c r="G24" s="6" t="n">
        <s:v>26550</s:v>
      </s:c>
      <s:c r="H24" s="6" t="n">
        <s:v>22322</s:v>
      </s:c>
      <s:c r="I24" s="6" t="n">
        <s:v>4346</s:v>
      </s:c>
      <s:c r="J24" s="6" t="n">
        <s:f>IF(COUNT(C24:I24)=7,SUM(C24:I24),"")</s:f>
        <s:v>119783</s:v>
      </s:c>
    </s:row>
    <s:row r="25">
      <s:c r="A25" s="5" t="n">
        <s:v>46266</s:v>
      </s:c>
      <s:c r="B25" s="2" t="n">
        <s:v>20</s:v>
      </s:c>
      <s:c r="C25" s="6" t="n">
        <s:v>10693</s:v>
      </s:c>
      <s:c r="D25" s="6" t="n">
        <s:v>29137</s:v>
      </s:c>
      <s:c r="E25" s="6" t="n">
        <s:v>13072</s:v>
      </s:c>
      <s:c r="F25" s="6" t="n">
        <s:v>12382</s:v>
      </s:c>
      <s:c r="G25" s="6" t="n">
        <s:v>25695</s:v>
      </s:c>
      <s:c r="H25" s="6" t="n">
        <s:v>21736</s:v>
      </s:c>
      <s:c r="I25" s="6" t="n">
        <s:v>4214</s:v>
      </s:c>
      <s:c r="J25" s="6" t="n">
        <s:f>IF(COUNT(C25:I25)=7,SUM(C25:I25),"")</s:f>
        <s:v>116929</s:v>
      </s:c>
    </s:row>
    <s:row r="26">
      <s:c r="A26" s="5" t="n">
        <s:v>46266</s:v>
      </s:c>
      <s:c r="B26" s="2" t="n">
        <s:v>21</s:v>
      </s:c>
      <s:c r="C26" s="6" t="n">
        <s:v>10461</s:v>
      </s:c>
      <s:c r="D26" s="6" t="n">
        <s:v>28159</s:v>
      </s:c>
      <s:c r="E26" s="6" t="n">
        <s:v>12343</s:v>
      </s:c>
      <s:c r="F26" s="6" t="n">
        <s:v>11982</s:v>
      </s:c>
      <s:c r="G26" s="6" t="n">
        <s:v>24872</s:v>
      </s:c>
      <s:c r="H26" s="6" t="n">
        <s:v>21655</s:v>
      </s:c>
      <s:c r="I26" s="6" t="n">
        <s:v>4288</s:v>
      </s:c>
      <s:c r="J26" s="6" t="n">
        <s:f>IF(COUNT(C26:I26)=7,SUM(C26:I26),"")</s:f>
        <s:v>113760</s:v>
      </s:c>
    </s:row>
    <s:row r="27">
      <s:c r="A27" s="5" t="n">
        <s:v>46266</s:v>
      </s:c>
      <s:c r="B27" s="2" t="n">
        <s:v>22</s:v>
      </s:c>
      <s:c r="C27" s="6" t="n">
        <s:v>9872</s:v>
      </s:c>
      <s:c r="D27" s="6" t="n">
        <s:v>26221</s:v>
      </s:c>
      <s:c r="E27" s="6" t="n">
        <s:v>11387</s:v>
      </s:c>
      <s:c r="F27" s="6" t="n">
        <s:v>11413</s:v>
      </s:c>
      <s:c r="G27" s="6" t="n">
        <s:v>24096</s:v>
      </s:c>
      <s:c r="H27" s="6" t="n">
        <s:v>21654</s:v>
      </s:c>
      <s:c r="I27" s="6" t="n">
        <s:v>4445</s:v>
      </s:c>
      <s:c r="J27" s="6" t="n">
        <s:f>IF(COUNT(C27:I27)=7,SUM(C27:I27),"")</s:f>
        <s:v>109088</s:v>
      </s:c>
    </s:row>
    <s:row r="28">
      <s:c r="A28" s="5" t="n">
        <s:v>46266</s:v>
      </s:c>
      <s:c r="B28" s="2" t="n">
        <s:v>23</s:v>
      </s:c>
      <s:c r="C28" s="6" t="n">
        <s:v>9399</s:v>
      </s:c>
      <s:c r="D28" s="6" t="n">
        <s:v>24440</s:v>
      </s:c>
      <s:c r="E28" s="6" t="n">
        <s:v>10451</s:v>
      </s:c>
      <s:c r="F28" s="6" t="n">
        <s:v>10922</s:v>
      </s:c>
      <s:c r="G28" s="6" t="n">
        <s:v>23506</s:v>
      </s:c>
      <s:c r="H28" s="6" t="n">
        <s:v>21520</s:v>
      </s:c>
      <s:c r="I28" s="6" t="n">
        <s:v>4651</s:v>
      </s:c>
      <s:c r="J28" s="6" t="n">
        <s:f>IF(COUNT(C28:I28)=7,SUM(C28:I28),"")</s:f>
        <s:v>104889</s:v>
      </s:c>
    </s:row>
    <s:row r="29">
      <s:c r="A29" s="5" t="n">
        <s:v>46267</s:v>
      </s:c>
      <s:c r="B29" s="2" t="n">
        <s:v>0</s:v>
      </s:c>
      <s:c r="C29" s="6" t="n">
        <s:v>8977</s:v>
      </s:c>
      <s:c r="D29" s="6" t="n">
        <s:v>23594</s:v>
      </s:c>
      <s:c r="E29" s="6" t="n">
        <s:v>9902</s:v>
      </s:c>
      <s:c r="F29" s="6" t="n">
        <s:v>10451</s:v>
      </s:c>
      <s:c r="G29" s="6" t="n">
        <s:v>23230</s:v>
      </s:c>
      <s:c r="H29" s="6" t="n">
        <s:v>21787</s:v>
      </s:c>
      <s:c r="I29" s="6" t="n">
        <s:v>4961</s:v>
      </s:c>
      <s:c r="J29" s="6" t="n">
        <s:f>IF(COUNT(C29:I29)=7,SUM(C29:I29),"")</s:f>
        <s:v>102902</s:v>
      </s:c>
    </s:row>
    <s:row r="30">
      <s:c r="A30" s="5" t="n">
        <s:v>46267</s:v>
      </s:c>
      <s:c r="B30" s="2" t="n">
        <s:v>1</s:v>
      </s:c>
      <s:c r="C30" s="6" t="n">
        <s:v>8712</s:v>
      </s:c>
      <s:c r="D30" s="6" t="n">
        <s:v>22919</s:v>
      </s:c>
      <s:c r="E30" s="6" t="n">
        <s:v>9599</s:v>
      </s:c>
      <s:c r="F30" s="6" t="n">
        <s:v>10409</s:v>
      </s:c>
      <s:c r="G30" s="6" t="n">
        <s:v>23570</s:v>
      </s:c>
      <s:c r="H30" s="6" t="n">
        <s:v>22369</s:v>
      </s:c>
      <s:c r="I30" s="6" t="n">
        <s:v>5145</s:v>
      </s:c>
      <s:c r="J30" s="6" t="n">
        <s:f>IF(COUNT(C30:I30)=7,SUM(C30:I30),"")</s:f>
        <s:v>102723</s:v>
      </s:c>
    </s:row>
    <s:row r="31">
      <s:c r="A31" s="5" t="n">
        <s:v>46267</s:v>
      </s:c>
      <s:c r="B31" s="2" t="n">
        <s:v>2</s:v>
      </s:c>
      <s:c r="C31" s="6" t="n">
        <s:v>8679</s:v>
      </s:c>
      <s:c r="D31" s="6" t="n">
        <s:v>22626</s:v>
      </s:c>
      <s:c r="E31" s="6" t="n">
        <s:v>9361</s:v>
      </s:c>
      <s:c r="F31" s="6" t="n">
        <s:v>10422</s:v>
      </s:c>
      <s:c r="G31" s="6" t="n">
        <s:v>23542</s:v>
      </s:c>
      <s:c r="H31" s="6" t="n">
        <s:v>23190</s:v>
      </s:c>
      <s:c r="I31" s="6" t="n">
        <s:v>5186</s:v>
      </s:c>
      <s:c r="J31" s="6" t="n">
        <s:f>IF(COUNT(C31:I31)=7,SUM(C31:I31),"")</s:f>
        <s:v>103006</s:v>
      </s:c>
    </s:row>
    <s:row r="32">
      <s:c r="A32" s="5" t="n">
        <s:v>46267</s:v>
      </s:c>
      <s:c r="B32" s="2" t="n">
        <s:v>3</s:v>
      </s:c>
      <s:c r="C32" s="6" t="n">
        <s:v>8579</s:v>
      </s:c>
      <s:c r="D32" s="6" t="n">
        <s:v>22438</s:v>
      </s:c>
      <s:c r="E32" s="6" t="n">
        <s:v>9375</s:v>
      </s:c>
      <s:c r="F32" s="6" t="n">
        <s:v>10604</s:v>
      </s:c>
      <s:c r="G32" s="6" t="n">
        <s:v>23983</s:v>
      </s:c>
      <s:c r="H32" s="6" t="n">
        <s:v>23325</s:v>
      </s:c>
      <s:c r="I32" s="6" t="n">
        <s:v>5052</s:v>
      </s:c>
      <s:c r="J32" s="6" t="n">
        <s:f>IF(COUNT(C32:I32)=7,SUM(C32:I32),"")</s:f>
        <s:v>103356</s:v>
      </s:c>
    </s:row>
    <s:row r="33">
      <s:c r="A33" s="5" t="n">
        <s:v>46267</s:v>
      </s:c>
      <s:c r="B33" s="2" t="n">
        <s:v>4</s:v>
      </s:c>
      <s:c r="C33" s="6" t="n">
        <s:v>8663</s:v>
      </s:c>
      <s:c r="D33" s="6" t="n">
        <s:v>22887</s:v>
      </s:c>
      <s:c r="E33" s="6" t="n">
        <s:v>9474</s:v>
      </s:c>
      <s:c r="F33" s="6" t="n">
        <s:v>10770</s:v>
      </s:c>
      <s:c r="G33" s="6" t="n">
        <s:v>24658</s:v>
      </s:c>
      <s:c r="H33" s="6" t="n">
        <s:v>23885</s:v>
      </s:c>
      <s:c r="I33" s="6" t="n">
        <s:v>4983</s:v>
      </s:c>
      <s:c r="J33" s="6" t="n">
        <s:f>IF(COUNT(C33:I33)=7,SUM(C33:I33),"")</s:f>
        <s:v>105320</s:v>
      </s:c>
    </s:row>
    <s:row r="34">
      <s:c r="A34" s="5" t="n">
        <s:v>46267</s:v>
      </s:c>
      <s:c r="B34" s="2" t="n">
        <s:v>5</s:v>
      </s:c>
      <s:c r="C34" s="6" t="n">
        <s:v>8827</s:v>
      </s:c>
      <s:c r="D34" s="6" t="n">
        <s:v>23369</s:v>
      </s:c>
      <s:c r="E34" s="6" t="n">
        <s:v>9484</s:v>
      </s:c>
      <s:c r="F34" s="6" t="n">
        <s:v>11262</s:v>
      </s:c>
      <s:c r="G34" s="6" t="n">
        <s:v>25538</s:v>
      </s:c>
      <s:c r="H34" s="6" t="n">
        <s:v>23894</s:v>
      </s:c>
      <s:c r="I34" s="6" t="n">
        <s:v>5180</s:v>
      </s:c>
      <s:c r="J34" s="6" t="n">
        <s:f>IF(COUNT(C34:I34)=7,SUM(C34:I34),"")</s:f>
        <s:v>107554</s:v>
      </s:c>
    </s:row>
    <s:row r="35">
      <s:c r="A35" s="5" t="n">
        <s:v>46267</s:v>
      </s:c>
      <s:c r="B35" s="2" t="n">
        <s:v>6</s:v>
      </s:c>
      <s:c r="C35" s="6" t="n">
        <s:v>9343</s:v>
      </s:c>
      <s:c r="D35" s="6" t="n">
        <s:v>25603</s:v>
      </s:c>
      <s:c r="E35" s="6" t="n">
        <s:v>10804</s:v>
      </s:c>
      <s:c r="F35" s="6" t="n">
        <s:v>12272</s:v>
      </s:c>
      <s:c r="G35" s="6" t="n">
        <s:v>26909</s:v>
      </s:c>
      <s:c r="H35" s="6" t="n">
        <s:v>24148</s:v>
      </s:c>
      <s:c r="I35" s="6" t="n">
        <s:v>5189</s:v>
      </s:c>
      <s:c r="J35" s="6" t="n">
        <s:f>IF(COUNT(C35:I35)=7,SUM(C35:I35),"")</s:f>
        <s:v>114268</s:v>
      </s:c>
    </s:row>
    <s:row r="36">
      <s:c r="A36" s="5" t="n">
        <s:v>46267</s:v>
      </s:c>
      <s:c r="B36" s="2" t="n">
        <s:v>7</s:v>
      </s:c>
      <s:c r="C36" s="6" t="n">
        <s:v>9808</s:v>
      </s:c>
      <s:c r="D36" s="6" t="n">
        <s:v>27152</s:v>
      </s:c>
      <s:c r="E36" s="6" t="n">
        <s:v>11591</s:v>
      </s:c>
      <s:c r="F36" s="6" t="n">
        <s:v>13068</s:v>
      </s:c>
      <s:c r="G36" s="6" t="n">
        <s:v>27015</s:v>
      </s:c>
      <s:c r="H36" s="6" t="n">
        <s:v>24082</s:v>
      </s:c>
      <s:c r="I36" s="6" t="n">
        <s:v>5138</s:v>
      </s:c>
      <s:c r="J36" s="6" t="n">
        <s:f>IF(COUNT(C36:I36)=7,SUM(C36:I36),"")</s:f>
        <s:v>117854</s:v>
      </s:c>
    </s:row>
    <s:row r="37">
      <s:c r="A37" s="5" t="n">
        <s:v>46267</s:v>
      </s:c>
      <s:c r="B37" s="2" t="n">
        <s:v>8</s:v>
      </s:c>
      <s:c r="C37" s="6" t="n">
        <s:v>10374</s:v>
      </s:c>
      <s:c r="D37" s="6" t="n">
        <s:v>28990</s:v>
      </s:c>
      <s:c r="E37" s="6" t="n">
        <s:v>12525</s:v>
      </s:c>
      <s:c r="F37" s="6" t="n">
        <s:v>13315</s:v>
      </s:c>
      <s:c r="G37" s="6" t="n">
        <s:v>27032</s:v>
      </s:c>
      <s:c r="H37" s="6" t="n">
        <s:v>24339</s:v>
      </s:c>
      <s:c r="I37" s="6" t="n">
        <s:v>5265</s:v>
      </s:c>
      <s:c r="J37" s="6" t="n">
        <s:f>IF(COUNT(C37:I37)=7,SUM(C37:I37),"")</s:f>
        <s:v>121840</s:v>
      </s:c>
    </s:row>
    <s:row r="38">
      <s:c r="A38" s="5" t="n">
        <s:v>46267</s:v>
      </s:c>
      <s:c r="B38" s="2" t="n">
        <s:v>9</s:v>
      </s:c>
      <s:c r="C38" s="6" t="n">
        <s:v>10741</s:v>
      </s:c>
      <s:c r="D38" s="6" t="n">
        <s:v>29821</s:v>
      </s:c>
      <s:c r="E38" s="6" t="n">
        <s:v>13181</s:v>
      </s:c>
      <s:c r="F38" s="6" t="n">
        <s:v>13636</s:v>
      </s:c>
      <s:c r="G38" s="6" t="n">
        <s:v>26958</s:v>
      </s:c>
      <s:c r="H38" s="6" t="n">
        <s:v>24384</s:v>
      </s:c>
      <s:c r="I38" s="6" t="n">
        <s:v>5013</s:v>
      </s:c>
      <s:c r="J38" s="6" t="n">
        <s:f>IF(COUNT(C38:I38)=7,SUM(C38:I38),"")</s:f>
        <s:v>123734</s:v>
      </s:c>
    </s:row>
    <s:row r="39">
      <s:c r="A39" s="5" t="n">
        <s:v>46267</s:v>
      </s:c>
      <s:c r="B39" s="2" t="n">
        <s:v>10</s:v>
      </s:c>
      <s:c r="C39" s="6" t="n">
        <s:v>10794</s:v>
      </s:c>
      <s:c r="D39" s="6" t="n">
        <s:v>29801</s:v>
      </s:c>
      <s:c r="E39" s="6" t="n">
        <s:v>13359</s:v>
      </s:c>
      <s:c r="F39" s="6" t="n">
        <s:v>13472</s:v>
      </s:c>
      <s:c r="G39" s="6" t="n">
        <s:v>26759</s:v>
      </s:c>
      <s:c r="H39" s="6" t="n">
        <s:v>24422</s:v>
      </s:c>
      <s:c r="I39" s="6" t="n">
        <s:v>5206</s:v>
      </s:c>
      <s:c r="J39" s="6" t="n">
        <s:f>IF(COUNT(C39:I39)=7,SUM(C39:I39),"")</s:f>
        <s:v>123813</s:v>
      </s:c>
    </s:row>
    <s:row r="40">
      <s:c r="A40" s="5" t="n">
        <s:v>46267</s:v>
      </s:c>
      <s:c r="B40" s="2" t="n">
        <s:v>11</s:v>
      </s:c>
      <s:c r="C40" s="6" t="n">
        <s:v>10749</s:v>
      </s:c>
      <s:c r="D40" s="6" t="n">
        <s:v>29694</s:v>
      </s:c>
      <s:c r="E40" s="6" t="n">
        <s:v>13326</s:v>
      </s:c>
      <s:c r="F40" s="6" t="n">
        <s:v>13306</s:v>
      </s:c>
      <s:c r="G40" s="6" t="n">
        <s:v>26742</s:v>
      </s:c>
      <s:c r="H40" s="6" t="n">
        <s:v>23906</s:v>
      </s:c>
      <s:c r="I40" s="6" t="n">
        <s:v>5136</s:v>
      </s:c>
      <s:c r="J40" s="6" t="n">
        <s:f>IF(COUNT(C40:I40)=7,SUM(C40:I40),"")</s:f>
        <s:v>122859</s:v>
      </s:c>
    </s:row>
    <s:row r="41">
      <s:c r="A41" s="5" t="n">
        <s:v>46267</s:v>
      </s:c>
      <s:c r="B41" s="2" t="n">
        <s:v>12</s:v>
      </s:c>
      <s:c r="C41" s="6" t="n">
        <s:v>10768</s:v>
      </s:c>
      <s:c r="D41" s="6" t="n">
        <s:v>29552</s:v>
      </s:c>
      <s:c r="E41" s="6" t="n">
        <s:v>13794</s:v>
      </s:c>
      <s:c r="F41" s="6" t="n">
        <s:v>13326</s:v>
      </s:c>
      <s:c r="G41" s="6" t="n">
        <s:v>26853</s:v>
      </s:c>
      <s:c r="H41" s="6" t="n">
        <s:v>23818</s:v>
      </s:c>
      <s:c r="I41" s="6" t="n">
        <s:v>5283</s:v>
      </s:c>
      <s:c r="J41" s="6" t="n">
        <s:f>IF(COUNT(C41:I41)=7,SUM(C41:I41),"")</s:f>
        <s:v>123394</s:v>
      </s:c>
    </s:row>
    <s:row r="42">
      <s:c r="A42" s="5" t="n">
        <s:v>46267</s:v>
      </s:c>
      <s:c r="B42" s="2" t="n">
        <s:v>13</s:v>
      </s:c>
      <s:c r="C42" s="6" t="n">
        <s:v>10768</s:v>
      </s:c>
      <s:c r="D42" s="6" t="n">
        <s:v>29740</s:v>
      </s:c>
      <s:c r="E42" s="6" t="n">
        <s:v>13967</s:v>
      </s:c>
      <s:c r="F42" s="6" t="n">
        <s:v>13444</s:v>
      </s:c>
      <s:c r="G42" s="6" t="n">
        <s:v>26862</s:v>
      </s:c>
      <s:c r="H42" s="6" t="n">
        <s:v>23967</s:v>
      </s:c>
      <s:c r="I42" s="6" t="n">
        <s:v>5323</s:v>
      </s:c>
      <s:c r="J42" s="6" t="n">
        <s:f>IF(COUNT(C42:I42)=7,SUM(C42:I42),"")</s:f>
        <s:v>124071</s:v>
      </s:c>
    </s:row>
    <s:row r="43">
      <s:c r="A43" s="5" t="n">
        <s:v>46267</s:v>
      </s:c>
      <s:c r="B43" s="2" t="n">
        <s:v>14</s:v>
      </s:c>
      <s:c r="C43" s="6" t="n">
        <s:v>10665</s:v>
      </s:c>
      <s:c r="D43" s="6" t="n">
        <s:v>29736</s:v>
      </s:c>
      <s:c r="E43" s="6" t="n">
        <s:v>13899</s:v>
      </s:c>
      <s:c r="F43" s="6" t="n">
        <s:v>13413</s:v>
      </s:c>
      <s:c r="G43" s="6" t="n">
        <s:v>26589</s:v>
      </s:c>
      <s:c r="H43" s="6" t="n">
        <s:v>24280</s:v>
      </s:c>
      <s:c r="I43" s="6" t="n">
        <s:v>5163</s:v>
      </s:c>
      <s:c r="J43" s="6" t="n">
        <s:f>IF(COUNT(C43:I43)=7,SUM(C43:I43),"")</s:f>
        <s:v>123745</s:v>
      </s:c>
    </s:row>
    <s:row r="44">
      <s:c r="A44" s="5" t="n">
        <s:v>46267</s:v>
      </s:c>
      <s:c r="B44" s="2" t="n">
        <s:v>15</s:v>
      </s:c>
      <s:c r="C44" s="6" t="n">
        <s:v>10822</s:v>
      </s:c>
      <s:c r="D44" s="6" t="n">
        <s:v>29642</s:v>
      </s:c>
      <s:c r="E44" s="6" t="n">
        <s:v>14197</s:v>
      </s:c>
      <s:c r="F44" s="6" t="n">
        <s:v>13131</s:v>
      </s:c>
      <s:c r="G44" s="6" t="n">
        <s:v>26679</s:v>
      </s:c>
      <s:c r="H44" s="6" t="n">
        <s:v>24184</s:v>
      </s:c>
      <s:c r="I44" s="6" t="n">
        <s:v>4967</s:v>
      </s:c>
      <s:c r="J44" s="6" t="n">
        <s:f>IF(COUNT(C44:I44)=7,SUM(C44:I44),"")</s:f>
        <s:v>123622</s:v>
      </s:c>
    </s:row>
    <s:row r="45">
      <s:c r="A45" s="5" t="n">
        <s:v>46267</s:v>
      </s:c>
      <s:c r="B45" s="2" t="n">
        <s:v>16</s:v>
      </s:c>
      <s:c r="C45" s="6" t="n">
        <s:v>10624</s:v>
      </s:c>
      <s:c r="D45" s="6" t="n">
        <s:v>29206</s:v>
      </s:c>
      <s:c r="E45" s="6" t="n">
        <s:v>13669</s:v>
      </s:c>
      <s:c r="F45" s="6" t="n">
        <s:v>12902</s:v>
      </s:c>
      <s:c r="G45" s="6" t="n">
        <s:v>26594</s:v>
      </s:c>
      <s:c r="H45" s="6" t="n">
        <s:v>24432</s:v>
      </s:c>
      <s:c r="I45" s="6" t="n">
        <s:v>4711</s:v>
      </s:c>
      <s:c r="J45" s="6" t="n">
        <s:f>IF(COUNT(C45:I45)=7,SUM(C45:I45),"")</s:f>
        <s:v>122138</s:v>
      </s:c>
    </s:row>
    <s:row r="46">
      <s:c r="A46" s="5" t="n">
        <s:v>46267</s:v>
      </s:c>
      <s:c r="B46" s="2" t="n">
        <s:v>17</s:v>
      </s:c>
      <s:c r="C46" s="6" t="n">
        <s:v>10573</s:v>
      </s:c>
      <s:c r="D46" s="6" t="n">
        <s:v>29110</s:v>
      </s:c>
      <s:c r="E46" s="6" t="n">
        <s:v>13190</s:v>
      </s:c>
      <s:c r="F46" s="6" t="n">
        <s:v>12744</s:v>
      </s:c>
      <s:c r="G46" s="6" t="n">
        <s:v>26846</s:v>
      </s:c>
      <s:c r="H46" s="6" t="n">
        <s:v>24361</s:v>
      </s:c>
      <s:c r="I46" s="6" t="n">
        <s:v>4325</s:v>
      </s:c>
      <s:c r="J46" s="6" t="n">
        <s:f>IF(COUNT(C46:I46)=7,SUM(C46:I46),"")</s:f>
        <s:v>121149</s:v>
      </s:c>
    </s:row>
    <s:row r="47">
      <s:c r="A47" s="5" t="n">
        <s:v>46267</s:v>
      </s:c>
      <s:c r="B47" s="2" t="n">
        <s:v>18</s:v>
      </s:c>
      <s:c r="C47" s="6" t="n">
        <s:v>10555</s:v>
      </s:c>
      <s:c r="D47" s="6" t="n">
        <s:v>29103</s:v>
      </s:c>
      <s:c r="E47" s="6" t="n">
        <s:v>13649</s:v>
      </s:c>
      <s:c r="F47" s="6" t="n">
        <s:v>12937</s:v>
      </s:c>
      <s:c r="G47" s="6" t="n">
        <s:v>27371</s:v>
      </s:c>
      <s:c r="H47" s="6" t="n">
        <s:v>23364</s:v>
      </s:c>
      <s:c r="I47" s="6" t="n">
        <s:v>4309</s:v>
      </s:c>
      <s:c r="J47" s="6" t="n">
        <s:f>IF(COUNT(C47:I47)=7,SUM(C47:I47),"")</s:f>
        <s:v>121288</s:v>
      </s:c>
    </s:row>
    <s:row r="48">
      <s:c r="A48" s="5" t="n">
        <s:v>46267</s:v>
      </s:c>
      <s:c r="B48" s="2" t="n">
        <s:v>19</s:v>
      </s:c>
      <s:c r="C48" s="6" t="n">
        <s:v>10501</s:v>
      </s:c>
      <s:c r="D48" s="6" t="n">
        <s:v>29680</s:v>
      </s:c>
      <s:c r="E48" s="6" t="n">
        <s:v>13828</s:v>
      </s:c>
      <s:c r="F48" s="6" t="n">
        <s:v>12964</s:v>
      </s:c>
      <s:c r="G48" s="6" t="n">
        <s:v>26746</s:v>
      </s:c>
      <s:c r="H48" s="6" t="n">
        <s:v>22471</s:v>
      </s:c>
      <s:c r="I48" s="6" t="n">
        <s:v>4330</s:v>
      </s:c>
      <s:c r="J48" s="6" t="n">
        <s:f>IF(COUNT(C48:I48)=7,SUM(C48:I48),"")</s:f>
        <s:v>120520</s:v>
      </s:c>
    </s:row>
    <s:row r="49">
      <s:c r="A49" s="5" t="n">
        <s:v>46267</s:v>
      </s:c>
      <s:c r="B49" s="2" t="n">
        <s:v>20</s:v>
      </s:c>
      <s:c r="C49" s="6" t="n">
        <s:v>10751</s:v>
      </s:c>
      <s:c r="D49" s="6" t="n">
        <s:v>29290</s:v>
      </s:c>
      <s:c r="E49" s="6" t="n">
        <s:v>13386</s:v>
      </s:c>
      <s:c r="F49" s="6" t="n">
        <s:v>12566</s:v>
      </s:c>
      <s:c r="G49" s="6" t="n">
        <s:v>25886</s:v>
      </s:c>
      <s:c r="H49" s="6" t="n">
        <s:v>22119</s:v>
      </s:c>
      <s:c r="I49" s="6" t="n">
        <s:v>4291</s:v>
      </s:c>
      <s:c r="J49" s="6" t="n">
        <s:f>IF(COUNT(C49:I49)=7,SUM(C49:I49),"")</s:f>
        <s:v>118289</s:v>
      </s:c>
    </s:row>
    <s:row r="50">
      <s:c r="A50" s="5" t="n">
        <s:v>46267</s:v>
      </s:c>
      <s:c r="B50" s="2" t="n">
        <s:v>21</s:v>
      </s:c>
      <s:c r="C50" s="6" t="n">
        <s:v>10497</s:v>
      </s:c>
      <s:c r="D50" s="6" t="n">
        <s:v>28108</s:v>
      </s:c>
      <s:c r="E50" s="6" t="n">
        <s:v>12418</s:v>
      </s:c>
      <s:c r="F50" s="6" t="n">
        <s:v>11810</s:v>
      </s:c>
      <s:c r="G50" s="6" t="n">
        <s:v>25106</s:v>
      </s:c>
      <s:c r="H50" s="6" t="n">
        <s:v>21732</s:v>
      </s:c>
      <s:c r="I50" s="6" t="n">
        <s:v>4317</s:v>
      </s:c>
      <s:c r="J50" s="6" t="n">
        <s:f>IF(COUNT(C50:I50)=7,SUM(C50:I50),"")</s:f>
        <s:v>113988</s:v>
      </s:c>
    </s:row>
    <s:row r="51">
      <s:c r="A51" s="5" t="n">
        <s:v>46267</s:v>
      </s:c>
      <s:c r="B51" s="2" t="n">
        <s:v>22</s:v>
      </s:c>
      <s:c r="C51" s="6" t="n">
        <s:v>9927</s:v>
      </s:c>
      <s:c r="D51" s="6" t="n">
        <s:v>26160</s:v>
      </s:c>
      <s:c r="E51" s="6" t="n">
        <s:v>11558</s:v>
      </s:c>
      <s:c r="F51" s="6" t="n">
        <s:v>11118</s:v>
      </s:c>
      <s:c r="G51" s="6" t="n">
        <s:v>24239</s:v>
      </s:c>
      <s:c r="H51" s="6" t="n">
        <s:v>21493</s:v>
      </s:c>
      <s:c r="I51" s="6" t="n">
        <s:v>4329</s:v>
      </s:c>
      <s:c r="J51" s="6" t="n">
        <s:f>IF(COUNT(C51:I51)=7,SUM(C51:I51),"")</s:f>
        <s:v>108824</s:v>
      </s:c>
    </s:row>
    <s:row r="52">
      <s:c r="A52" s="5" t="n">
        <s:v>46267</s:v>
      </s:c>
      <s:c r="B52" s="2" t="n">
        <s:v>23</s:v>
      </s:c>
      <s:c r="C52" s="6" t="n">
        <s:v>9473</s:v>
      </s:c>
      <s:c r="D52" s="6" t="n">
        <s:v>24641</s:v>
      </s:c>
      <s:c r="E52" s="6" t="n">
        <s:v>10538</s:v>
      </s:c>
      <s:c r="F52" s="6" t="n">
        <s:v>10705</s:v>
      </s:c>
      <s:c r="G52" s="6" t="n">
        <s:v>23834</s:v>
      </s:c>
      <s:c r="H52" s="6" t="n">
        <s:v>21530</s:v>
      </s:c>
      <s:c r="I52" s="6" t="n">
        <s:v>4665</s:v>
      </s:c>
      <s:c r="J52" s="6" t="n">
        <s:f>IF(COUNT(C52:I52)=7,SUM(C52:I52),"")</s:f>
        <s:v>105386</s:v>
      </s:c>
    </s:row>
    <s:row r="53">
      <s:c r="A53" s="5" t="n">
        <s:v>46268</s:v>
      </s:c>
      <s:c r="B53" s="2" t="n">
        <s:v>0</s:v>
      </s:c>
      <s:c r="C53" s="6" t="n">
        <s:v>9058</s:v>
      </s:c>
      <s:c r="D53" s="6" t="n">
        <s:v>23494</s:v>
      </s:c>
      <s:c r="E53" s="6" t="n">
        <s:v>10039</s:v>
      </s:c>
      <s:c r="F53" s="6" t="n">
        <s:v>10463</s:v>
      </s:c>
      <s:c r="G53" s="6" t="n">
        <s:v>23597</s:v>
      </s:c>
      <s:c r="H53" s="6" t="n">
        <s:v>21714</s:v>
      </s:c>
      <s:c r="I53" s="6" t="n">
        <s:v>4856</s:v>
      </s:c>
      <s:c r="J53" s="6" t="n">
        <s:f>IF(COUNT(C53:I53)=7,SUM(C53:I53),"")</s:f>
        <s:v>103221</s:v>
      </s:c>
    </s:row>
    <s:row r="54">
      <s:c r="A54" s="5" t="n">
        <s:v>46268</s:v>
      </s:c>
      <s:c r="B54" s="2" t="n">
        <s:v>1</s:v>
      </s:c>
      <s:c r="C54" s="6" t="n">
        <s:v>8786</s:v>
      </s:c>
      <s:c r="D54" s="6" t="n">
        <s:v>22990</s:v>
      </s:c>
      <s:c r="E54" s="6" t="n">
        <s:v>9562</s:v>
      </s:c>
      <s:c r="F54" s="6" t="n">
        <s:v>10444</s:v>
      </s:c>
      <s:c r="G54" s="6" t="n">
        <s:v>23664</s:v>
      </s:c>
      <s:c r="H54" s="6" t="n">
        <s:v>22381</s:v>
      </s:c>
      <s:c r="I54" s="6" t="n">
        <s:v>5046</s:v>
      </s:c>
      <s:c r="J54" s="6" t="n">
        <s:f>IF(COUNT(C54:I54)=7,SUM(C54:I54),"")</s:f>
        <s:v>102873</s:v>
      </s:c>
    </s:row>
    <s:row r="55">
      <s:c r="A55" s="5" t="n">
        <s:v>46268</s:v>
      </s:c>
      <s:c r="B55" s="2" t="n">
        <s:v>2</s:v>
      </s:c>
      <s:c r="C55" s="6" t="n">
        <s:v>8603</s:v>
      </s:c>
      <s:c r="D55" s="6" t="n">
        <s:v>22508</s:v>
      </s:c>
      <s:c r="E55" s="6" t="n">
        <s:v>9347</s:v>
      </s:c>
      <s:c r="F55" s="6" t="n">
        <s:v>10323</s:v>
      </s:c>
      <s:c r="G55" s="6" t="n">
        <s:v>23747</s:v>
      </s:c>
      <s:c r="H55" s="6" t="n">
        <s:v>23143</s:v>
      </s:c>
      <s:c r="I55" s="6" t="n">
        <s:v>5169</s:v>
      </s:c>
      <s:c r="J55" s="6" t="n">
        <s:f>IF(COUNT(C55:I55)=7,SUM(C55:I55),"")</s:f>
        <s:v>102840</s:v>
      </s:c>
    </s:row>
    <s:row r="56">
      <s:c r="A56" s="5" t="n">
        <s:v>46268</s:v>
      </s:c>
      <s:c r="B56" s="2" t="n">
        <s:v>3</s:v>
      </s:c>
      <s:c r="C56" s="6" t="n">
        <s:v>8609</s:v>
      </s:c>
      <s:c r="D56" s="6" t="n">
        <s:v>22310</s:v>
      </s:c>
      <s:c r="E56" s="6" t="n">
        <s:v>9259</s:v>
      </s:c>
      <s:c r="F56" s="6" t="n">
        <s:v>10567</s:v>
      </s:c>
      <s:c r="G56" s="6" t="n">
        <s:v>24211</s:v>
      </s:c>
      <s:c r="H56" s="6" t="n">
        <s:v>23431</s:v>
      </s:c>
      <s:c r="I56" s="6" t="n">
        <s:v>5198</s:v>
      </s:c>
      <s:c r="J56" s="6" t="n">
        <s:f>IF(COUNT(C56:I56)=7,SUM(C56:I56),"")</s:f>
        <s:v>103585</s:v>
      </s:c>
    </s:row>
    <s:row r="57">
      <s:c r="A57" s="5" t="n">
        <s:v>46268</s:v>
      </s:c>
      <s:c r="B57" s="2" t="n">
        <s:v>4</s:v>
      </s:c>
      <s:c r="C57" s="6" t="n">
        <s:v>8650</s:v>
      </s:c>
      <s:c r="D57" s="6" t="n">
        <s:v>22763</s:v>
      </s:c>
      <s:c r="E57" s="6" t="n">
        <s:v>9380</s:v>
      </s:c>
      <s:c r="F57" s="6" t="n">
        <s:v>10552</s:v>
      </s:c>
      <s:c r="G57" s="6" t="n">
        <s:v>25171</s:v>
      </s:c>
      <s:c r="H57" s="6" t="n">
        <s:v>24032</s:v>
      </s:c>
      <s:c r="I57" s="6" t="n">
        <s:v>5093</s:v>
      </s:c>
      <s:c r="J57" s="6" t="n">
        <s:f>IF(COUNT(C57:I57)=7,SUM(C57:I57),"")</s:f>
        <s:v>105641</s:v>
      </s:c>
    </s:row>
    <s:row r="58">
      <s:c r="A58" s="5" t="n">
        <s:v>46268</s:v>
      </s:c>
      <s:c r="B58" s="2" t="n">
        <s:v>5</s:v>
      </s:c>
      <s:c r="C58" s="6" t="n">
        <s:v>8821</s:v>
      </s:c>
      <s:c r="D58" s="6" t="n">
        <s:v>23582</s:v>
      </s:c>
      <s:c r="E58" s="6" t="n">
        <s:v>9576</s:v>
      </s:c>
      <s:c r="F58" s="6" t="n">
        <s:v>11326</s:v>
      </s:c>
      <s:c r="G58" s="6" t="n">
        <s:v>25971</s:v>
      </s:c>
      <s:c r="H58" s="6" t="n">
        <s:v>24439</s:v>
      </s:c>
      <s:c r="I58" s="6" t="n">
        <s:v>5137</s:v>
      </s:c>
      <s:c r="J58" s="6" t="n">
        <s:f>IF(COUNT(C58:I58)=7,SUM(C58:I58),"")</s:f>
        <s:v>108852</s:v>
      </s:c>
    </s:row>
    <s:row r="59">
      <s:c r="A59" s="5" t="n">
        <s:v>46268</s:v>
      </s:c>
      <s:c r="B59" s="2" t="n">
        <s:v>6</s:v>
      </s:c>
      <s:c r="C59" s="6" t="n">
        <s:v>9322</s:v>
      </s:c>
      <s:c r="D59" s="6" t="n">
        <s:v>25592</s:v>
      </s:c>
      <s:c r="E59" s="6" t="n">
        <s:v>10555</s:v>
      </s:c>
      <s:c r="F59" s="6" t="n">
        <s:v>12237</s:v>
      </s:c>
      <s:c r="G59" s="6" t="n">
        <s:v>26896</s:v>
      </s:c>
      <s:c r="H59" s="6" t="n">
        <s:v>24276</s:v>
      </s:c>
      <s:c r="I59" s="6" t="n">
        <s:v>5130</s:v>
      </s:c>
      <s:c r="J59" s="6" t="n">
        <s:f>IF(COUNT(C59:I59)=7,SUM(C59:I59),"")</s:f>
        <s:v>114008</s:v>
      </s:c>
    </s:row>
    <s:row r="60">
      <s:c r="A60" s="5" t="n">
        <s:v>46268</s:v>
      </s:c>
      <s:c r="B60" s="2" t="n">
        <s:v>7</s:v>
      </s:c>
      <s:c r="C60" s="6" t="n">
        <s:v>9831</s:v>
      </s:c>
      <s:c r="D60" s="6" t="n">
        <s:v>27204</s:v>
      </s:c>
      <s:c r="E60" s="6" t="n">
        <s:v>11553</s:v>
      </s:c>
      <s:c r="F60" s="6" t="n">
        <s:v>12987</s:v>
      </s:c>
      <s:c r="G60" s="6" t="n">
        <s:v>26894</s:v>
      </s:c>
      <s:c r="H60" s="6" t="n">
        <s:v>24161</s:v>
      </s:c>
      <s:c r="I60" s="6" t="n">
        <s:v>5035</s:v>
      </s:c>
      <s:c r="J60" s="6" t="n">
        <s:f>IF(COUNT(C60:I60)=7,SUM(C60:I60),"")</s:f>
        <s:v>117665</s:v>
      </s:c>
    </s:row>
    <s:row r="61">
      <s:c r="A61" s="5" t="n">
        <s:v>46268</s:v>
      </s:c>
      <s:c r="B61" s="2" t="n">
        <s:v>8</s:v>
      </s:c>
      <s:c r="C61" s="6" t="n">
        <s:v>10534</s:v>
      </s:c>
      <s:c r="D61" s="6" t="n">
        <s:v>29022</s:v>
      </s:c>
      <s:c r="E61" s="6" t="n">
        <s:v>12684</s:v>
      </s:c>
      <s:c r="F61" s="6" t="n">
        <s:v>13189</s:v>
      </s:c>
      <s:c r="G61" s="6" t="n">
        <s:v>26937</s:v>
      </s:c>
      <s:c r="H61" s="6" t="n">
        <s:v>24581</s:v>
      </s:c>
      <s:c r="I61" s="6" t="n">
        <s:v>5098</s:v>
      </s:c>
      <s:c r="J61" s="6" t="n">
        <s:f>IF(COUNT(C61:I61)=7,SUM(C61:I61),"")</s:f>
        <s:v>122045</s:v>
      </s:c>
    </s:row>
    <s:row r="62">
      <s:c r="A62" s="5" t="n">
        <s:v>46268</s:v>
      </s:c>
      <s:c r="B62" s="2" t="n">
        <s:v>9</s:v>
      </s:c>
      <s:c r="C62" s="6" t="n">
        <s:v>10747</s:v>
      </s:c>
      <s:c r="D62" s="6" t="n">
        <s:v>29608</s:v>
      </s:c>
      <s:c r="E62" s="6" t="n">
        <s:v>13006</s:v>
      </s:c>
      <s:c r="F62" s="6" t="n">
        <s:v>13474</s:v>
      </s:c>
      <s:c r="G62" s="6" t="n">
        <s:v>27005</s:v>
      </s:c>
      <s:c r="H62" s="6" t="n">
        <s:v>24759</s:v>
      </s:c>
      <s:c r="I62" s="6" t="n">
        <s:v>4918</s:v>
      </s:c>
      <s:c r="J62" s="6" t="n">
        <s:f>IF(COUNT(C62:I62)=7,SUM(C62:I62),"")</s:f>
        <s:v>123517</s:v>
      </s:c>
    </s:row>
    <s:row r="63">
      <s:c r="A63" s="5" t="n">
        <s:v>46268</s:v>
      </s:c>
      <s:c r="B63" s="2" t="n">
        <s:v>10</s:v>
      </s:c>
      <s:c r="C63" s="6" t="n">
        <s:v>10834</s:v>
      </s:c>
      <s:c r="D63" s="6" t="n">
        <s:v>29497</s:v>
      </s:c>
      <s:c r="E63" s="6" t="n">
        <s:v>13515</s:v>
      </s:c>
      <s:c r="F63" s="6" t="n">
        <s:v>13271</s:v>
      </s:c>
      <s:c r="G63" s="6" t="n">
        <s:v>27042</s:v>
      </s:c>
      <s:c r="H63" s="6" t="n">
        <s:v>24525</s:v>
      </s:c>
      <s:c r="I63" s="6" t="n">
        <s:v>5002</s:v>
      </s:c>
      <s:c r="J63" s="6" t="n">
        <s:f>IF(COUNT(C63:I63)=7,SUM(C63:I63),"")</s:f>
        <s:v>123686</s:v>
      </s:c>
    </s:row>
    <s:row r="64">
      <s:c r="A64" s="5" t="n">
        <s:v>46268</s:v>
      </s:c>
      <s:c r="B64" s="2" t="n">
        <s:v>11</s:v>
      </s:c>
      <s:c r="C64" s="6" t="n">
        <s:v>10778</s:v>
      </s:c>
      <s:c r="D64" s="6" t="n">
        <s:v>29521</s:v>
      </s:c>
      <s:c r="E64" s="6" t="n">
        <s:v>13665</s:v>
      </s:c>
      <s:c r="F64" s="6" t="n">
        <s:v>13354</s:v>
      </s:c>
      <s:c r="G64" s="6" t="n">
        <s:v>26725</s:v>
      </s:c>
      <s:c r="H64" s="6" t="n">
        <s:v>24223</s:v>
      </s:c>
      <s:c r="I64" s="6" t="n">
        <s:v>5016</s:v>
      </s:c>
      <s:c r="J64" s="6" t="n">
        <s:f>IF(COUNT(C64:I64)=7,SUM(C64:I64),"")</s:f>
        <s:v>123282</s:v>
      </s:c>
    </s:row>
    <s:row r="65">
      <s:c r="A65" s="5" t="n">
        <s:v>46268</s:v>
      </s:c>
      <s:c r="B65" s="2" t="n">
        <s:v>12</s:v>
      </s:c>
      <s:c r="C65" s="6" t="n">
        <s:v>10733</s:v>
      </s:c>
      <s:c r="D65" s="6" t="n">
        <s:v>29271</s:v>
      </s:c>
      <s:c r="E65" s="6" t="n">
        <s:v>13681</s:v>
      </s:c>
      <s:c r="F65" s="6" t="n">
        <s:v>13419</s:v>
      </s:c>
      <s:c r="G65" s="6" t="n">
        <s:v>26828</s:v>
      </s:c>
      <s:c r="H65" s="6" t="n">
        <s:v>24356</s:v>
      </s:c>
      <s:c r="I65" s="6" t="n">
        <s:v>5131</s:v>
      </s:c>
      <s:c r="J65" s="6" t="n">
        <s:f>IF(COUNT(C65:I65)=7,SUM(C65:I65),"")</s:f>
        <s:v>123419</s:v>
      </s:c>
    </s:row>
    <s:row r="66">
      <s:c r="A66" s="5" t="n">
        <s:v>46268</s:v>
      </s:c>
      <s:c r="B66" s="2" t="n">
        <s:v>13</s:v>
      </s:c>
      <s:c r="C66" s="6" t="n">
        <s:v>10755</s:v>
      </s:c>
      <s:c r="D66" s="6" t="n">
        <s:v>29565</s:v>
      </s:c>
      <s:c r="E66" s="6" t="n">
        <s:v>14048</s:v>
      </s:c>
      <s:c r="F66" s="6" t="n">
        <s:v>13398</s:v>
      </s:c>
      <s:c r="G66" s="6" t="n">
        <s:v>26658</s:v>
      </s:c>
      <s:c r="H66" s="6" t="n">
        <s:v>24234</s:v>
      </s:c>
      <s:c r="I66" s="6" t="n">
        <s:v>5122</s:v>
      </s:c>
      <s:c r="J66" s="6" t="n">
        <s:f>IF(COUNT(C66:I66)=7,SUM(C66:I66),"")</s:f>
        <s:v>123780</s:v>
      </s:c>
    </s:row>
    <s:row r="67">
      <s:c r="A67" s="5" t="n">
        <s:v>46268</s:v>
      </s:c>
      <s:c r="B67" s="2" t="n">
        <s:v>14</s:v>
      </s:c>
      <s:c r="C67" s="6" t="n">
        <s:v>10714</s:v>
      </s:c>
      <s:c r="D67" s="6" t="n">
        <s:v>29560</s:v>
      </s:c>
      <s:c r="E67" s="6" t="n">
        <s:v>14082</s:v>
      </s:c>
      <s:c r="F67" s="6" t="n">
        <s:v>13196</s:v>
      </s:c>
      <s:c r="G67" s="6" t="n">
        <s:v>26678</s:v>
      </s:c>
      <s:c r="H67" s="6" t="n">
        <s:v>24581</s:v>
      </s:c>
      <s:c r="I67" s="6" t="n">
        <s:v>4927</s:v>
      </s:c>
      <s:c r="J67" s="6" t="n">
        <s:f>IF(COUNT(C67:I67)=7,SUM(C67:I67),"")</s:f>
        <s:v>123738</s:v>
      </s:c>
    </s:row>
    <s:row r="68">
      <s:c r="A68" s="5" t="n">
        <s:v>46268</s:v>
      </s:c>
      <s:c r="B68" s="2" t="n">
        <s:v>15</s:v>
      </s:c>
      <s:c r="C68" s="6" t="n">
        <s:v>10789</s:v>
      </s:c>
      <s:c r="D68" s="6" t="n">
        <s:v>29501</s:v>
      </s:c>
      <s:c r="E68" s="6" t="n">
        <s:v>14272</s:v>
      </s:c>
      <s:c r="F68" s="6" t="n">
        <s:v>13072</s:v>
      </s:c>
      <s:c r="G68" s="6" t="n">
        <s:v>26505</s:v>
      </s:c>
      <s:c r="H68" s="6" t="n">
        <s:v>24700</s:v>
      </s:c>
      <s:c r="I68" s="6" t="n">
        <s:v>4758</s:v>
      </s:c>
      <s:c r="J68" s="6" t="n">
        <s:f>IF(COUNT(C68:I68)=7,SUM(C68:I68),"")</s:f>
        <s:v>123597</s:v>
      </s:c>
    </s:row>
    <s:row r="69">
      <s:c r="A69" s="5" t="n">
        <s:v>46268</s:v>
      </s:c>
      <s:c r="B69" s="2" t="n">
        <s:v>16</s:v>
      </s:c>
      <s:c r="C69" s="6" t="n">
        <s:v>10646</s:v>
      </s:c>
      <s:c r="D69" s="6" t="n">
        <s:v>28871</s:v>
      </s:c>
      <s:c r="E69" s="6" t="n">
        <s:v>13945</s:v>
      </s:c>
      <s:c r="F69" s="6" t="n">
        <s:v>12881</s:v>
      </s:c>
      <s:c r="G69" s="6" t="n">
        <s:v>26436</s:v>
      </s:c>
      <s:c r="H69" s="6" t="n">
        <s:v>24778</s:v>
      </s:c>
      <s:c r="I69" s="6" t="n">
        <s:v>4643</s:v>
      </s:c>
      <s:c r="J69" s="6" t="n">
        <s:f>IF(COUNT(C69:I69)=7,SUM(C69:I69),"")</s:f>
        <s:v>122200</s:v>
      </s:c>
    </s:row>
    <s:row r="70">
      <s:c r="A70" s="5" t="n">
        <s:v>46268</s:v>
      </s:c>
      <s:c r="B70" s="2" t="n">
        <s:v>17</s:v>
      </s:c>
      <s:c r="C70" s="6" t="n">
        <s:v>10622</s:v>
      </s:c>
      <s:c r="D70" s="6" t="n">
        <s:v>28845</s:v>
      </s:c>
      <s:c r="E70" s="6" t="n">
        <s:v>13553</s:v>
      </s:c>
      <s:c r="F70" s="6" t="n">
        <s:v>12922</s:v>
      </s:c>
      <s:c r="G70" s="6" t="n">
        <s:v>26478</s:v>
      </s:c>
      <s:c r="H70" s="6" t="n">
        <s:v>24715</s:v>
      </s:c>
      <s:c r="I70" s="6" t="n">
        <s:v>4424</s:v>
      </s:c>
      <s:c r="J70" s="6" t="n">
        <s:f>IF(COUNT(C70:I70)=7,SUM(C70:I70),"")</s:f>
        <s:v>121559</s:v>
      </s:c>
    </s:row>
    <s:row r="71">
      <s:c r="A71" s="5" t="n">
        <s:v>46268</s:v>
      </s:c>
      <s:c r="B71" s="2" t="n">
        <s:v>18</s:v>
      </s:c>
      <s:c r="C71" s="6" t="n">
        <s:v>10562</s:v>
      </s:c>
      <s:c r="D71" s="6" t="n">
        <s:v>29010</s:v>
      </s:c>
      <s:c r="E71" s="6" t="n">
        <s:v>13657</s:v>
      </s:c>
      <s:c r="F71" s="6" t="n">
        <s:v>12949</s:v>
      </s:c>
      <s:c r="G71" s="6" t="n">
        <s:v>26989</s:v>
      </s:c>
      <s:c r="H71" s="6" t="n">
        <s:v>23688</s:v>
      </s:c>
      <s:c r="I71" s="6" t="n">
        <s:v>4254</s:v>
      </s:c>
      <s:c r="J71" s="6" t="n">
        <s:f>IF(COUNT(C71:I71)=7,SUM(C71:I71),"")</s:f>
        <s:v>121109</s:v>
      </s:c>
    </s:row>
    <s:row r="72">
      <s:c r="A72" s="5" t="n">
        <s:v>46268</s:v>
      </s:c>
      <s:c r="B72" s="2" t="n">
        <s:v>19</s:v>
      </s:c>
      <s:c r="C72" s="6" t="n">
        <s:v>10545</s:v>
      </s:c>
      <s:c r="D72" s="6" t="n">
        <s:v>29623</s:v>
      </s:c>
      <s:c r="E72" s="6" t="n">
        <s:v>13731</s:v>
      </s:c>
      <s:c r="F72" s="6" t="n">
        <s:v>12954</s:v>
      </s:c>
      <s:c r="G72" s="6" t="n">
        <s:v>26645</s:v>
      </s:c>
      <s:c r="H72" s="6" t="n">
        <s:v>22701</s:v>
      </s:c>
      <s:c r="I72" s="6" t="n">
        <s:v>4253</s:v>
      </s:c>
      <s:c r="J72" s="6" t="n">
        <s:f>IF(COUNT(C72:I72)=7,SUM(C72:I72),"")</s:f>
        <s:v>120452</s:v>
      </s:c>
    </s:row>
    <s:row r="73">
      <s:c r="A73" s="5" t="n">
        <s:v>46268</s:v>
      </s:c>
      <s:c r="B73" s="2" t="n">
        <s:v>20</s:v>
      </s:c>
      <s:c r="C73" s="6" t="n">
        <s:v>10731</s:v>
      </s:c>
      <s:c r="D73" s="6" t="n">
        <s:v>29074</s:v>
      </s:c>
      <s:c r="E73" s="6" t="n">
        <s:v>13289</s:v>
      </s:c>
      <s:c r="F73" s="6" t="n">
        <s:v>12577</s:v>
      </s:c>
      <s:c r="G73" s="6" t="n">
        <s:v>25661</s:v>
      </s:c>
      <s:c r="H73" s="6" t="n">
        <s:v>22454</s:v>
      </s:c>
      <s:c r="I73" s="6" t="n">
        <s:v>4250</s:v>
      </s:c>
      <s:c r="J73" s="6" t="n">
        <s:f>IF(COUNT(C73:I73)=7,SUM(C73:I73),"")</s:f>
        <s:v>118036</s:v>
      </s:c>
    </s:row>
    <s:row r="74">
      <s:c r="A74" s="5" t="n">
        <s:v>46268</s:v>
      </s:c>
      <s:c r="B74" s="2" t="n">
        <s:v>21</s:v>
      </s:c>
      <s:c r="C74" s="6" t="n">
        <s:v>10581</s:v>
      </s:c>
      <s:c r="D74" s="6" t="n">
        <s:v>28060</s:v>
      </s:c>
      <s:c r="E74" s="6" t="n">
        <s:v>12506</s:v>
      </s:c>
      <s:c r="F74" s="6" t="n">
        <s:v>12020</s:v>
      </s:c>
      <s:c r="G74" s="6" t="n">
        <s:v>24806</s:v>
      </s:c>
      <s:c r="H74" s="6" t="n">
        <s:v>22143</s:v>
      </s:c>
      <s:c r="I74" s="6" t="n">
        <s:v>4240</s:v>
      </s:c>
      <s:c r="J74" s="6" t="n">
        <s:f>IF(COUNT(C74:I74)=7,SUM(C74:I74),"")</s:f>
        <s:v>114356</s:v>
      </s:c>
    </s:row>
    <s:row r="75">
      <s:c r="A75" s="5" t="n">
        <s:v>46268</s:v>
      </s:c>
      <s:c r="B75" s="2" t="n">
        <s:v>22</s:v>
      </s:c>
      <s:c r="C75" s="6" t="n">
        <s:v>9973</s:v>
      </s:c>
      <s:c r="D75" s="6" t="n">
        <s:v>26267</s:v>
      </s:c>
      <s:c r="E75" s="6" t="n">
        <s:v>11457</s:v>
      </s:c>
      <s:c r="F75" s="6" t="n">
        <s:v>11124</s:v>
      </s:c>
      <s:c r="G75" s="6" t="n">
        <s:v>23861</s:v>
      </s:c>
      <s:c r="H75" s="6" t="n">
        <s:v>22094</s:v>
      </s:c>
      <s:c r="I75" s="6" t="n">
        <s:v>4357</s:v>
      </s:c>
      <s:c r="J75" s="6" t="n">
        <s:f>IF(COUNT(C75:I75)=7,SUM(C75:I75),"")</s:f>
        <s:v>109133</s:v>
      </s:c>
    </s:row>
    <s:row r="76">
      <s:c r="A76" s="5" t="n">
        <s:v>46268</s:v>
      </s:c>
      <s:c r="B76" s="2" t="n">
        <s:v>23</s:v>
      </s:c>
      <s:c r="C76" s="6" t="n">
        <s:v>9513</s:v>
      </s:c>
      <s:c r="D76" s="6" t="n">
        <s:v>24798</s:v>
      </s:c>
      <s:c r="E76" s="6" t="n">
        <s:v>10636</s:v>
      </s:c>
      <s:c r="F76" s="6" t="n">
        <s:v>10817</s:v>
      </s:c>
      <s:c r="G76" s="6" t="n">
        <s:v>23541</s:v>
      </s:c>
      <s:c r="H76" s="6" t="n">
        <s:v>22019</s:v>
      </s:c>
      <s:c r="I76" s="6" t="n">
        <s:v>4651</s:v>
      </s:c>
      <s:c r="J76" s="6" t="n">
        <s:f>IF(COUNT(C76:I76)=7,SUM(C76:I76),"")</s:f>
        <s:v>105975</s:v>
      </s:c>
    </s:row>
    <s:row r="77">
      <s:c r="A77" s="5" t="n">
        <s:v>46269</s:v>
      </s:c>
      <s:c r="B77" s="2" t="n">
        <s:v>0</s:v>
      </s:c>
      <s:c r="C77" s="6" t="n">
        <s:v>9059</s:v>
      </s:c>
      <s:c r="D77" s="6" t="n">
        <s:v>23405</s:v>
      </s:c>
      <s:c r="E77" s="6" t="n">
        <s:v>9995</s:v>
      </s:c>
      <s:c r="F77" s="6" t="n">
        <s:v>10403</s:v>
      </s:c>
      <s:c r="G77" s="6" t="n">
        <s:v>23300</s:v>
      </s:c>
      <s:c r="H77" s="6" t="n">
        <s:v>22243</s:v>
      </s:c>
      <s:c r="I77" s="6" t="n">
        <s:v>4710</s:v>
      </s:c>
      <s:c r="J77" s="6" t="n">
        <s:f>IF(COUNT(C77:I77)=7,SUM(C77:I77),"")</s:f>
        <s:v>103115</s:v>
      </s:c>
    </s:row>
    <s:row r="78">
      <s:c r="A78" s="5" t="n">
        <s:v>46269</s:v>
      </s:c>
      <s:c r="B78" s="2" t="n">
        <s:v>1</s:v>
      </s:c>
      <s:c r="C78" s="6" t="n">
        <s:v>8781</s:v>
      </s:c>
      <s:c r="D78" s="6" t="n">
        <s:v>23167</s:v>
      </s:c>
      <s:c r="E78" s="6" t="n">
        <s:v>9663</s:v>
      </s:c>
      <s:c r="F78" s="6" t="n">
        <s:v>10297</s:v>
      </s:c>
      <s:c r="G78" s="6" t="n">
        <s:v>23367</s:v>
      </s:c>
      <s:c r="H78" s="6" t="n">
        <s:v>22828</s:v>
      </s:c>
      <s:c r="I78" s="6" t="n">
        <s:v>4880</s:v>
      </s:c>
      <s:c r="J78" s="6" t="n">
        <s:f>IF(COUNT(C78:I78)=7,SUM(C78:I78),"")</s:f>
        <s:v>102983</s:v>
      </s:c>
    </s:row>
    <s:row r="79">
      <s:c r="A79" s="5" t="n">
        <s:v>46269</s:v>
      </s:c>
      <s:c r="B79" s="2" t="n">
        <s:v>2</s:v>
      </s:c>
      <s:c r="C79" s="6" t="n">
        <s:v>8665</s:v>
      </s:c>
      <s:c r="D79" s="6" t="n">
        <s:v>22647</s:v>
      </s:c>
      <s:c r="E79" s="6" t="n">
        <s:v>9482</s:v>
      </s:c>
      <s:c r="F79" s="6" t="n">
        <s:v>10309</s:v>
      </s:c>
      <s:c r="G79" s="6" t="n">
        <s:v>23494</s:v>
      </s:c>
      <s:c r="H79" s="6" t="n">
        <s:v>23458</s:v>
      </s:c>
      <s:c r="I79" s="6" t="n">
        <s:v>4904</s:v>
      </s:c>
      <s:c r="J79" s="6" t="n">
        <s:f>IF(COUNT(C79:I79)=7,SUM(C79:I79),"")</s:f>
        <s:v>102959</s:v>
      </s:c>
    </s:row>
    <s:row r="80">
      <s:c r="A80" s="5" t="n">
        <s:v>46269</s:v>
      </s:c>
      <s:c r="B80" s="2" t="n">
        <s:v>3</s:v>
      </s:c>
      <s:c r="C80" s="6" t="n">
        <s:v>8619</s:v>
      </s:c>
      <s:c r="D80" s="6" t="n">
        <s:v>22461</s:v>
      </s:c>
      <s:c r="E80" s="6" t="n">
        <s:v>9506</s:v>
      </s:c>
      <s:c r="F80" s="6" t="n">
        <s:v>10556</s:v>
      </s:c>
      <s:c r="G80" s="6" t="n">
        <s:v>23870</s:v>
      </s:c>
      <s:c r="H80" s="6" t="n">
        <s:v>23722</s:v>
      </s:c>
      <s:c r="I80" s="6" t="n">
        <s:v>4960</s:v>
      </s:c>
      <s:c r="J80" s="6" t="n">
        <s:f>IF(COUNT(C80:I80)=7,SUM(C80:I80),"")</s:f>
        <s:v>103694</s:v>
      </s:c>
    </s:row>
    <s:row r="81">
      <s:c r="A81" s="5" t="n">
        <s:v>46269</s:v>
      </s:c>
      <s:c r="B81" s="2" t="n">
        <s:v>4</s:v>
      </s:c>
      <s:c r="C81" s="6" t="n">
        <s:v>8691</s:v>
      </s:c>
      <s:c r="D81" s="6" t="n">
        <s:v>22685</s:v>
      </s:c>
      <s:c r="E81" s="6" t="n">
        <s:v>9608</s:v>
      </s:c>
      <s:c r="F81" s="6" t="n">
        <s:v>10627</s:v>
      </s:c>
      <s:c r="G81" s="6" t="n">
        <s:v>24798</s:v>
      </s:c>
      <s:c r="H81" s="6" t="n">
        <s:v>24178</s:v>
      </s:c>
      <s:c r="I81" s="6" t="n">
        <s:v>4892</s:v>
      </s:c>
      <s:c r="J81" s="6" t="n">
        <s:f>IF(COUNT(C81:I81)=7,SUM(C81:I81),"")</s:f>
        <s:v>105479</s:v>
      </s:c>
    </s:row>
    <s:row r="82">
      <s:c r="A82" s="5" t="n">
        <s:v>46269</s:v>
      </s:c>
      <s:c r="B82" s="2" t="n">
        <s:v>5</s:v>
      </s:c>
      <s:c r="C82" s="6" t="n">
        <s:v>8877</s:v>
      </s:c>
      <s:c r="D82" s="6" t="n">
        <s:v>23610</s:v>
      </s:c>
      <s:c r="E82" s="6" t="n">
        <s:v>9848</s:v>
      </s:c>
      <s:c r="F82" s="6" t="n">
        <s:v>11147</s:v>
      </s:c>
      <s:c r="G82" s="6" t="n">
        <s:v>25449</s:v>
      </s:c>
      <s:c r="H82" s="6" t="n">
        <s:v>24015</s:v>
      </s:c>
      <s:c r="I82" s="6" t="n">
        <s:v>4884</s:v>
      </s:c>
      <s:c r="J82" s="6" t="n">
        <s:f>IF(COUNT(C82:I82)=7,SUM(C82:I82),"")</s:f>
        <s:v>107830</s:v>
      </s:c>
    </s:row>
    <s:row r="83">
      <s:c r="A83" s="5" t="n">
        <s:v>46269</s:v>
      </s:c>
      <s:c r="B83" s="2" t="n">
        <s:v>6</s:v>
      </s:c>
      <s:c r="C83" s="6" t="n">
        <s:v>9389</s:v>
      </s:c>
      <s:c r="D83" s="6" t="n">
        <s:v>25580</s:v>
      </s:c>
      <s:c r="E83" s="6" t="n">
        <s:v>10749</s:v>
      </s:c>
      <s:c r="F83" s="6" t="n">
        <s:v>12255</s:v>
      </s:c>
      <s:c r="G83" s="6" t="n">
        <s:v>26648</s:v>
      </s:c>
      <s:c r="H83" s="6" t="n">
        <s:v>24306</s:v>
      </s:c>
      <s:c r="I83" s="6" t="n">
        <s:v>4856</s:v>
      </s:c>
      <s:c r="J83" s="6" t="n">
        <s:f>IF(COUNT(C83:I83)=7,SUM(C83:I83),"")</s:f>
        <s:v>113783</s:v>
      </s:c>
    </s:row>
    <s:row r="84">
      <s:c r="A84" s="5" t="n">
        <s:v>46269</s:v>
      </s:c>
      <s:c r="B84" s="2" t="n">
        <s:v>7</s:v>
      </s:c>
      <s:c r="C84" s="6" t="n">
        <s:v>9955</s:v>
      </s:c>
      <s:c r="D84" s="6" t="n">
        <s:v>27196</s:v>
      </s:c>
      <s:c r="E84" s="6" t="n">
        <s:v>11664</s:v>
      </s:c>
      <s:c r="F84" s="6" t="n">
        <s:v>12863</s:v>
      </s:c>
      <s:c r="G84" s="6" t="n">
        <s:v>27067</s:v>
      </s:c>
      <s:c r="H84" s="6" t="n">
        <s:v>23939</s:v>
      </s:c>
      <s:c r="I84" s="6" t="n">
        <s:v>4910</s:v>
      </s:c>
      <s:c r="J84" s="6" t="n">
        <s:f>IF(COUNT(C84:I84)=7,SUM(C84:I84),"")</s:f>
        <s:v>117594</s:v>
      </s:c>
    </s:row>
    <s:row r="85">
      <s:c r="A85" s="5" t="n">
        <s:v>46269</s:v>
      </s:c>
      <s:c r="B85" s="2" t="n">
        <s:v>8</s:v>
      </s:c>
      <s:c r="C85" s="6" t="n">
        <s:v>10585</s:v>
      </s:c>
      <s:c r="D85" s="6" t="n">
        <s:v>29003</s:v>
      </s:c>
      <s:c r="E85" s="6" t="n">
        <s:v>12761</s:v>
      </s:c>
      <s:c r="F85" s="6" t="n">
        <s:v>13370</s:v>
      </s:c>
      <s:c r="G85" s="6" t="n">
        <s:v>27000</s:v>
      </s:c>
      <s:c r="H85" s="6" t="n">
        <s:v>24358</s:v>
      </s:c>
      <s:c r="I85" s="6" t="n">
        <s:v>4800</s:v>
      </s:c>
      <s:c r="J85" s="6" t="n">
        <s:f>IF(COUNT(C85:I85)=7,SUM(C85:I85),"")</s:f>
        <s:v>121877</s:v>
      </s:c>
    </s:row>
    <s:row r="86">
      <s:c r="A86" s="5" t="n">
        <s:v>46269</s:v>
      </s:c>
      <s:c r="B86" s="2" t="n">
        <s:v>9</s:v>
      </s:c>
      <s:c r="C86" s="6" t="n">
        <s:v>10956</s:v>
      </s:c>
      <s:c r="D86" s="6" t="n">
        <s:v>29821</s:v>
      </s:c>
      <s:c r="E86" s="6" t="n">
        <s:v>13376</s:v>
      </s:c>
      <s:c r="F86" s="6" t="n">
        <s:v>13458</s:v>
      </s:c>
      <s:c r="G86" s="6" t="n">
        <s:v>26863</s:v>
      </s:c>
      <s:c r="H86" s="6" t="n">
        <s:v>24334</s:v>
      </s:c>
      <s:c r="I86" s="6" t="n">
        <s:v>4763</s:v>
      </s:c>
      <s:c r="J86" s="6" t="n">
        <s:f>IF(COUNT(C86:I86)=7,SUM(C86:I86),"")</s:f>
        <s:v>123571</s:v>
      </s:c>
    </s:row>
    <s:row r="87">
      <s:c r="A87" s="5" t="n">
        <s:v>46269</s:v>
      </s:c>
      <s:c r="B87" s="2" t="n">
        <s:v>10</s:v>
      </s:c>
      <s:c r="C87" s="6" t="n">
        <s:v>11070</s:v>
      </s:c>
      <s:c r="D87" s="6" t="n">
        <s:v>29789</s:v>
      </s:c>
      <s:c r="E87" s="6" t="n">
        <s:v>13558</s:v>
      </s:c>
      <s:c r="F87" s="6" t="n">
        <s:v>13211</s:v>
      </s:c>
      <s:c r="G87" s="6" t="n">
        <s:v>26835</s:v>
      </s:c>
      <s:c r="H87" s="6" t="n">
        <s:v>24504</s:v>
      </s:c>
      <s:c r="I87" s="6" t="n">
        <s:v>4852</s:v>
      </s:c>
      <s:c r="J87" s="6" t="n">
        <s:f>IF(COUNT(C87:I87)=7,SUM(C87:I87),"")</s:f>
        <s:v>123819</s:v>
      </s:c>
    </s:row>
    <s:row r="88">
      <s:c r="A88" s="5" t="n">
        <s:v>46269</s:v>
      </s:c>
      <s:c r="B88" s="2" t="n">
        <s:v>11</s:v>
      </s:c>
      <s:c r="C88" s="6" t="n">
        <s:v>11032</s:v>
      </s:c>
      <s:c r="D88" s="6" t="n">
        <s:v>29474</s:v>
      </s:c>
      <s:c r="E88" s="6" t="n">
        <s:v>13600</s:v>
      </s:c>
      <s:c r="F88" s="6" t="n">
        <s:v>13085</s:v>
      </s:c>
      <s:c r="G88" s="6" t="n">
        <s:v>27044</s:v>
      </s:c>
      <s:c r="H88" s="6" t="n">
        <s:v>23839</s:v>
      </s:c>
      <s:c r="I88" s="6" t="n">
        <s:v>4905</s:v>
      </s:c>
      <s:c r="J88" s="6" t="n">
        <s:f>IF(COUNT(C88:I88)=7,SUM(C88:I88),"")</s:f>
        <s:v>122979</s:v>
      </s:c>
    </s:row>
    <s:row r="89">
      <s:c r="A89" s="5" t="n">
        <s:v>46269</s:v>
      </s:c>
      <s:c r="B89" s="2" t="n">
        <s:v>12</s:v>
      </s:c>
      <s:c r="C89" s="6" t="n">
        <s:v>11038</s:v>
      </s:c>
      <s:c r="D89" s="6" t="n">
        <s:v>29500</s:v>
      </s:c>
      <s:c r="E89" s="6" t="n">
        <s:v>13892</s:v>
      </s:c>
      <s:c r="F89" s="6" t="n">
        <s:v>13394</s:v>
      </s:c>
      <s:c r="G89" s="6" t="n">
        <s:v>26941</s:v>
      </s:c>
      <s:c r="H89" s="6" t="n">
        <s:v>23885</s:v>
      </s:c>
      <s:c r="I89" s="6" t="n">
        <s:v>4942</s:v>
      </s:c>
      <s:c r="J89" s="6" t="n">
        <s:f>IF(COUNT(C89:I89)=7,SUM(C89:I89),"")</s:f>
        <s:v>123592</s:v>
      </s:c>
    </s:row>
    <s:row r="90">
      <s:c r="A90" s="5" t="n">
        <s:v>46269</s:v>
      </s:c>
      <s:c r="B90" s="2" t="n">
        <s:v>13</s:v>
      </s:c>
      <s:c r="C90" s="6" t="n">
        <s:v>11094</s:v>
      </s:c>
      <s:c r="D90" s="6" t="n">
        <s:v>29532</s:v>
      </s:c>
      <s:c r="E90" s="6" t="n">
        <s:v>14046</s:v>
      </s:c>
      <s:c r="F90" s="6" t="n">
        <s:v>13310</s:v>
      </s:c>
      <s:c r="G90" s="6" t="n">
        <s:v>26701</s:v>
      </s:c>
      <s:c r="H90" s="6" t="n">
        <s:v>24205</s:v>
      </s:c>
      <s:c r="I90" s="6" t="n">
        <s:v>4977</s:v>
      </s:c>
      <s:c r="J90" s="6" t="n">
        <s:f>IF(COUNT(C90:I90)=7,SUM(C90:I90),"")</s:f>
        <s:v>123865</s:v>
      </s:c>
    </s:row>
    <s:row r="91">
      <s:c r="A91" s="5" t="n">
        <s:v>46269</s:v>
      </s:c>
      <s:c r="B91" s="2" t="n">
        <s:v>14</s:v>
      </s:c>
      <s:c r="C91" s="6" t="n">
        <s:v>11066</s:v>
      </s:c>
      <s:c r="D91" s="6" t="n">
        <s:v>29376</s:v>
      </s:c>
      <s:c r="E91" s="6" t="n">
        <s:v>14005</s:v>
      </s:c>
      <s:c r="F91" s="6" t="n">
        <s:v>13198</s:v>
      </s:c>
      <s:c r="G91" s="6" t="n">
        <s:v>26486</s:v>
      </s:c>
      <s:c r="H91" s="6" t="n">
        <s:v>24345</s:v>
      </s:c>
      <s:c r="I91" s="6" t="n">
        <s:v>4894</s:v>
      </s:c>
      <s:c r="J91" s="6" t="n">
        <s:f>IF(COUNT(C91:I91)=7,SUM(C91:I91),"")</s:f>
        <s:v>123370</s:v>
      </s:c>
    </s:row>
    <s:row r="92">
      <s:c r="A92" s="5" t="n">
        <s:v>46269</s:v>
      </s:c>
      <s:c r="B92" s="2" t="n">
        <s:v>15</s:v>
      </s:c>
      <s:c r="C92" s="6" t="n">
        <s:v>11158</s:v>
      </s:c>
      <s:c r="D92" s="6" t="n">
        <s:v>29294</s:v>
      </s:c>
      <s:c r="E92" s="6" t="n">
        <s:v>14100</s:v>
      </s:c>
      <s:c r="F92" s="6" t="n">
        <s:v>12956</s:v>
      </s:c>
      <s:c r="G92" s="6" t="n">
        <s:v>26673</s:v>
      </s:c>
      <s:c r="H92" s="6" t="n">
        <s:v>24415</s:v>
      </s:c>
      <s:c r="I92" s="6" t="n">
        <s:v>4691</s:v>
      </s:c>
      <s:c r="J92" s="6" t="n">
        <s:f>IF(COUNT(C92:I92)=7,SUM(C92:I92),"")</s:f>
        <s:v>123287</s:v>
      </s:c>
    </s:row>
    <s:row r="93">
      <s:c r="A93" s="5" t="n">
        <s:v>46269</s:v>
      </s:c>
      <s:c r="B93" s="2" t="n">
        <s:v>16</s:v>
      </s:c>
      <s:c r="C93" s="6" t="n">
        <s:v>10984</s:v>
      </s:c>
      <s:c r="D93" s="6" t="n">
        <s:v>28977</s:v>
      </s:c>
      <s:c r="E93" s="6" t="n">
        <s:v>13717</s:v>
      </s:c>
      <s:c r="F93" s="6" t="n">
        <s:v>12851</s:v>
      </s:c>
      <s:c r="G93" s="6" t="n">
        <s:v>26328</s:v>
      </s:c>
      <s:c r="H93" s="6" t="n">
        <s:v>24635</s:v>
      </s:c>
      <s:c r="I93" s="6" t="n">
        <s:v>4584</s:v>
      </s:c>
      <s:c r="J93" s="6" t="n">
        <s:f>IF(COUNT(C93:I93)=7,SUM(C93:I93),"")</s:f>
        <s:v>122076</s:v>
      </s:c>
    </s:row>
    <s:row r="94">
      <s:c r="A94" s="5" t="n">
        <s:v>46269</s:v>
      </s:c>
      <s:c r="B94" s="2" t="n">
        <s:v>17</s:v>
      </s:c>
      <s:c r="C94" s="6" t="n">
        <s:v>10915</s:v>
      </s:c>
      <s:c r="D94" s="6" t="n">
        <s:v>28999</s:v>
      </s:c>
      <s:c r="E94" s="6" t="n">
        <s:v>13232</s:v>
      </s:c>
      <s:c r="F94" s="6" t="n">
        <s:v>12722</s:v>
      </s:c>
      <s:c r="G94" s="6" t="n">
        <s:v>26253</s:v>
      </s:c>
      <s:c r="H94" s="6" t="n">
        <s:v>24687</s:v>
      </s:c>
      <s:c r="I94" s="6" t="n">
        <s:v>4429</s:v>
      </s:c>
      <s:c r="J94" s="6" t="n">
        <s:f>IF(COUNT(C94:I94)=7,SUM(C94:I94),"")</s:f>
        <s:v>121237</s:v>
      </s:c>
    </s:row>
    <s:row r="95">
      <s:c r="A95" s="5" t="n">
        <s:v>46269</s:v>
      </s:c>
      <s:c r="B95" s="2" t="n">
        <s:v>18</s:v>
      </s:c>
      <s:c r="C95" s="6" t="n">
        <s:v>10914</s:v>
      </s:c>
      <s:c r="D95" s="6" t="n">
        <s:v>28818</s:v>
      </s:c>
      <s:c r="E95" s="6" t="n">
        <s:v>13569</s:v>
      </s:c>
      <s:c r="F95" s="6" t="n">
        <s:v>12787</s:v>
      </s:c>
      <s:c r="G95" s="6" t="n">
        <s:v>26758</s:v>
      </s:c>
      <s:c r="H95" s="6" t="n">
        <s:v>23868</s:v>
      </s:c>
      <s:c r="I95" s="6" t="n">
        <s:v>4358</s:v>
      </s:c>
      <s:c r="J95" s="6" t="n">
        <s:f>IF(COUNT(C95:I95)=7,SUM(C95:I95),"")</s:f>
        <s:v>121072</s:v>
      </s:c>
    </s:row>
    <s:row r="96">
      <s:c r="A96" s="5" t="n">
        <s:v>46269</s:v>
      </s:c>
      <s:c r="B96" s="2" t="n">
        <s:v>19</s:v>
      </s:c>
      <s:c r="C96" s="6" t="n">
        <s:v>10853</s:v>
      </s:c>
      <s:c r="D96" s="6" t="n">
        <s:v>29583</s:v>
      </s:c>
      <s:c r="E96" s="6" t="n">
        <s:v>13609</s:v>
      </s:c>
      <s:c r="F96" s="6" t="n">
        <s:v>12802</s:v>
      </s:c>
      <s:c r="G96" s="6" t="n">
        <s:v>26609</s:v>
      </s:c>
      <s:c r="H96" s="6" t="n">
        <s:v>23024</s:v>
      </s:c>
      <s:c r="I96" s="6" t="n">
        <s:v>4136</s:v>
      </s:c>
      <s:c r="J96" s="6" t="n">
        <s:f>IF(COUNT(C96:I96)=7,SUM(C96:I96),"")</s:f>
        <s:v>120616</s:v>
      </s:c>
    </s:row>
    <s:row r="97">
      <s:c r="A97" s="5" t="n">
        <s:v>46269</s:v>
      </s:c>
      <s:c r="B97" s="2" t="n">
        <s:v>20</s:v>
      </s:c>
      <s:c r="C97" s="6" t="n">
        <s:v>10942</s:v>
      </s:c>
      <s:c r="D97" s="6" t="n">
        <s:v>28931</s:v>
      </s:c>
      <s:c r="E97" s="6" t="n">
        <s:v>13079</s:v>
      </s:c>
      <s:c r="F97" s="6" t="n">
        <s:v>12536</s:v>
      </s:c>
      <s:c r="G97" s="6" t="n">
        <s:v>25646</s:v>
      </s:c>
      <s:c r="H97" s="6" t="n">
        <s:v>22459</s:v>
      </s:c>
      <s:c r="I97" s="6" t="n">
        <s:v>4178</s:v>
      </s:c>
      <s:c r="J97" s="6" t="n">
        <s:f>IF(COUNT(C97:I97)=7,SUM(C97:I97),"")</s:f>
        <s:v>117771</s:v>
      </s:c>
    </s:row>
    <s:row r="98">
      <s:c r="A98" s="5" t="n">
        <s:v>46269</s:v>
      </s:c>
      <s:c r="B98" s="2" t="n">
        <s:v>21</s:v>
      </s:c>
      <s:c r="C98" s="6" t="n">
        <s:v>10801</s:v>
      </s:c>
      <s:c r="D98" s="6" t="n">
        <s:v>28039</s:v>
      </s:c>
      <s:c r="E98" s="6" t="n">
        <s:v>12380</s:v>
      </s:c>
      <s:c r="F98" s="6" t="n">
        <s:v>11929</s:v>
      </s:c>
      <s:c r="G98" s="6" t="n">
        <s:v>24999</s:v>
      </s:c>
      <s:c r="H98" s="6" t="n">
        <s:v>22250</s:v>
      </s:c>
      <s:c r="I98" s="6" t="n">
        <s:v>4195</s:v>
      </s:c>
      <s:c r="J98" s="6" t="n">
        <s:f>IF(COUNT(C98:I98)=7,SUM(C98:I98),"")</s:f>
        <s:v>114593</s:v>
      </s:c>
    </s:row>
    <s:row r="99">
      <s:c r="A99" s="5" t="n">
        <s:v>46269</s:v>
      </s:c>
      <s:c r="B99" s="2" t="n">
        <s:v>22</s:v>
      </s:c>
      <s:c r="C99" s="6" t="n">
        <s:v>10281</s:v>
      </s:c>
      <s:c r="D99" s="6" t="n">
        <s:v>26418</s:v>
      </s:c>
      <s:c r="E99" s="6" t="n">
        <s:v>11606</s:v>
      </s:c>
      <s:c r="F99" s="6" t="n">
        <s:v>11378</s:v>
      </s:c>
      <s:c r="G99" s="6" t="n">
        <s:v>24105</s:v>
      </s:c>
      <s:c r="H99" s="6" t="n">
        <s:v>22273</s:v>
      </s:c>
      <s:c r="I99" s="6" t="n">
        <s:v>4173</s:v>
      </s:c>
      <s:c r="J99" s="6" t="n">
        <s:f>IF(COUNT(C99:I99)=7,SUM(C99:I99),"")</s:f>
        <s:v>110234</s:v>
      </s:c>
    </s:row>
    <s:row r="100">
      <s:c r="A100" s="5" t="n">
        <s:v>46269</s:v>
      </s:c>
      <s:c r="B100" s="2" t="n">
        <s:v>23</s:v>
      </s:c>
      <s:c r="C100" s="6" t="n">
        <s:v>9837</s:v>
      </s:c>
      <s:c r="D100" s="6" t="n">
        <s:v>25119</s:v>
      </s:c>
      <s:c r="E100" s="6" t="n">
        <s:v>10756</s:v>
      </s:c>
      <s:c r="F100" s="6" t="n">
        <s:v>10896</s:v>
      </s:c>
      <s:c r="G100" s="6" t="n">
        <s:v>23520</s:v>
      </s:c>
      <s:c r="H100" s="6" t="n">
        <s:v>21961</s:v>
      </s:c>
      <s:c r="I100" s="6" t="n">
        <s:v>4345</s:v>
      </s:c>
      <s:c r="J100" s="6" t="n">
        <s:f>IF(COUNT(C100:I100)=7,SUM(C100:I100),"")</s:f>
        <s:v>106434</s:v>
      </s:c>
    </s:row>
    <s:row r="101">
      <s:c r="A101" s="5" t="n">
        <s:v>46270</s:v>
      </s:c>
      <s:c r="B101" s="2" t="n">
        <s:v>0</s:v>
      </s:c>
      <s:c r="C101" s="6" t="n">
        <s:v>9380</s:v>
      </s:c>
      <s:c r="D101" s="6" t="n">
        <s:v>23837</s:v>
      </s:c>
      <s:c r="E101" s="6" t="n">
        <s:v>10109</s:v>
      </s:c>
      <s:c r="F101" s="6" t="n">
        <s:v>10551</s:v>
      </s:c>
      <s:c r="G101" s="6" t="n">
        <s:v>23415</s:v>
      </s:c>
      <s:c r="H101" s="6" t="n">
        <s:v>22223</s:v>
      </s:c>
      <s:c r="I101" s="6" t="n">
        <s:v>4616</s:v>
      </s:c>
      <s:c r="J101" s="6" t="n">
        <s:f>IF(COUNT(C101:I101)=7,SUM(C101:I101),"")</s:f>
        <s:v>104131</s:v>
      </s:c>
    </s:row>
    <s:row r="102">
      <s:c r="A102" s="5" t="n">
        <s:v>46270</s:v>
      </s:c>
      <s:c r="B102" s="2" t="n">
        <s:v>1</s:v>
      </s:c>
      <s:c r="C102" s="6" t="n">
        <s:v>9053</s:v>
      </s:c>
      <s:c r="D102" s="6" t="n">
        <s:v>22990</s:v>
      </s:c>
      <s:c r="E102" s="6" t="n">
        <s:v>9668</s:v>
      </s:c>
      <s:c r="F102" s="6" t="n">
        <s:v>10329</s:v>
      </s:c>
      <s:c r="G102" s="6" t="n">
        <s:v>23329</s:v>
      </s:c>
      <s:c r="H102" s="6" t="n">
        <s:v>22540</s:v>
      </s:c>
      <s:c r="I102" s="6" t="n">
        <s:v>4862</s:v>
      </s:c>
      <s:c r="J102" s="6" t="n">
        <s:f>IF(COUNT(C102:I102)=7,SUM(C102:I102),"")</s:f>
        <s:v>102771</s:v>
      </s:c>
    </s:row>
    <s:row r="103">
      <s:c r="A103" s="5" t="n">
        <s:v>46270</s:v>
      </s:c>
      <s:c r="B103" s="2" t="n">
        <s:v>2</s:v>
      </s:c>
      <s:c r="C103" s="6" t="n">
        <s:v>8912</s:v>
      </s:c>
      <s:c r="D103" s="6" t="n">
        <s:v>22607</s:v>
      </s:c>
      <s:c r="E103" s="6" t="n">
        <s:v>9511</s:v>
      </s:c>
      <s:c r="F103" s="6" t="n">
        <s:v>10173</s:v>
      </s:c>
      <s:c r="G103" s="6" t="n">
        <s:v>22979</s:v>
      </s:c>
      <s:c r="H103" s="6" t="n">
        <s:v>22792</s:v>
      </s:c>
      <s:c r="I103" s="6" t="n">
        <s:v>5076</s:v>
      </s:c>
      <s:c r="J103" s="6" t="n">
        <s:f>IF(COUNT(C103:I103)=7,SUM(C103:I103),"")</s:f>
        <s:v>102050</s:v>
      </s:c>
    </s:row>
    <s:row r="104">
      <s:c r="A104" s="5" t="n">
        <s:v>46270</s:v>
      </s:c>
      <s:c r="B104" s="2" t="n">
        <s:v>3</s:v>
      </s:c>
      <s:c r="C104" s="6" t="n">
        <s:v>8872</s:v>
      </s:c>
      <s:c r="D104" s="6" t="n">
        <s:v>22393</s:v>
      </s:c>
      <s:c r="E104" s="6" t="n">
        <s:v>9416</s:v>
      </s:c>
      <s:c r="F104" s="6" t="n">
        <s:v>10140</s:v>
      </s:c>
      <s:c r="G104" s="6" t="n">
        <s:v>22923</s:v>
      </s:c>
      <s:c r="H104" s="6" t="n">
        <s:v>23467</s:v>
      </s:c>
      <s:c r="I104" s="6" t="n">
        <s:v>5147</s:v>
      </s:c>
      <s:c r="J104" s="6" t="n">
        <s:f>IF(COUNT(C104:I104)=7,SUM(C104:I104),"")</s:f>
        <s:v>102358</s:v>
      </s:c>
    </s:row>
    <s:row r="105">
      <s:c r="A105" s="5" t="n">
        <s:v>46270</s:v>
      </s:c>
      <s:c r="B105" s="2" t="n">
        <s:v>4</s:v>
      </s:c>
      <s:c r="C105" s="6" t="n">
        <s:v>8780</s:v>
      </s:c>
      <s:c r="D105" s="6" t="n">
        <s:v>22557</s:v>
      </s:c>
      <s:c r="E105" s="6" t="n">
        <s:v>9344</s:v>
      </s:c>
      <s:c r="F105" s="6" t="n">
        <s:v>10394</s:v>
      </s:c>
      <s:c r="G105" s="6" t="n">
        <s:v>23239</s:v>
      </s:c>
      <s:c r="H105" s="6" t="n">
        <s:v>24235</s:v>
      </s:c>
      <s:c r="I105" s="6" t="n">
        <s:v>5107</s:v>
      </s:c>
      <s:c r="J105" s="6" t="n">
        <s:f>IF(COUNT(C105:I105)=7,SUM(C105:I105),"")</s:f>
        <s:v>103656</s:v>
      </s:c>
    </s:row>
    <s:row r="106">
      <s:c r="A106" s="5" t="n">
        <s:v>46270</s:v>
      </s:c>
      <s:c r="B106" s="2" t="n">
        <s:v>5</s:v>
      </s:c>
      <s:c r="C106" s="6" t="n">
        <s:v>8874</s:v>
      </s:c>
      <s:c r="D106" s="6" t="n">
        <s:v>23110</s:v>
      </s:c>
      <s:c r="E106" s="6" t="n">
        <s:v>9468</s:v>
      </s:c>
      <s:c r="F106" s="6" t="n">
        <s:v>10495</s:v>
      </s:c>
      <s:c r="G106" s="6" t="n">
        <s:v>23954</s:v>
      </s:c>
      <s:c r="H106" s="6" t="n">
        <s:v>24552</s:v>
      </s:c>
      <s:c r="I106" s="6" t="n">
        <s:v>5069</s:v>
      </s:c>
      <s:c r="J106" s="6" t="n">
        <s:f>IF(COUNT(C106:I106)=7,SUM(C106:I106),"")</s:f>
        <s:v>105522</s:v>
      </s:c>
    </s:row>
    <s:row r="107">
      <s:c r="A107" s="5" t="n">
        <s:v>46270</s:v>
      </s:c>
      <s:c r="B107" s="2" t="n">
        <s:v>6</s:v>
      </s:c>
      <s:c r="C107" s="6" t="n">
        <s:v>9023</s:v>
      </s:c>
      <s:c r="D107" s="6" t="n">
        <s:v>23894</s:v>
      </s:c>
      <s:c r="E107" s="6" t="n">
        <s:v>9991</s:v>
      </s:c>
      <s:c r="F107" s="6" t="n">
        <s:v>11139</s:v>
      </s:c>
      <s:c r="G107" s="6" t="n">
        <s:v>25014</s:v>
      </s:c>
      <s:c r="H107" s="6" t="n">
        <s:v>24553</s:v>
      </s:c>
      <s:c r="I107" s="6" t="n">
        <s:v>5114</s:v>
      </s:c>
      <s:c r="J107" s="6" t="n">
        <s:f>IF(COUNT(C107:I107)=7,SUM(C107:I107),"")</s:f>
        <s:v>108728</s:v>
      </s:c>
    </s:row>
    <s:row r="108">
      <s:c r="A108" s="5" t="n">
        <s:v>46270</s:v>
      </s:c>
      <s:c r="B108" s="2" t="n">
        <s:v>7</s:v>
      </s:c>
      <s:c r="C108" s="6" t="n">
        <s:v>9444</s:v>
      </s:c>
      <s:c r="D108" s="6" t="n">
        <s:v>25275</s:v>
      </s:c>
      <s:c r="E108" s="6" t="n">
        <s:v>10667</s:v>
      </s:c>
      <s:c r="F108" s="6" t="n">
        <s:v>11748</s:v>
      </s:c>
      <s:c r="G108" s="6" t="n">
        <s:v>25679</s:v>
      </s:c>
      <s:c r="H108" s="6" t="n">
        <s:v>24555</s:v>
      </s:c>
      <s:c r="I108" s="6" t="n">
        <s:v>5104</s:v>
      </s:c>
      <s:c r="J108" s="6" t="n">
        <s:f>IF(COUNT(C108:I108)=7,SUM(C108:I108),"")</s:f>
        <s:v>112472</s:v>
      </s:c>
    </s:row>
    <s:row r="109">
      <s:c r="A109" s="5" t="n">
        <s:v>46270</s:v>
      </s:c>
      <s:c r="B109" s="2" t="n">
        <s:v>8</s:v>
      </s:c>
      <s:c r="C109" s="6" t="n">
        <s:v>10011</s:v>
      </s:c>
      <s:c r="D109" s="6" t="n">
        <s:v>27260</s:v>
      </s:c>
      <s:c r="E109" s="6" t="n">
        <s:v>11781</s:v>
      </s:c>
      <s:c r="F109" s="6" t="n">
        <s:v>12339</s:v>
      </s:c>
      <s:c r="G109" s="6" t="n">
        <s:v>26159</s:v>
      </s:c>
      <s:c r="H109" s="6" t="n">
        <s:v>24513</s:v>
      </s:c>
      <s:c r="I109" s="6" t="n">
        <s:v>5059</s:v>
      </s:c>
      <s:c r="J109" s="6" t="n">
        <s:f>IF(COUNT(C109:I109)=7,SUM(C109:I109),"")</s:f>
        <s:v>117122</s:v>
      </s:c>
    </s:row>
    <s:row r="110">
      <s:c r="A110" s="5" t="n">
        <s:v>46270</s:v>
      </s:c>
      <s:c r="B110" s="2" t="n">
        <s:v>9</s:v>
      </s:c>
      <s:c r="C110" s="6" t="n">
        <s:v>10479</s:v>
      </s:c>
      <s:c r="D110" s="6" t="n">
        <s:v>28626</s:v>
      </s:c>
      <s:c r="E110" s="6" t="n">
        <s:v>12713</s:v>
      </s:c>
      <s:c r="F110" s="6" t="n">
        <s:v>12642</s:v>
      </s:c>
      <s:c r="G110" s="6" t="n">
        <s:v>26072</s:v>
      </s:c>
      <s:c r="H110" s="6" t="n">
        <s:v>24344</s:v>
      </s:c>
      <s:c r="I110" s="6" t="n">
        <s:v>5062</s:v>
      </s:c>
      <s:c r="J110" s="6" t="n">
        <s:f>IF(COUNT(C110:I110)=7,SUM(C110:I110),"")</s:f>
        <s:v>119938</s:v>
      </s:c>
    </s:row>
    <s:row r="111">
      <s:c r="A111" s="5" t="n">
        <s:v>46270</s:v>
      </s:c>
      <s:c r="B111" s="2" t="n">
        <s:v>10</s:v>
      </s:c>
      <s:c r="C111" s="6" t="n">
        <s:v>10622</s:v>
      </s:c>
      <s:c r="D111" s="6" t="n">
        <s:v>29036</s:v>
      </s:c>
      <s:c r="E111" s="6" t="n">
        <s:v>13212</s:v>
      </s:c>
      <s:c r="F111" s="6" t="n">
        <s:v>12668</s:v>
      </s:c>
      <s:c r="G111" s="6" t="n">
        <s:v>26213</s:v>
      </s:c>
      <s:c r="H111" s="6" t="n">
        <s:v>24466</s:v>
      </s:c>
      <s:c r="I111" s="6" t="n">
        <s:v>5144</s:v>
      </s:c>
      <s:c r="J111" s="6" t="n">
        <s:f>IF(COUNT(C111:I111)=7,SUM(C111:I111),"")</s:f>
        <s:v>121361</s:v>
      </s:c>
    </s:row>
    <s:row r="112">
      <s:c r="A112" s="5" t="n">
        <s:v>46270</s:v>
      </s:c>
      <s:c r="B112" s="2" t="n">
        <s:v>11</s:v>
      </s:c>
      <s:c r="C112" s="6" t="n">
        <s:v>10620</s:v>
      </s:c>
      <s:c r="D112" s="6" t="n">
        <s:v>28908</s:v>
      </s:c>
      <s:c r="E112" s="6" t="n">
        <s:v>13353</s:v>
      </s:c>
      <s:c r="F112" s="6" t="n">
        <s:v>12655</s:v>
      </s:c>
      <s:c r="G112" s="6" t="n">
        <s:v>26187</s:v>
      </s:c>
      <s:c r="H112" s="6" t="n">
        <s:v>24418</s:v>
      </s:c>
      <s:c r="I112" s="6" t="n">
        <s:v>5193</s:v>
      </s:c>
      <s:c r="J112" s="6" t="n">
        <s:f>IF(COUNT(C112:I112)=7,SUM(C112:I112),"")</s:f>
        <s:v>121334</s:v>
      </s:c>
    </s:row>
    <s:row r="113">
      <s:c r="A113" s="5" t="n">
        <s:v>46270</s:v>
      </s:c>
      <s:c r="B113" s="2" t="n">
        <s:v>12</s:v>
      </s:c>
      <s:c r="C113" s="6" t="n">
        <s:v>10597</s:v>
      </s:c>
      <s:c r="D113" s="6" t="n">
        <s:v>28825</s:v>
      </s:c>
      <s:c r="E113" s="6" t="n">
        <s:v>13538</s:v>
      </s:c>
      <s:c r="F113" s="6" t="n">
        <s:v>12591</s:v>
      </s:c>
      <s:c r="G113" s="6" t="n">
        <s:v>26034</s:v>
      </s:c>
      <s:c r="H113" s="6" t="n">
        <s:v>24632</s:v>
      </s:c>
      <s:c r="I113" s="6" t="n">
        <s:v>5225</s:v>
      </s:c>
      <s:c r="J113" s="6" t="n">
        <s:f>IF(COUNT(C113:I113)=7,SUM(C113:I113),"")</s:f>
        <s:v>121442</s:v>
      </s:c>
    </s:row>
    <s:row r="114">
      <s:c r="A114" s="5" t="n">
        <s:v>46270</s:v>
      </s:c>
      <s:c r="B114" s="2" t="n">
        <s:v>13</s:v>
      </s:c>
      <s:c r="C114" s="6" t="n">
        <s:v>10633</s:v>
      </s:c>
      <s:c r="D114" s="6" t="n">
        <s:v>28994</s:v>
      </s:c>
      <s:c r="E114" s="6" t="n">
        <s:v>13757</s:v>
      </s:c>
      <s:c r="F114" s="6" t="n">
        <s:v>12618</s:v>
      </s:c>
      <s:c r="G114" s="6" t="n">
        <s:v>25899</s:v>
      </s:c>
      <s:c r="H114" s="6" t="n">
        <s:v>24803</s:v>
      </s:c>
      <s:c r="I114" s="6" t="n">
        <s:v>5226</s:v>
      </s:c>
      <s:c r="J114" s="6" t="n">
        <s:f>IF(COUNT(C114:I114)=7,SUM(C114:I114),"")</s:f>
        <s:v>121930</s:v>
      </s:c>
    </s:row>
    <s:row r="115">
      <s:c r="A115" s="5" t="n">
        <s:v>46270</s:v>
      </s:c>
      <s:c r="B115" s="2" t="n">
        <s:v>14</s:v>
      </s:c>
      <s:c r="C115" s="6" t="n">
        <s:v>10593</s:v>
      </s:c>
      <s:c r="D115" s="6" t="n">
        <s:v>28573</s:v>
      </s:c>
      <s:c r="E115" s="6" t="n">
        <s:v>13689</s:v>
      </s:c>
      <s:c r="F115" s="6" t="n">
        <s:v>12482</s:v>
      </s:c>
      <s:c r="G115" s="6" t="n">
        <s:v>26110</s:v>
      </s:c>
      <s:c r="H115" s="6" t="n">
        <s:v>24866</s:v>
      </s:c>
      <s:c r="I115" s="6" t="n">
        <s:v>5121</s:v>
      </s:c>
      <s:c r="J115" s="6" t="n">
        <s:f>IF(COUNT(C115:I115)=7,SUM(C115:I115),"")</s:f>
        <s:v>121434</s:v>
      </s:c>
    </s:row>
    <s:row r="116">
      <s:c r="A116" s="5" t="n">
        <s:v>46270</s:v>
      </s:c>
      <s:c r="B116" s="2" t="n">
        <s:v>15</s:v>
      </s:c>
      <s:c r="C116" s="6" t="n">
        <s:v>10593</s:v>
      </s:c>
      <s:c r="D116" s="6" t="n">
        <s:v>28478</s:v>
      </s:c>
      <s:c r="E116" s="6" t="n">
        <s:v>13671</s:v>
      </s:c>
      <s:c r="F116" s="6" t="n">
        <s:v>12531</s:v>
      </s:c>
      <s:c r="G116" s="6" t="n">
        <s:v>25956</s:v>
      </s:c>
      <s:c r="H116" s="6" t="n">
        <s:v>24867</s:v>
      </s:c>
      <s:c r="I116" s="6" t="n">
        <s:v>4870</s:v>
      </s:c>
      <s:c r="J116" s="6" t="n">
        <s:f>IF(COUNT(C116:I116)=7,SUM(C116:I116),"")</s:f>
        <s:v>120966</s:v>
      </s:c>
    </s:row>
    <s:row r="117">
      <s:c r="A117" s="5" t="n">
        <s:v>46270</s:v>
      </s:c>
      <s:c r="B117" s="2" t="n">
        <s:v>16</s:v>
      </s:c>
      <s:c r="C117" s="6" t="n">
        <s:v>10548</s:v>
      </s:c>
      <s:c r="D117" s="6" t="n">
        <s:v>28121</s:v>
      </s:c>
      <s:c r="E117" s="6" t="n">
        <s:v>13608</s:v>
      </s:c>
      <s:c r="F117" s="6" t="n">
        <s:v>12341</s:v>
      </s:c>
      <s:c r="G117" s="6" t="n">
        <s:v>25765</s:v>
      </s:c>
      <s:c r="H117" s="6" t="n">
        <s:v>25191</s:v>
      </s:c>
      <s:c r="I117" s="6" t="n">
        <s:v>4720</s:v>
      </s:c>
      <s:c r="J117" s="6" t="n">
        <s:f>IF(COUNT(C117:I117)=7,SUM(C117:I117),"")</s:f>
        <s:v>120294</s:v>
      </s:c>
    </s:row>
    <s:row r="118">
      <s:c r="A118" s="5" t="n">
        <s:v>46270</s:v>
      </s:c>
      <s:c r="B118" s="2" t="n">
        <s:v>17</s:v>
      </s:c>
      <s:c r="C118" s="6" t="n">
        <s:v>10607</s:v>
      </s:c>
      <s:c r="D118" s="6" t="n">
        <s:v>28197</s:v>
      </s:c>
      <s:c r="E118" s="6" t="n">
        <s:v>13278</s:v>
      </s:c>
      <s:c r="F118" s="6" t="n">
        <s:v>12406</s:v>
      </s:c>
      <s:c r="G118" s="6" t="n">
        <s:v>26040</s:v>
      </s:c>
      <s:c r="H118" s="6" t="n">
        <s:v>24542</s:v>
      </s:c>
      <s:c r="I118" s="6" t="n">
        <s:v>4534</s:v>
      </s:c>
      <s:c r="J118" s="6" t="n">
        <s:f>IF(COUNT(C118:I118)=7,SUM(C118:I118),"")</s:f>
        <s:v>119604</s:v>
      </s:c>
    </s:row>
    <s:row r="119">
      <s:c r="A119" s="5" t="n">
        <s:v>46270</s:v>
      </s:c>
      <s:c r="B119" s="2" t="n">
        <s:v>18</s:v>
      </s:c>
      <s:c r="C119" s="6" t="n">
        <s:v>10646</s:v>
      </s:c>
      <s:c r="D119" s="6" t="n">
        <s:v>28488</s:v>
      </s:c>
      <s:c r="E119" s="6" t="n">
        <s:v>13385</s:v>
      </s:c>
      <s:c r="F119" s="6" t="n">
        <s:v>12554</s:v>
      </s:c>
      <s:c r="G119" s="6" t="n">
        <s:v>26226</s:v>
      </s:c>
      <s:c r="H119" s="6" t="n">
        <s:v>23668</s:v>
      </s:c>
      <s:c r="I119" s="6" t="n">
        <s:v>4361</s:v>
      </s:c>
      <s:c r="J119" s="6" t="n">
        <s:f>IF(COUNT(C119:I119)=7,SUM(C119:I119),"")</s:f>
        <s:v>119328</s:v>
      </s:c>
    </s:row>
    <s:row r="120">
      <s:c r="A120" s="5" t="n">
        <s:v>46270</s:v>
      </s:c>
      <s:c r="B120" s="2" t="n">
        <s:v>19</s:v>
      </s:c>
      <s:c r="C120" s="6" t="n">
        <s:v>10671</s:v>
      </s:c>
      <s:c r="D120" s="6" t="n">
        <s:v>28965</s:v>
      </s:c>
      <s:c r="E120" s="6" t="n">
        <s:v>13411</s:v>
      </s:c>
      <s:c r="F120" s="6" t="n">
        <s:v>12533</s:v>
      </s:c>
      <s:c r="G120" s="6" t="n">
        <s:v>26098</s:v>
      </s:c>
      <s:c r="H120" s="6" t="n">
        <s:v>23230</s:v>
      </s:c>
      <s:c r="I120" s="6" t="n">
        <s:v>4374</s:v>
      </s:c>
      <s:c r="J120" s="6" t="n">
        <s:f>IF(COUNT(C120:I120)=7,SUM(C120:I120),"")</s:f>
        <s:v>119282</s:v>
      </s:c>
    </s:row>
    <s:row r="121">
      <s:c r="A121" s="5" t="n">
        <s:v>46270</s:v>
      </s:c>
      <s:c r="B121" s="2" t="n">
        <s:v>20</s:v>
      </s:c>
      <s:c r="C121" s="6" t="n">
        <s:v>10918</s:v>
      </s:c>
      <s:c r="D121" s="6" t="n">
        <s:v>28670</s:v>
      </s:c>
      <s:c r="E121" s="6" t="n">
        <s:v>12858</s:v>
      </s:c>
      <s:c r="F121" s="6" t="n">
        <s:v>11944</s:v>
      </s:c>
      <s:c r="G121" s="6" t="n">
        <s:v>25245</s:v>
      </s:c>
      <s:c r="H121" s="6" t="n">
        <s:v>22693</s:v>
      </s:c>
      <s:c r="I121" s="6" t="n">
        <s:v>4296</s:v>
      </s:c>
      <s:c r="J121" s="6" t="n">
        <s:f>IF(COUNT(C121:I121)=7,SUM(C121:I121),"")</s:f>
        <s:v>116624</s:v>
      </s:c>
    </s:row>
    <s:row r="122">
      <s:c r="A122" s="5" t="n">
        <s:v>46270</s:v>
      </s:c>
      <s:c r="B122" s="2" t="n">
        <s:v>21</s:v>
      </s:c>
      <s:c r="C122" s="6" t="n">
        <s:v>10669</s:v>
      </s:c>
      <s:c r="D122" s="6" t="n">
        <s:v>27590</s:v>
      </s:c>
      <s:c r="E122" s="6" t="n">
        <s:v>12103</s:v>
      </s:c>
      <s:c r="F122" s="6" t="n">
        <s:v>11474</s:v>
      </s:c>
      <s:c r="G122" s="6" t="n">
        <s:v>24224</s:v>
      </s:c>
      <s:c r="H122" s="6" t="n">
        <s:v>22398</s:v>
      </s:c>
      <s:c r="I122" s="6" t="n">
        <s:v>4282</s:v>
      </s:c>
      <s:c r="J122" s="6" t="n">
        <s:f>IF(COUNT(C122:I122)=7,SUM(C122:I122),"")</s:f>
        <s:v>112740</s:v>
      </s:c>
    </s:row>
    <s:row r="123">
      <s:c r="A123" s="5" t="n">
        <s:v>46270</s:v>
      </s:c>
      <s:c r="B123" s="2" t="n">
        <s:v>22</s:v>
      </s:c>
      <s:c r="C123" s="6" t="n">
        <s:v>10172</s:v>
      </s:c>
      <s:c r="D123" s="6" t="n">
        <s:v>25956</s:v>
      </s:c>
      <s:c r="E123" s="6" t="n">
        <s:v>11437</s:v>
      </s:c>
      <s:c r="F123" s="6" t="n">
        <s:v>11021</s:v>
      </s:c>
      <s:c r="G123" s="6" t="n">
        <s:v>23552</s:v>
      </s:c>
      <s:c r="H123" s="6" t="n">
        <s:v>22267</s:v>
      </s:c>
      <s:c r="I123" s="6" t="n">
        <s:v>4339</s:v>
      </s:c>
      <s:c r="J123" s="6" t="n">
        <s:f>IF(COUNT(C123:I123)=7,SUM(C123:I123),"")</s:f>
        <s:v>108744</s:v>
      </s:c>
    </s:row>
    <s:row r="124">
      <s:c r="A124" s="5" t="n">
        <s:v>46270</s:v>
      </s:c>
      <s:c r="B124" s="2" t="n">
        <s:v>23</s:v>
      </s:c>
      <s:c r="C124" s="6" t="n">
        <s:v>9825</s:v>
      </s:c>
      <s:c r="D124" s="6" t="n">
        <s:v>24608</s:v>
      </s:c>
      <s:c r="E124" s="6" t="n">
        <s:v>10729</s:v>
      </s:c>
      <s:c r="F124" s="6" t="n">
        <s:v>10673</s:v>
      </s:c>
      <s:c r="G124" s="6" t="n">
        <s:v>23181</s:v>
      </s:c>
      <s:c r="H124" s="6" t="n">
        <s:v>22300</s:v>
      </s:c>
      <s:c r="I124" s="6" t="n">
        <s:v>4414</s:v>
      </s:c>
      <s:c r="J124" s="6" t="n">
        <s:f>IF(COUNT(C124:I124)=7,SUM(C124:I124),"")</s:f>
        <s:v>105730</s:v>
      </s:c>
    </s:row>
    <s:row r="125">
      <s:c r="A125" s="5" t="n">
        <s:v>46271</s:v>
      </s:c>
      <s:c r="B125" s="2" t="n">
        <s:v>0</s:v>
      </s:c>
      <s:c r="C125" s="6" t="n">
        <s:v>9346</s:v>
      </s:c>
      <s:c r="D125" s="6" t="n">
        <s:v>23897</s:v>
      </s:c>
      <s:c r="E125" s="6" t="n">
        <s:v>10059</s:v>
      </s:c>
      <s:c r="F125" s="6" t="n">
        <s:v>10353</s:v>
      </s:c>
      <s:c r="G125" s="6" t="n">
        <s:v>23276</s:v>
      </s:c>
      <s:c r="H125" s="6" t="n">
        <s:v>22188</s:v>
      </s:c>
      <s:c r="I125" s="6" t="n">
        <s:v>4488</s:v>
      </s:c>
      <s:c r="J125" s="6" t="n">
        <s:f>IF(COUNT(C125:I125)=7,SUM(C125:I125),"")</s:f>
        <s:v>103607</s:v>
      </s:c>
    </s:row>
    <s:row r="126">
      <s:c r="A126" s="5" t="n">
        <s:v>46271</s:v>
      </s:c>
      <s:c r="B126" s="2" t="n">
        <s:v>1</s:v>
      </s:c>
      <s:c r="C126" s="6" t="n">
        <s:v>9081</s:v>
      </s:c>
      <s:c r="D126" s="6" t="n">
        <s:v>23018</s:v>
      </s:c>
      <s:c r="E126" s="6" t="n">
        <s:v>9646</s:v>
      </s:c>
      <s:c r="F126" s="6" t="n">
        <s:v>10024</s:v>
      </s:c>
      <s:c r="G126" s="6" t="n">
        <s:v>22958</s:v>
      </s:c>
      <s:c r="H126" s="6" t="n">
        <s:v>22448</s:v>
      </s:c>
      <s:c r="I126" s="6" t="n">
        <s:v>4893</s:v>
      </s:c>
      <s:c r="J126" s="6" t="n">
        <s:f>IF(COUNT(C126:I126)=7,SUM(C126:I126),"")</s:f>
        <s:v>102068</s:v>
      </s:c>
    </s:row>
    <s:row r="127">
      <s:c r="A127" s="5" t="n">
        <s:v>46271</s:v>
      </s:c>
      <s:c r="B127" s="2" t="n">
        <s:v>2</s:v>
      </s:c>
      <s:c r="C127" s="6" t="n">
        <s:v>8840</s:v>
      </s:c>
      <s:c r="D127" s="6" t="n">
        <s:v>22609</s:v>
      </s:c>
      <s:c r="E127" s="6" t="n">
        <s:v>9406</s:v>
      </s:c>
      <s:c r="F127" s="6" t="n">
        <s:v>10055</s:v>
      </s:c>
      <s:c r="G127" s="6" t="n">
        <s:v>22628</s:v>
      </s:c>
      <s:c r="H127" s="6" t="n">
        <s:v>22861</s:v>
      </s:c>
      <s:c r="I127" s="6" t="n">
        <s:v>5093</s:v>
      </s:c>
      <s:c r="J127" s="6" t="n">
        <s:f>IF(COUNT(C127:I127)=7,SUM(C127:I127),"")</s:f>
        <s:v>101492</s:v>
      </s:c>
    </s:row>
    <s:row r="128">
      <s:c r="A128" s="5" t="n">
        <s:v>46271</s:v>
      </s:c>
      <s:c r="B128" s="2" t="n">
        <s:v>3</s:v>
      </s:c>
      <s:c r="C128" s="6" t="n">
        <s:v>8776</s:v>
      </s:c>
      <s:c r="D128" s="6" t="n">
        <s:v>22424</s:v>
      </s:c>
      <s:c r="E128" s="6" t="n">
        <s:v>9314</s:v>
      </s:c>
      <s:c r="F128" s="6" t="n">
        <s:v>10190</s:v>
      </s:c>
      <s:c r="G128" s="6" t="n">
        <s:v>22970</s:v>
      </s:c>
      <s:c r="H128" s="6" t="n">
        <s:v>23312</s:v>
      </s:c>
      <s:c r="I128" s="6" t="n">
        <s:v>5209</s:v>
      </s:c>
      <s:c r="J128" s="6" t="n">
        <s:f>IF(COUNT(C128:I128)=7,SUM(C128:I128),"")</s:f>
        <s:v>102195</s:v>
      </s:c>
    </s:row>
    <s:row r="129">
      <s:c r="A129" s="5" t="n">
        <s:v>46271</s:v>
      </s:c>
      <s:c r="B129" s="2" t="n">
        <s:v>4</s:v>
      </s:c>
      <s:c r="C129" s="6" t="n">
        <s:v>8794</s:v>
      </s:c>
      <s:c r="D129" s="6" t="n">
        <s:v>22331</s:v>
      </s:c>
      <s:c r="E129" s="6" t="n">
        <s:v>9293</s:v>
      </s:c>
      <s:c r="F129" s="6" t="n">
        <s:v>10152</s:v>
      </s:c>
      <s:c r="G129" s="6" t="n">
        <s:v>22866</s:v>
      </s:c>
      <s:c r="H129" s="6" t="n">
        <s:v>24170</s:v>
      </s:c>
      <s:c r="I129" s="6" t="n">
        <s:v>5193</s:v>
      </s:c>
      <s:c r="J129" s="6" t="n">
        <s:f>IF(COUNT(C129:I129)=7,SUM(C129:I129),"")</s:f>
        <s:v>102799</s:v>
      </s:c>
    </s:row>
    <s:row r="130">
      <s:c r="A130" s="5" t="n">
        <s:v>46271</s:v>
      </s:c>
      <s:c r="B130" s="2" t="n">
        <s:v>5</s:v>
      </s:c>
      <s:c r="C130" s="6" t="n">
        <s:v>8723</s:v>
      </s:c>
      <s:c r="D130" s="6" t="n">
        <s:v>22369</s:v>
      </s:c>
      <s:c r="E130" s="6" t="n">
        <s:v>9192</s:v>
      </s:c>
      <s:c r="F130" s="6" t="n">
        <s:v>10097</s:v>
      </s:c>
      <s:c r="G130" s="6" t="n">
        <s:v>23571</s:v>
      </s:c>
      <s:c r="H130" s="6" t="n">
        <s:v>24503</s:v>
      </s:c>
      <s:c r="I130" s="6" t="n">
        <s:v>5270</s:v>
      </s:c>
      <s:c r="J130" s="6" t="n">
        <s:f>IF(COUNT(C130:I130)=7,SUM(C130:I130),"")</s:f>
        <s:v>103725</s:v>
      </s:c>
    </s:row>
    <s:row r="131">
      <s:c r="A131" s="5" t="n">
        <s:v>46271</s:v>
      </s:c>
      <s:c r="B131" s="2" t="n">
        <s:v>6</s:v>
      </s:c>
      <s:c r="C131" s="6" t="n">
        <s:v>8845</s:v>
      </s:c>
      <s:c r="D131" s="6" t="n">
        <s:v>23311</s:v>
      </s:c>
      <s:c r="E131" s="6" t="n">
        <s:v>9622</s:v>
      </s:c>
      <s:c r="F131" s="6" t="n">
        <s:v>10561</s:v>
      </s:c>
      <s:c r="G131" s="6" t="n">
        <s:v>24768</s:v>
      </s:c>
      <s:c r="H131" s="6" t="n">
        <s:v>24546</s:v>
      </s:c>
      <s:c r="I131" s="6" t="n">
        <s:v>5111</s:v>
      </s:c>
      <s:c r="J131" s="6" t="n">
        <s:f>IF(COUNT(C131:I131)=7,SUM(C131:I131),"")</s:f>
        <s:v>106764</s:v>
      </s:c>
    </s:row>
    <s:row r="132">
      <s:c r="A132" s="5" t="n">
        <s:v>46271</s:v>
      </s:c>
      <s:c r="B132" s="2" t="n">
        <s:v>7</s:v>
      </s:c>
      <s:c r="C132" s="6" t="n">
        <s:v>9192</s:v>
      </s:c>
      <s:c r="D132" s="6" t="n">
        <s:v>24430</s:v>
      </s:c>
      <s:c r="E132" s="6" t="n">
        <s:v>10635</s:v>
      </s:c>
      <s:c r="F132" s="6" t="n">
        <s:v>11126</s:v>
      </s:c>
      <s:c r="G132" s="6" t="n">
        <s:v>25314</s:v>
      </s:c>
      <s:c r="H132" s="6" t="n">
        <s:v>24424</s:v>
      </s:c>
      <s:c r="I132" s="6" t="n">
        <s:v>5290</s:v>
      </s:c>
      <s:c r="J132" s="6" t="n">
        <s:f>IF(COUNT(C132:I132)=7,SUM(C132:I132),"")</s:f>
        <s:v>110411</s:v>
      </s:c>
    </s:row>
    <s:row r="133">
      <s:c r="A133" s="5" t="n">
        <s:v>46271</s:v>
      </s:c>
      <s:c r="B133" s="2" t="n">
        <s:v>8</s:v>
      </s:c>
      <s:c r="C133" s="6" t="n">
        <s:v>9844</s:v>
      </s:c>
      <s:c r="D133" s="6" t="n">
        <s:v>26094</s:v>
      </s:c>
      <s:c r="E133" s="6" t="n">
        <s:v>11784</s:v>
      </s:c>
      <s:c r="F133" s="6" t="n">
        <s:v>11801</s:v>
      </s:c>
      <s:c r="G133" s="6" t="n">
        <s:v>25933</s:v>
      </s:c>
      <s:c r="H133" s="6" t="n">
        <s:v>24397</s:v>
      </s:c>
      <s:c r="I133" s="6" t="n">
        <s:v>5169</s:v>
      </s:c>
      <s:c r="J133" s="6" t="n">
        <s:f>IF(COUNT(C133:I133)=7,SUM(C133:I133),"")</s:f>
        <s:v>115022</s:v>
      </s:c>
    </s:row>
    <s:row r="134">
      <s:c r="A134" s="5" t="n">
        <s:v>46271</s:v>
      </s:c>
      <s:c r="B134" s="2" t="n">
        <s:v>9</s:v>
      </s:c>
      <s:c r="C134" s="6" t="n">
        <s:v>10279</s:v>
      </s:c>
      <s:c r="D134" s="6" t="n">
        <s:v>27236</s:v>
      </s:c>
      <s:c r="E134" s="6" t="n">
        <s:v>12540</s:v>
      </s:c>
      <s:c r="F134" s="6" t="n">
        <s:v>12009</s:v>
      </s:c>
      <s:c r="G134" s="6" t="n">
        <s:v>26095</s:v>
      </s:c>
      <s:c r="H134" s="6" t="n">
        <s:v>24271</s:v>
      </s:c>
      <s:c r="I134" s="6" t="n">
        <s:v>5196</s:v>
      </s:c>
      <s:c r="J134" s="6" t="n">
        <s:f>IF(COUNT(C134:I134)=7,SUM(C134:I134),"")</s:f>
        <s:v>117626</s:v>
      </s:c>
    </s:row>
    <s:row r="135">
      <s:c r="A135" s="5" t="n">
        <s:v>46271</s:v>
      </s:c>
      <s:c r="B135" s="2" t="n">
        <s:v>10</s:v>
      </s:c>
      <s:c r="C135" s="6" t="n">
        <s:v>10502</s:v>
      </s:c>
      <s:c r="D135" s="6" t="n">
        <s:v>27421</s:v>
      </s:c>
      <s:c r="E135" s="6" t="n">
        <s:v>12816</s:v>
      </s:c>
      <s:c r="F135" s="6" t="n">
        <s:v>12157</s:v>
      </s:c>
      <s:c r="G135" s="6" t="n">
        <s:v>26110</s:v>
      </s:c>
      <s:c r="H135" s="6" t="n">
        <s:v>24479</s:v>
      </s:c>
      <s:c r="I135" s="6" t="n">
        <s:v>5124</s:v>
      </s:c>
      <s:c r="J135" s="6" t="n">
        <s:f>IF(COUNT(C135:I135)=7,SUM(C135:I135),"")</s:f>
        <s:v>118609</s:v>
      </s:c>
    </s:row>
    <s:row r="136">
      <s:c r="A136" s="5" t="n">
        <s:v>46271</s:v>
      </s:c>
      <s:c r="B136" s="2" t="n">
        <s:v>11</s:v>
      </s:c>
      <s:c r="C136" s="6" t="n">
        <s:v>10606</s:v>
      </s:c>
      <s:c r="D136" s="6" t="n">
        <s:v>27718</s:v>
      </s:c>
      <s:c r="E136" s="6" t="n">
        <s:v>13093</s:v>
      </s:c>
      <s:c r="F136" s="6" t="n">
        <s:v>12133</s:v>
      </s:c>
      <s:c r="G136" s="6" t="n">
        <s:v>25923</s:v>
      </s:c>
      <s:c r="H136" s="6" t="n">
        <s:v>24241</s:v>
      </s:c>
      <s:c r="I136" s="6" t="n">
        <s:v>5280</s:v>
      </s:c>
      <s:c r="J136" s="6" t="n">
        <s:f>IF(COUNT(C136:I136)=7,SUM(C136:I136),"")</s:f>
        <s:v>118994</s:v>
      </s:c>
    </s:row>
    <s:row r="137">
      <s:c r="A137" s="5" t="n">
        <s:v>46271</s:v>
      </s:c>
      <s:c r="B137" s="2" t="n">
        <s:v>12</s:v>
      </s:c>
      <s:c r="C137" s="6" t="n">
        <s:v>10610</s:v>
      </s:c>
      <s:c r="D137" s="6" t="n">
        <s:v>27821</s:v>
      </s:c>
      <s:c r="E137" s="6" t="n">
        <s:v>13284</s:v>
      </s:c>
      <s:c r="F137" s="6" t="n">
        <s:v>12122</s:v>
      </s:c>
      <s:c r="G137" s="6" t="n">
        <s:v>26147</s:v>
      </s:c>
      <s:c r="H137" s="6" t="n">
        <s:v>24637</s:v>
      </s:c>
      <s:c r="I137" s="6" t="n">
        <s:v>5367</s:v>
      </s:c>
      <s:c r="J137" s="6" t="n">
        <s:f>IF(COUNT(C137:I137)=7,SUM(C137:I137),"")</s:f>
        <s:v>119988</s:v>
      </s:c>
    </s:row>
    <s:row r="138">
      <s:c r="A138" s="5" t="n">
        <s:v>46271</s:v>
      </s:c>
      <s:c r="B138" s="2" t="n">
        <s:v>13</s:v>
      </s:c>
      <s:c r="C138" s="6" t="n">
        <s:v>10673</s:v>
      </s:c>
      <s:c r="D138" s="6" t="n">
        <s:v>27999</s:v>
      </s:c>
      <s:c r="E138" s="6" t="n">
        <s:v>13407</s:v>
      </s:c>
      <s:c r="F138" s="6" t="n">
        <s:v>12069</s:v>
      </s:c>
      <s:c r="G138" s="6" t="n">
        <s:v>26054</s:v>
      </s:c>
      <s:c r="H138" s="6" t="n">
        <s:v>24701</s:v>
      </s:c>
      <s:c r="I138" s="6" t="n">
        <s:v>5398</s:v>
      </s:c>
      <s:c r="J138" s="6" t="n">
        <s:f>IF(COUNT(C138:I138)=7,SUM(C138:I138),"")</s:f>
        <s:v>120301</s:v>
      </s:c>
    </s:row>
    <s:row r="139">
      <s:c r="A139" s="5" t="n">
        <s:v>46271</s:v>
      </s:c>
      <s:c r="B139" s="2" t="n">
        <s:v>14</s:v>
      </s:c>
      <s:c r="C139" s="6" t="n">
        <s:v>10642</s:v>
      </s:c>
      <s:c r="D139" s="6" t="n">
        <s:v>27754</s:v>
      </s:c>
      <s:c r="E139" s="6" t="n">
        <s:v>13372</s:v>
      </s:c>
      <s:c r="F139" s="6" t="n">
        <s:v>12266</s:v>
      </s:c>
      <s:c r="G139" s="6" t="n">
        <s:v>26214</s:v>
      </s:c>
      <s:c r="H139" s="6" t="n">
        <s:v>25138</s:v>
      </s:c>
      <s:c r="I139" s="6" t="n">
        <s:v>5273</s:v>
      </s:c>
      <s:c r="J139" s="6" t="n">
        <s:f>IF(COUNT(C139:I139)=7,SUM(C139:I139),"")</s:f>
        <s:v>120659</s:v>
      </s:c>
    </s:row>
    <s:row r="140">
      <s:c r="A140" s="5" t="n">
        <s:v>46271</s:v>
      </s:c>
      <s:c r="B140" s="2" t="n">
        <s:v>15</s:v>
      </s:c>
      <s:c r="C140" s="6" t="n">
        <s:v>10692</s:v>
      </s:c>
      <s:c r="D140" s="6" t="n">
        <s:v>27696</s:v>
      </s:c>
      <s:c r="E140" s="6" t="n">
        <s:v>13407</s:v>
      </s:c>
      <s:c r="F140" s="6" t="n">
        <s:v>12278</s:v>
      </s:c>
      <s:c r="G140" s="6" t="n">
        <s:v>26076</s:v>
      </s:c>
      <s:c r="H140" s="6" t="n">
        <s:v>25060</s:v>
      </s:c>
      <s:c r="I140" s="6" t="n">
        <s:v>4948</s:v>
      </s:c>
      <s:c r="J140" s="6" t="n">
        <s:f>IF(COUNT(C140:I140)=7,SUM(C140:I140),"")</s:f>
        <s:v>120157</s:v>
      </s:c>
    </s:row>
    <s:row r="141">
      <s:c r="A141" s="5" t="n">
        <s:v>46271</s:v>
      </s:c>
      <s:c r="B141" s="2" t="n">
        <s:v>16</s:v>
      </s:c>
      <s:c r="C141" s="6" t="n">
        <s:v>10755</s:v>
      </s:c>
      <s:c r="D141" s="6" t="n">
        <s:v>27827</s:v>
      </s:c>
      <s:c r="E141" s="6" t="n">
        <s:v>13238</s:v>
      </s:c>
      <s:c r="F141" s="6" t="n">
        <s:v>12319</s:v>
      </s:c>
      <s:c r="G141" s="6" t="n">
        <s:v>26012</s:v>
      </s:c>
      <s:c r="H141" s="6" t="n">
        <s:v>25297</s:v>
      </s:c>
      <s:c r="I141" s="6" t="n">
        <s:v>4725</s:v>
      </s:c>
      <s:c r="J141" s="6" t="n">
        <s:f>IF(COUNT(C141:I141)=7,SUM(C141:I141),"")</s:f>
        <s:v>120173</s:v>
      </s:c>
    </s:row>
    <s:row r="142">
      <s:c r="A142" s="5" t="n">
        <s:v>46271</s:v>
      </s:c>
      <s:c r="B142" s="2" t="n">
        <s:v>17</s:v>
      </s:c>
      <s:c r="C142" s="6" t="n">
        <s:v>10881</s:v>
      </s:c>
      <s:c r="D142" s="6" t="n">
        <s:v>27909</s:v>
      </s:c>
      <s:c r="E142" s="6" t="n">
        <s:v>12867</s:v>
      </s:c>
      <s:c r="F142" s="6" t="n">
        <s:v>12365</s:v>
      </s:c>
      <s:c r="G142" s="6" t="n">
        <s:v>26390</s:v>
      </s:c>
      <s:c r="H142" s="6" t="n">
        <s:v>24631</s:v>
      </s:c>
      <s:c r="I142" s="6" t="n">
        <s:v>4443</s:v>
      </s:c>
      <s:c r="J142" s="6" t="n">
        <s:f>IF(COUNT(C142:I142)=7,SUM(C142:I142),"")</s:f>
        <s:v>119486</s:v>
      </s:c>
    </s:row>
    <s:row r="143">
      <s:c r="A143" s="5" t="n">
        <s:v>46271</s:v>
      </s:c>
      <s:c r="B143" s="2" t="n">
        <s:v>18</s:v>
      </s:c>
      <s:c r="C143" s="6" t="n">
        <s:v>10868</s:v>
      </s:c>
      <s:c r="D143" s="6" t="n">
        <s:v>28018</s:v>
      </s:c>
      <s:c r="E143" s="6" t="n">
        <s:v>13172</s:v>
      </s:c>
      <s:c r="F143" s="6" t="n">
        <s:v>12488</s:v>
      </s:c>
      <s:c r="G143" s="6" t="n">
        <s:v>26626</s:v>
      </s:c>
      <s:c r="H143" s="6" t="n">
        <s:v>23675</s:v>
      </s:c>
      <s:c r="I143" s="6" t="n">
        <s:v>4460</s:v>
      </s:c>
      <s:c r="J143" s="6" t="n">
        <s:f>IF(COUNT(C143:I143)=7,SUM(C143:I143),"")</s:f>
        <s:v>119307</s:v>
      </s:c>
    </s:row>
    <s:row r="144">
      <s:c r="A144" s="5" t="n">
        <s:v>46271</s:v>
      </s:c>
      <s:c r="B144" s="2" t="n">
        <s:v>19</s:v>
      </s:c>
      <s:c r="C144" s="6" t="n">
        <s:v>10994</s:v>
      </s:c>
      <s:c r="D144" s="6" t="n">
        <s:v>28807</s:v>
      </s:c>
      <s:c r="E144" s="6" t="n">
        <s:v>13319</s:v>
      </s:c>
      <s:c r="F144" s="6" t="n">
        <s:v>12548</s:v>
      </s:c>
      <s:c r="G144" s="6" t="n">
        <s:v>26043</s:v>
      </s:c>
      <s:c r="H144" s="6" t="n">
        <s:v>23120</s:v>
      </s:c>
      <s:c r="I144" s="6" t="n">
        <s:v>4314</s:v>
      </s:c>
      <s:c r="J144" s="6" t="n">
        <s:f>IF(COUNT(C144:I144)=7,SUM(C144:I144),"")</s:f>
        <s:v>119145</s:v>
      </s:c>
    </s:row>
    <s:row r="145">
      <s:c r="A145" s="5" t="n">
        <s:v>46271</s:v>
      </s:c>
      <s:c r="B145" s="2" t="n">
        <s:v>20</s:v>
      </s:c>
      <s:c r="C145" s="6" t="n">
        <s:v>11187</s:v>
      </s:c>
      <s:c r="D145" s="6" t="n">
        <s:v>28694</s:v>
      </s:c>
      <s:c r="E145" s="6" t="n">
        <s:v>13020</s:v>
      </s:c>
      <s:c r="F145" s="6" t="n">
        <s:v>12228</s:v>
      </s:c>
      <s:c r="G145" s="6" t="n">
        <s:v>25148</s:v>
      </s:c>
      <s:c r="H145" s="6" t="n">
        <s:v>22471</s:v>
      </s:c>
      <s:c r="I145" s="6" t="n">
        <s:v>4417</s:v>
      </s:c>
      <s:c r="J145" s="6" t="n">
        <s:f>IF(COUNT(C145:I145)=7,SUM(C145:I145),"")</s:f>
        <s:v>117165</s:v>
      </s:c>
    </s:row>
    <s:row r="146">
      <s:c r="A146" s="5" t="n">
        <s:v>46271</s:v>
      </s:c>
      <s:c r="B146" s="2" t="n">
        <s:v>21</s:v>
      </s:c>
      <s:c r="C146" s="6" t="n">
        <s:v>10829</s:v>
      </s:c>
      <s:c r="D146" s="6" t="n">
        <s:v>27501</s:v>
      </s:c>
      <s:c r="E146" s="6" t="n">
        <s:v>12030</s:v>
      </s:c>
      <s:c r="F146" s="6" t="n">
        <s:v>11431</s:v>
      </s:c>
      <s:c r="G146" s="6" t="n">
        <s:v>24090</s:v>
      </s:c>
      <s:c r="H146" s="6" t="n">
        <s:v>22217</s:v>
      </s:c>
      <s:c r="I146" s="6" t="n">
        <s:v>4325</s:v>
      </s:c>
      <s:c r="J146" s="6" t="n">
        <s:f>IF(COUNT(C146:I146)=7,SUM(C146:I146),"")</s:f>
        <s:v>112423</s:v>
      </s:c>
    </s:row>
    <s:row r="147">
      <s:c r="A147" s="5" t="n">
        <s:v>46271</s:v>
      </s:c>
      <s:c r="B147" s="2" t="n">
        <s:v>22</s:v>
      </s:c>
      <s:c r="C147" s="6" t="n">
        <s:v>10317</s:v>
      </s:c>
      <s:c r="D147" s="6" t="n">
        <s:v>25896</s:v>
      </s:c>
      <s:c r="E147" s="6" t="n">
        <s:v>11220</s:v>
      </s:c>
      <s:c r="F147" s="6" t="n">
        <s:v>10849</s:v>
      </s:c>
      <s:c r="G147" s="6" t="n">
        <s:v>23323</s:v>
      </s:c>
      <s:c r="H147" s="6" t="n">
        <s:v>21924</s:v>
      </s:c>
      <s:c r="I147" s="6" t="n">
        <s:v>4405</s:v>
      </s:c>
      <s:c r="J147" s="6" t="n">
        <s:f>IF(COUNT(C147:I147)=7,SUM(C147:I147),"")</s:f>
        <s:v>107934</s:v>
      </s:c>
    </s:row>
    <s:row r="148">
      <s:c r="A148" s="5" t="n">
        <s:v>46271</s:v>
      </s:c>
      <s:c r="B148" s="2" t="n">
        <s:v>23</s:v>
      </s:c>
      <s:c r="C148" s="6" t="n">
        <s:v>9730</s:v>
      </s:c>
      <s:c r="D148" s="6" t="n">
        <s:v>24240</s:v>
      </s:c>
      <s:c r="E148" s="6" t="n">
        <s:v>10293</s:v>
      </s:c>
      <s:c r="F148" s="6" t="n">
        <s:v>10415</s:v>
      </s:c>
      <s:c r="G148" s="6" t="n">
        <s:v>23084</s:v>
      </s:c>
      <s:c r="H148" s="6" t="n">
        <s:v>21989</s:v>
      </s:c>
      <s:c r="I148" s="6" t="n">
        <s:v>4709</s:v>
      </s:c>
      <s:c r="J148" s="6" t="n">
        <s:f>IF(COUNT(C148:I148)=7,SUM(C148:I148),"")</s:f>
        <s:v>104460</s:v>
      </s:c>
    </s:row>
    <s:row r="149">
      <s:c r="A149" s="5" t="n">
        <s:v>46272</s:v>
      </s:c>
      <s:c r="B149" s="2" t="n">
        <s:v>0</s:v>
      </s:c>
      <s:c r="C149" s="6" t="n">
        <s:v>9310</s:v>
      </s:c>
      <s:c r="D149" s="6" t="n">
        <s:v>23291</s:v>
      </s:c>
      <s:c r="E149" s="6" t="n">
        <s:v>9870</s:v>
      </s:c>
      <s:c r="F149" s="6" t="n">
        <s:v>10254</s:v>
      </s:c>
      <s:c r="G149" s="6" t="n">
        <s:v>22685</s:v>
      </s:c>
      <s:c r="H149" s="6" t="n">
        <s:v>22150</s:v>
      </s:c>
      <s:c r="I149" s="6" t="n">
        <s:v>4841</s:v>
      </s:c>
      <s:c r="J149" s="6" t="n">
        <s:f>IF(COUNT(C149:I149)=7,SUM(C149:I149),"")</s:f>
        <s:v>102401</s:v>
      </s:c>
    </s:row>
    <s:row r="150">
      <s:c r="A150" s="5" t="n">
        <s:v>46272</s:v>
      </s:c>
      <s:c r="B150" s="2" t="n">
        <s:v>1</s:v>
      </s:c>
      <s:c r="C150" s="6" t="n">
        <s:v>9097</s:v>
      </s:c>
      <s:c r="D150" s="6" t="n">
        <s:v>22546</s:v>
      </s:c>
      <s:c r="E150" s="6" t="n">
        <s:v>9465</s:v>
      </s:c>
      <s:c r="F150" s="6" t="n">
        <s:v>10219</s:v>
      </s:c>
      <s:c r="G150" s="6" t="n">
        <s:v>22547</s:v>
      </s:c>
      <s:c r="H150" s="6" t="n">
        <s:v>22768</s:v>
      </s:c>
      <s:c r="I150" s="6" t="n">
        <s:v>5044</s:v>
      </s:c>
      <s:c r="J150" s="6" t="n">
        <s:f>IF(COUNT(C150:I150)=7,SUM(C150:I150),"")</s:f>
        <s:v>101686</s:v>
      </s:c>
    </s:row>
    <s:row r="151">
      <s:c r="A151" s="5" t="n">
        <s:v>46272</s:v>
      </s:c>
      <s:c r="B151" s="2" t="n">
        <s:v>2</s:v>
      </s:c>
      <s:c r="C151" s="6" t="n">
        <s:v>8964</s:v>
      </s:c>
      <s:c r="D151" s="6" t="n">
        <s:v>22231</s:v>
      </s:c>
      <s:c r="E151" s="6" t="n">
        <s:v>9233</s:v>
      </s:c>
      <s:c r="F151" s="6" t="n">
        <s:v>10086</s:v>
      </s:c>
      <s:c r="G151" s="6" t="n">
        <s:v>22737</s:v>
      </s:c>
      <s:c r="H151" s="6" t="n">
        <s:v>23747</s:v>
      </s:c>
      <s:c r="I151" s="6" t="n">
        <s:v>5072</s:v>
      </s:c>
      <s:c r="J151" s="6" t="n">
        <s:f>IF(COUNT(C151:I151)=7,SUM(C151:I151),"")</s:f>
        <s:v>102070</s:v>
      </s:c>
    </s:row>
    <s:row r="152">
      <s:c r="A152" s="5" t="n">
        <s:v>46272</s:v>
      </s:c>
      <s:c r="B152" s="2" t="n">
        <s:v>3</s:v>
      </s:c>
      <s:c r="C152" s="6" t="n">
        <s:v>8969</s:v>
      </s:c>
      <s:c r="D152" s="6" t="n">
        <s:v>22068</s:v>
      </s:c>
      <s:c r="E152" s="6" t="n">
        <s:v>9299</s:v>
      </s:c>
      <s:c r="F152" s="6" t="n">
        <s:v>10333</s:v>
      </s:c>
      <s:c r="G152" s="6" t="n">
        <s:v>23217</s:v>
      </s:c>
      <s:c r="H152" s="6" t="n">
        <s:v>23842</s:v>
      </s:c>
      <s:c r="I152" s="6" t="n">
        <s:v>5288</s:v>
      </s:c>
      <s:c r="J152" s="6" t="n">
        <s:f>IF(COUNT(C152:I152)=7,SUM(C152:I152),"")</s:f>
        <s:v>103016</s:v>
      </s:c>
    </s:row>
    <s:row r="153">
      <s:c r="A153" s="5" t="n">
        <s:v>46272</s:v>
      </s:c>
      <s:c r="B153" s="2" t="n">
        <s:v>4</s:v>
      </s:c>
      <s:c r="C153" s="6" t="n">
        <s:v>8993</s:v>
      </s:c>
      <s:c r="D153" s="6" t="n">
        <s:v>22462</s:v>
      </s:c>
      <s:c r="E153" s="6" t="n">
        <s:v>9390</s:v>
      </s:c>
      <s:c r="F153" s="6" t="n">
        <s:v>10443</s:v>
      </s:c>
      <s:c r="G153" s="6" t="n">
        <s:v>24165</s:v>
      </s:c>
      <s:c r="H153" s="6" t="n">
        <s:v>24371</s:v>
      </s:c>
      <s:c r="I153" s="6" t="n">
        <s:v>5163</s:v>
      </s:c>
      <s:c r="J153" s="6" t="n">
        <s:f>IF(COUNT(C153:I153)=7,SUM(C153:I153),"")</s:f>
        <s:v>104987</s:v>
      </s:c>
    </s:row>
    <s:row r="154">
      <s:c r="A154" s="5" t="n">
        <s:v>46272</s:v>
      </s:c>
      <s:c r="B154" s="2" t="n">
        <s:v>5</s:v>
      </s:c>
      <s:c r="C154" s="6" t="n">
        <s:v>9175</s:v>
      </s:c>
      <s:c r="D154" s="6" t="n">
        <s:v>23310</s:v>
      </s:c>
      <s:c r="E154" s="6" t="n">
        <s:v>9605</s:v>
      </s:c>
      <s:c r="F154" s="6" t="n">
        <s:v>10988</s:v>
      </s:c>
      <s:c r="G154" s="6" t="n">
        <s:v>24933</s:v>
      </s:c>
      <s:c r="H154" s="6" t="n">
        <s:v>24656</s:v>
      </s:c>
      <s:c r="I154" s="6" t="n">
        <s:v>5111</s:v>
      </s:c>
      <s:c r="J154" s="6" t="n">
        <s:f>IF(COUNT(C154:I154)=7,SUM(C154:I154),"")</s:f>
        <s:v>107778</s:v>
      </s:c>
    </s:row>
    <s:row r="155">
      <s:c r="A155" s="5" t="n">
        <s:v>46272</s:v>
      </s:c>
      <s:c r="B155" s="2" t="n">
        <s:v>6</s:v>
      </s:c>
      <s:c r="C155" s="6" t="n">
        <s:v>9649</s:v>
      </s:c>
      <s:c r="D155" s="6" t="n">
        <s:v>25444</s:v>
      </s:c>
      <s:c r="E155" s="6" t="n">
        <s:v>10492</s:v>
      </s:c>
      <s:c r="F155" s="6" t="n">
        <s:v>12145</s:v>
      </s:c>
      <s:c r="G155" s="6" t="n">
        <s:v>25854</s:v>
      </s:c>
      <s:c r="H155" s="6" t="n">
        <s:v>24588</s:v>
      </s:c>
      <s:c r="I155" s="6" t="n">
        <s:v>5144</s:v>
      </s:c>
      <s:c r="J155" s="6" t="n">
        <s:f>IF(COUNT(C155:I155)=7,SUM(C155:I155),"")</s:f>
        <s:v>113316</s:v>
      </s:c>
    </s:row>
    <s:row r="156">
      <s:c r="A156" s="5" t="n">
        <s:v>46272</s:v>
      </s:c>
      <s:c r="B156" s="2" t="n">
        <s:v>7</s:v>
      </s:c>
      <s:c r="C156" s="6" t="n">
        <s:v>10244</s:v>
      </s:c>
      <s:c r="D156" s="6" t="n">
        <s:v>27043</s:v>
      </s:c>
      <s:c r="E156" s="6" t="n">
        <s:v>11366</s:v>
      </s:c>
      <s:c r="F156" s="6" t="n">
        <s:v>13111</s:v>
      </s:c>
      <s:c r="G156" s="6" t="n">
        <s:v>26323</s:v>
      </s:c>
      <s:c r="H156" s="6" t="n">
        <s:v>24299</s:v>
      </s:c>
      <s:c r="I156" s="6" t="n">
        <s:v>5112</s:v>
      </s:c>
      <s:c r="J156" s="6" t="n">
        <s:f>IF(COUNT(C156:I156)=7,SUM(C156:I156),"")</s:f>
        <s:v>117498</s:v>
      </s:c>
    </s:row>
    <s:row r="157">
      <s:c r="A157" s="5" t="n">
        <s:v>46272</s:v>
      </s:c>
      <s:c r="B157" s="2" t="n">
        <s:v>8</s:v>
      </s:c>
      <s:c r="C157" s="6" t="n">
        <s:v>10868</s:v>
      </s:c>
      <s:c r="D157" s="6" t="n">
        <s:v>29050</s:v>
      </s:c>
      <s:c r="E157" s="6" t="n">
        <s:v>12158</s:v>
      </s:c>
      <s:c r="F157" s="6" t="n">
        <s:v>13539</s:v>
      </s:c>
      <s:c r="G157" s="6" t="n">
        <s:v>26599</s:v>
      </s:c>
      <s:c r="H157" s="6" t="n">
        <s:v>24814</s:v>
      </s:c>
      <s:c r="I157" s="6" t="n">
        <s:v>5104</s:v>
      </s:c>
      <s:c r="J157" s="6" t="n">
        <s:f>IF(COUNT(C157:I157)=7,SUM(C157:I157),"")</s:f>
        <s:v>122132</s:v>
      </s:c>
    </s:row>
    <s:row r="158">
      <s:c r="A158" s="5" t="n">
        <s:v>46272</s:v>
      </s:c>
      <s:c r="B158" s="2" t="n">
        <s:v>9</s:v>
      </s:c>
      <s:c r="C158" s="6" t="n">
        <s:v>11151</s:v>
      </s:c>
      <s:c r="D158" s="6" t="n">
        <s:v>29857</s:v>
      </s:c>
      <s:c r="E158" s="6" t="n">
        <s:v>12278</s:v>
      </s:c>
      <s:c r="F158" s="6" t="n">
        <s:v>13371</s:v>
      </s:c>
      <s:c r="G158" s="6" t="n">
        <s:v>26630</s:v>
      </s:c>
      <s:c r="H158" s="6" t="n">
        <s:v>24650</s:v>
      </s:c>
      <s:c r="I158" s="6" t="n">
        <s:v>5086</s:v>
      </s:c>
      <s:c r="J158" s="6" t="n">
        <s:f>IF(COUNT(C158:I158)=7,SUM(C158:I158),"")</s:f>
        <s:v>123023</s:v>
      </s:c>
    </s:row>
    <s:row r="159">
      <s:c r="A159" s="5" t="n">
        <s:v>46272</s:v>
      </s:c>
      <s:c r="B159" s="2" t="n">
        <s:v>10</s:v>
      </s:c>
      <s:c r="C159" s="6" t="n">
        <s:v>11183</s:v>
      </s:c>
      <s:c r="D159" s="6" t="n">
        <s:v>30008</s:v>
      </s:c>
      <s:c r="E159" s="6" t="n">
        <s:v>12296</s:v>
      </s:c>
      <s:c r="F159" s="6" t="n">
        <s:v>13467</s:v>
      </s:c>
      <s:c r="G159" s="6" t="n">
        <s:v>26670</s:v>
      </s:c>
      <s:c r="H159" s="6" t="n">
        <s:v>24800</s:v>
      </s:c>
      <s:c r="I159" s="6" t="n">
        <s:v>5137</s:v>
      </s:c>
      <s:c r="J159" s="6" t="n">
        <s:f>IF(COUNT(C159:I159)=7,SUM(C159:I159),"")</s:f>
        <s:v>123561</s:v>
      </s:c>
    </s:row>
    <s:row r="160">
      <s:c r="A160" s="5" t="n">
        <s:v>46272</s:v>
      </s:c>
      <s:c r="B160" s="2" t="n">
        <s:v>11</s:v>
      </s:c>
      <s:c r="C160" s="6" t="n">
        <s:v>11110</s:v>
      </s:c>
      <s:c r="D160" s="6" t="n">
        <s:v>29696</s:v>
      </s:c>
      <s:c r="E160" s="6" t="n">
        <s:v>12075</s:v>
      </s:c>
      <s:c r="F160" s="6" t="n">
        <s:v>13427</s:v>
      </s:c>
      <s:c r="G160" s="6" t="n">
        <s:v>26799</s:v>
      </s:c>
      <s:c r="H160" s="6" t="n">
        <s:v>24172</s:v>
      </s:c>
      <s:c r="I160" s="6" t="n">
        <s:v>5220</s:v>
      </s:c>
      <s:c r="J160" s="6" t="n">
        <s:f>IF(COUNT(C160:I160)=7,SUM(C160:I160),"")</s:f>
        <s:v>122499</s:v>
      </s:c>
    </s:row>
    <s:row r="161">
      <s:c r="A161" s="5" t="n">
        <s:v>46272</s:v>
      </s:c>
      <s:c r="B161" s="2" t="n">
        <s:v>12</s:v>
      </s:c>
      <s:c r="C161" s="6" t="n">
        <s:v>11000</s:v>
      </s:c>
      <s:c r="D161" s="6" t="n">
        <s:v>29532</s:v>
      </s:c>
      <s:c r="E161" s="6" t="n">
        <s:v>12167</s:v>
      </s:c>
      <s:c r="F161" s="6" t="n">
        <s:v>13428</s:v>
      </s:c>
      <s:c r="G161" s="6" t="n">
        <s:v>26728</s:v>
      </s:c>
      <s:c r="H161" s="6" t="n">
        <s:v>24262</s:v>
      </s:c>
      <s:c r="I161" s="6" t="n">
        <s:v>5299</s:v>
      </s:c>
      <s:c r="J161" s="6" t="n">
        <s:f>IF(COUNT(C161:I161)=7,SUM(C161:I161),"")</s:f>
        <s:v>122416</s:v>
      </s:c>
    </s:row>
    <s:row r="162">
      <s:c r="A162" s="5" t="n">
        <s:v>46272</s:v>
      </s:c>
      <s:c r="B162" s="2" t="n">
        <s:v>13</s:v>
      </s:c>
      <s:c r="C162" s="6" t="n">
        <s:v>10964</s:v>
      </s:c>
      <s:c r="D162" s="6" t="n">
        <s:v>29830</s:v>
      </s:c>
      <s:c r="E162" s="6" t="n">
        <s:v>12243</s:v>
      </s:c>
      <s:c r="F162" s="6" t="n">
        <s:v>13388</s:v>
      </s:c>
      <s:c r="G162" s="6" t="n">
        <s:v>26595</s:v>
      </s:c>
      <s:c r="H162" s="6" t="n">
        <s:v>24187</s:v>
      </s:c>
      <s:c r="I162" s="6" t="n">
        <s:v>5308</s:v>
      </s:c>
      <s:c r="J162" s="6" t="n">
        <s:f>IF(COUNT(C162:I162)=7,SUM(C162:I162),"")</s:f>
        <s:v>122515</s:v>
      </s:c>
    </s:row>
    <s:row r="163">
      <s:c r="A163" s="5" t="n">
        <s:v>46272</s:v>
      </s:c>
      <s:c r="B163" s="2" t="n">
        <s:v>14</s:v>
      </s:c>
      <s:c r="C163" s="6" t="n">
        <s:v>10899</s:v>
      </s:c>
      <s:c r="D163" s="6" t="n">
        <s:v>29633</s:v>
      </s:c>
      <s:c r="E163" s="6" t="n">
        <s:v>12160</s:v>
      </s:c>
      <s:c r="F163" s="6" t="n">
        <s:v>13092</s:v>
      </s:c>
      <s:c r="G163" s="6" t="n">
        <s:v>26528</s:v>
      </s:c>
      <s:c r="H163" s="6" t="n">
        <s:v>24376</s:v>
      </s:c>
      <s:c r="I163" s="6" t="n">
        <s:v>5217</s:v>
      </s:c>
      <s:c r="J163" s="6" t="n">
        <s:f>IF(COUNT(C163:I163)=7,SUM(C163:I163),"")</s:f>
        <s:v>121905</s:v>
      </s:c>
    </s:row>
    <s:row r="164">
      <s:c r="A164" s="5" t="n">
        <s:v>46272</s:v>
      </s:c>
      <s:c r="B164" s="2" t="n">
        <s:v>15</s:v>
      </s:c>
      <s:c r="C164" s="6" t="n">
        <s:v>10986</s:v>
      </s:c>
      <s:c r="D164" s="6" t="n">
        <s:v>29606</s:v>
      </s:c>
      <s:c r="E164" s="6" t="n">
        <s:v>12168</s:v>
      </s:c>
      <s:c r="F164" s="6" t="n">
        <s:v>13071</s:v>
      </s:c>
      <s:c r="G164" s="6" t="n">
        <s:v>26337</s:v>
      </s:c>
      <s:c r="H164" s="6" t="n">
        <s:v>24580</s:v>
      </s:c>
      <s:c r="I164" s="6" t="n">
        <s:v>5058</s:v>
      </s:c>
      <s:c r="J164" s="6" t="n">
        <s:f>IF(COUNT(C164:I164)=7,SUM(C164:I164),"")</s:f>
        <s:v>121806</s:v>
      </s:c>
    </s:row>
    <s:row r="165">
      <s:c r="A165" s="5" t="n">
        <s:v>46272</s:v>
      </s:c>
      <s:c r="B165" s="2" t="n">
        <s:v>16</s:v>
      </s:c>
      <s:c r="C165" s="6" t="n">
        <s:v>10781</s:v>
      </s:c>
      <s:c r="D165" s="6" t="n">
        <s:v>29312</s:v>
      </s:c>
      <s:c r="E165" s="6" t="n">
        <s:v>11859</s:v>
      </s:c>
      <s:c r="F165" s="6" t="n">
        <s:v>12965</s:v>
      </s:c>
      <s:c r="G165" s="6" t="n">
        <s:v>26273</s:v>
      </s:c>
      <s:c r="H165" s="6" t="n">
        <s:v>24584</s:v>
      </s:c>
      <s:c r="I165" s="6" t="n">
        <s:v>4695</s:v>
      </s:c>
      <s:c r="J165" s="6" t="n">
        <s:f>IF(COUNT(C165:I165)=7,SUM(C165:I165),"")</s:f>
        <s:v>120469</s:v>
      </s:c>
    </s:row>
    <s:row r="166">
      <s:c r="A166" s="5" t="n">
        <s:v>46272</s:v>
      </s:c>
      <s:c r="B166" s="2" t="n">
        <s:v>17</s:v>
      </s:c>
      <s:c r="C166" s="6" t="n">
        <s:v>10702</s:v>
      </s:c>
      <s:c r="D166" s="6" t="n">
        <s:v>29418</s:v>
      </s:c>
      <s:c r="E166" s="6" t="n">
        <s:v>11775</s:v>
      </s:c>
      <s:c r="F166" s="6" t="n">
        <s:v>12822</s:v>
      </s:c>
      <s:c r="G166" s="6" t="n">
        <s:v>26486</s:v>
      </s:c>
      <s:c r="H166" s="6" t="n">
        <s:v>24302</s:v>
      </s:c>
      <s:c r="I166" s="6" t="n">
        <s:v>4553</s:v>
      </s:c>
      <s:c r="J166" s="6" t="n">
        <s:f>IF(COUNT(C166:I166)=7,SUM(C166:I166),"")</s:f>
        <s:v>120058</s:v>
      </s:c>
    </s:row>
    <s:row r="167">
      <s:c r="A167" s="5" t="n">
        <s:v>46272</s:v>
      </s:c>
      <s:c r="B167" s="2" t="n">
        <s:v>18</s:v>
      </s:c>
      <s:c r="C167" s="6" t="n">
        <s:v>10796</s:v>
      </s:c>
      <s:c r="D167" s="6" t="n">
        <s:v>29671</s:v>
      </s:c>
      <s:c r="E167" s="6" t="n">
        <s:v>12191</s:v>
      </s:c>
      <s:c r="F167" s="6" t="n">
        <s:v>13019</s:v>
      </s:c>
      <s:c r="G167" s="6" t="n">
        <s:v>26531</s:v>
      </s:c>
      <s:c r="H167" s="6" t="n">
        <s:v>23594</s:v>
      </s:c>
      <s:c r="I167" s="6" t="n">
        <s:v>4433</s:v>
      </s:c>
      <s:c r="J167" s="6" t="n">
        <s:f>IF(COUNT(C167:I167)=7,SUM(C167:I167),"")</s:f>
        <s:v>120235</s:v>
      </s:c>
    </s:row>
    <s:row r="168">
      <s:c r="A168" s="5" t="n">
        <s:v>46272</s:v>
      </s:c>
      <s:c r="B168" s="2" t="n">
        <s:v>19</s:v>
      </s:c>
      <s:c r="C168" s="6" t="n">
        <s:v>10927</s:v>
      </s:c>
      <s:c r="D168" s="6" t="n">
        <s:v>30006</s:v>
      </s:c>
      <s:c r="E168" s="6" t="n">
        <s:v>12307</s:v>
      </s:c>
      <s:c r="F168" s="6" t="n">
        <s:v>12926</s:v>
      </s:c>
      <s:c r="G168" s="6" t="n">
        <s:v>26311</s:v>
      </s:c>
      <s:c r="H168" s="6" t="n">
        <s:v>22692</s:v>
      </s:c>
      <s:c r="I168" s="6" t="n">
        <s:v>4427</s:v>
      </s:c>
      <s:c r="J168" s="6" t="n">
        <s:f>IF(COUNT(C168:I168)=7,SUM(C168:I168),"")</s:f>
        <s:v>119596</s:v>
      </s:c>
    </s:row>
    <s:row r="169">
      <s:c r="A169" s="5" t="n">
        <s:v>46272</s:v>
      </s:c>
      <s:c r="B169" s="2" t="n">
        <s:v>20</s:v>
      </s:c>
      <s:c r="C169" s="6" t="n">
        <s:v>11126</s:v>
      </s:c>
      <s:c r="D169" s="6" t="n">
        <s:v>29638</s:v>
      </s:c>
      <s:c r="E169" s="6" t="n">
        <s:v>12028</s:v>
      </s:c>
      <s:c r="F169" s="6" t="n">
        <s:v>12544</s:v>
      </s:c>
      <s:c r="G169" s="6" t="n">
        <s:v>25305</s:v>
      </s:c>
      <s:c r="H169" s="6" t="n">
        <s:v>22289</s:v>
      </s:c>
      <s:c r="I169" s="6" t="n">
        <s:v>4391</s:v>
      </s:c>
      <s:c r="J169" s="6" t="n">
        <s:f>IF(COUNT(C169:I169)=7,SUM(C169:I169),"")</s:f>
        <s:v>117321</s:v>
      </s:c>
    </s:row>
    <s:row r="170">
      <s:c r="A170" s="5" t="n">
        <s:v>46272</s:v>
      </s:c>
      <s:c r="B170" s="2" t="n">
        <s:v>21</s:v>
      </s:c>
      <s:c r="C170" s="6" t="n">
        <s:v>10931</s:v>
      </s:c>
      <s:c r="D170" s="6" t="n">
        <s:v>28498</s:v>
      </s:c>
      <s:c r="E170" s="6" t="n">
        <s:v>11544</s:v>
      </s:c>
      <s:c r="F170" s="6" t="n">
        <s:v>11939</s:v>
      </s:c>
      <s:c r="G170" s="6" t="n">
        <s:v>24393</s:v>
      </s:c>
      <s:c r="H170" s="6" t="n">
        <s:v>22348</s:v>
      </s:c>
      <s:c r="I170" s="6" t="n">
        <s:v>4396</s:v>
      </s:c>
      <s:c r="J170" s="6" t="n">
        <s:f>IF(COUNT(C170:I170)=7,SUM(C170:I170),"")</s:f>
        <s:v>114049</s:v>
      </s:c>
    </s:row>
    <s:row r="171">
      <s:c r="A171" s="5" t="n">
        <s:v>46272</s:v>
      </s:c>
      <s:c r="B171" s="2" t="n">
        <s:v>22</s:v>
      </s:c>
      <s:c r="C171" s="6" t="n">
        <s:v>10346</s:v>
      </s:c>
      <s:c r="D171" s="6" t="n">
        <s:v>26657</s:v>
      </s:c>
      <s:c r="E171" s="6" t="n">
        <s:v>10750</s:v>
      </s:c>
      <s:c r="F171" s="6" t="n">
        <s:v>11114</s:v>
      </s:c>
      <s:c r="G171" s="6" t="n">
        <s:v>23600</s:v>
      </s:c>
      <s:c r="H171" s="6" t="n">
        <s:v>21968</s:v>
      </s:c>
      <s:c r="I171" s="6" t="n">
        <s:v>4545</s:v>
      </s:c>
      <s:c r="J171" s="6" t="n">
        <s:f>IF(COUNT(C171:I171)=7,SUM(C171:I171),"")</s:f>
        <s:v>108980</s:v>
      </s:c>
    </s:row>
    <s:row r="172">
      <s:c r="A172" s="5" t="n">
        <s:v>46272</s:v>
      </s:c>
      <s:c r="B172" s="2" t="n">
        <s:v>23</s:v>
      </s:c>
      <s:c r="C172" s="6" t="n">
        <s:v>9909</s:v>
      </s:c>
      <s:c r="D172" s="6" t="n">
        <s:v>25028</s:v>
      </s:c>
      <s:c r="E172" s="6" t="n">
        <s:v>9900</s:v>
      </s:c>
      <s:c r="F172" s="6" t="n">
        <s:v>10950</s:v>
      </s:c>
      <s:c r="G172" s="6" t="n">
        <s:v>22884</s:v>
      </s:c>
      <s:c r="H172" s="6" t="n">
        <s:v>22033</s:v>
      </s:c>
      <s:c r="I172" s="6" t="n">
        <s:v>4788</s:v>
      </s:c>
      <s:c r="J172" s="6" t="n">
        <s:f>IF(COUNT(C172:I172)=7,SUM(C172:I172),"")</s:f>
        <s:v>105492</s:v>
      </s:c>
    </s:row>
    <s:row r="173">
      <s:c r="A173" s="5" t="n">
        <s:v>46273</s:v>
      </s:c>
      <s:c r="B173" s="2" t="n">
        <s:v>0</s:v>
      </s:c>
      <s:c r="C173" s="6" t="n">
        <s:v>9429</s:v>
      </s:c>
      <s:c r="D173" s="6" t="n">
        <s:v>23947</s:v>
      </s:c>
      <s:c r="E173" s="6" t="n">
        <s:v>9418</s:v>
      </s:c>
      <s:c r="F173" s="6" t="n">
        <s:v>10623</s:v>
      </s:c>
      <s:c r="G173" s="6" t="n">
        <s:v>23142</s:v>
      </s:c>
      <s:c r="H173" s="6" t="n">
        <s:v>22265</s:v>
      </s:c>
      <s:c r="I173" s="6" t="n">
        <s:v>4993</s:v>
      </s:c>
      <s:c r="J173" s="6" t="n">
        <s:f>IF(COUNT(C173:I173)=7,SUM(C173:I173),"")</s:f>
        <s:v>103817</s:v>
      </s:c>
    </s:row>
    <s:row r="174">
      <s:c r="A174" s="5" t="n">
        <s:v>46273</s:v>
      </s:c>
      <s:c r="B174" s="2" t="n">
        <s:v>1</s:v>
      </s:c>
      <s:c r="C174" s="6" t="n">
        <s:v>9116</s:v>
      </s:c>
      <s:c r="D174" s="6" t="n">
        <s:v>23212</s:v>
      </s:c>
      <s:c r="E174" s="6" t="n">
        <s:v>9065</s:v>
      </s:c>
      <s:c r="F174" s="6" t="n">
        <s:v>10482</s:v>
      </s:c>
      <s:c r="G174" s="6" t="n">
        <s:v>22776</s:v>
      </s:c>
      <s:c r="H174" s="6" t="n">
        <s:v>22964</s:v>
      </s:c>
      <s:c r="I174" s="6" t="n">
        <s:v>5180</s:v>
      </s:c>
      <s:c r="J174" s="6" t="n">
        <s:f>IF(COUNT(C174:I174)=7,SUM(C174:I174),"")</s:f>
        <s:v>102795</s:v>
      </s:c>
    </s:row>
    <s:row r="175">
      <s:c r="A175" s="5" t="n">
        <s:v>46273</s:v>
      </s:c>
      <s:c r="B175" s="2" t="n">
        <s:v>2</s:v>
      </s:c>
      <s:c r="C175" s="6" t="n">
        <s:v>9031</s:v>
      </s:c>
      <s:c r="D175" s="6" t="n">
        <s:v>23069</s:v>
      </s:c>
      <s:c r="E175" s="6" t="n">
        <s:v>8918</s:v>
      </s:c>
      <s:c r="F175" s="6" t="n">
        <s:v>10360</s:v>
      </s:c>
      <s:c r="G175" s="6" t="n">
        <s:v>22965</s:v>
      </s:c>
      <s:c r="H175" s="6" t="n">
        <s:v>23541</s:v>
      </s:c>
      <s:c r="I175" s="6" t="n">
        <s:v>5256</s:v>
      </s:c>
      <s:c r="J175" s="6" t="n">
        <s:f>IF(COUNT(C175:I175)=7,SUM(C175:I175),"")</s:f>
        <s:v>103140</s:v>
      </s:c>
    </s:row>
    <s:row r="176">
      <s:c r="A176" s="5" t="n">
        <s:v>46273</s:v>
      </s:c>
      <s:c r="B176" s="2" t="n">
        <s:v>3</s:v>
      </s:c>
      <s:c r="C176" s="6" t="n">
        <s:v>9004</s:v>
      </s:c>
      <s:c r="D176" s="6" t="n">
        <s:v>22792</s:v>
      </s:c>
      <s:c r="E176" s="6" t="n">
        <s:v>8871</s:v>
      </s:c>
      <s:c r="F176" s="6" t="n">
        <s:v>10516</s:v>
      </s:c>
      <s:c r="G176" s="6" t="n">
        <s:v>23408</s:v>
      </s:c>
      <s:c r="H176" s="6" t="n">
        <s:v>23567</s:v>
      </s:c>
      <s:c r="I176" s="6" t="n">
        <s:v>5116</s:v>
      </s:c>
      <s:c r="J176" s="6" t="n">
        <s:f>IF(COUNT(C176:I176)=7,SUM(C176:I176),"")</s:f>
        <s:v>103274</s:v>
      </s:c>
    </s:row>
    <s:row r="177">
      <s:c r="A177" s="5" t="n">
        <s:v>46273</s:v>
      </s:c>
      <s:c r="B177" s="2" t="n">
        <s:v>4</s:v>
      </s:c>
      <s:c r="C177" s="6" t="n">
        <s:v>9006</s:v>
      </s:c>
      <s:c r="D177" s="6" t="n">
        <s:v>23317</s:v>
      </s:c>
      <s:c r="E177" s="6" t="n">
        <s:v>9195</s:v>
      </s:c>
      <s:c r="F177" s="6" t="n">
        <s:v>10820</s:v>
      </s:c>
      <s:c r="G177" s="6" t="n">
        <s:v>24332</s:v>
      </s:c>
      <s:c r="H177" s="6" t="n">
        <s:v>24052</s:v>
      </s:c>
      <s:c r="I177" s="6" t="n">
        <s:v>5088</s:v>
      </s:c>
      <s:c r="J177" s="6" t="n">
        <s:f>IF(COUNT(C177:I177)=7,SUM(C177:I177),"")</s:f>
        <s:v>105810</s:v>
      </s:c>
    </s:row>
    <s:row r="178">
      <s:c r="A178" s="5" t="n">
        <s:v>46273</s:v>
      </s:c>
      <s:c r="B178" s="2" t="n">
        <s:v>5</s:v>
      </s:c>
      <s:c r="C178" s="6" t="n">
        <s:v>9202</s:v>
      </s:c>
      <s:c r="D178" s="6" t="n">
        <s:v>24158</s:v>
      </s:c>
      <s:c r="E178" s="6" t="n">
        <s:v>9387</s:v>
      </s:c>
      <s:c r="F178" s="6" t="n">
        <s:v>11205</s:v>
      </s:c>
      <s:c r="G178" s="6" t="n">
        <s:v>25273</s:v>
      </s:c>
      <s:c r="H178" s="6" t="n">
        <s:v>24322</s:v>
      </s:c>
      <s:c r="I178" s="6" t="n">
        <s:v>5010</s:v>
      </s:c>
      <s:c r="J178" s="6" t="n">
        <s:f>IF(COUNT(C178:I178)=7,SUM(C178:I178),"")</s:f>
        <s:v>108557</s:v>
      </s:c>
    </s:row>
    <s:row r="179">
      <s:c r="A179" s="5" t="n">
        <s:v>46273</s:v>
      </s:c>
      <s:c r="B179" s="2" t="n">
        <s:v>6</s:v>
      </s:c>
      <s:c r="C179" s="6" t="n">
        <s:v>9585</s:v>
      </s:c>
      <s:c r="D179" s="6" t="n">
        <s:v>26239</s:v>
      </s:c>
      <s:c r="E179" s="6" t="n">
        <s:v>10163</s:v>
      </s:c>
      <s:c r="F179" s="6" t="n">
        <s:v>12271</s:v>
      </s:c>
      <s:c r="G179" s="6" t="n">
        <s:v>26182</s:v>
      </s:c>
      <s:c r="H179" s="6" t="n">
        <s:v>24068</s:v>
      </s:c>
      <s:c r="I179" s="6" t="n">
        <s:v>4994</s:v>
      </s:c>
      <s:c r="J179" s="6" t="n">
        <s:f>IF(COUNT(C179:I179)=7,SUM(C179:I179),"")</s:f>
        <s:v>113502</s:v>
      </s:c>
    </s:row>
    <s:row r="180">
      <s:c r="A180" s="5" t="n">
        <s:v>46273</s:v>
      </s:c>
      <s:c r="B180" s="2" t="n">
        <s:v>7</s:v>
      </s:c>
      <s:c r="C180" s="6" t="n">
        <s:v>10157</s:v>
      </s:c>
      <s:c r="D180" s="6" t="n">
        <s:v>27576</s:v>
      </s:c>
      <s:c r="E180" s="6" t="n">
        <s:v>11099</s:v>
      </s:c>
      <s:c r="F180" s="6" t="n">
        <s:v>13167</s:v>
      </s:c>
      <s:c r="G180" s="6" t="n">
        <s:v>26502</s:v>
      </s:c>
      <s:c r="H180" s="6" t="n">
        <s:v>23940</s:v>
      </s:c>
      <s:c r="I180" s="6" t="n">
        <s:v>4926</s:v>
      </s:c>
      <s:c r="J180" s="6" t="n">
        <s:f>IF(COUNT(C180:I180)=7,SUM(C180:I180),"")</s:f>
        <s:v>117367</s:v>
      </s:c>
    </s:row>
    <s:row r="181">
      <s:c r="A181" s="5" t="n">
        <s:v>46273</s:v>
      </s:c>
      <s:c r="B181" s="2" t="n">
        <s:v>8</s:v>
      </s:c>
      <s:c r="C181" s="6" t="n">
        <s:v>10820</s:v>
      </s:c>
      <s:c r="D181" s="6" t="n">
        <s:v>29627</s:v>
      </s:c>
      <s:c r="E181" s="6" t="n">
        <s:v>11669</s:v>
      </s:c>
      <s:c r="F181" s="6" t="n">
        <s:v>13547</s:v>
      </s:c>
      <s:c r="G181" s="6" t="n">
        <s:v>26469</s:v>
      </s:c>
      <s:c r="H181" s="6" t="n">
        <s:v>24533</s:v>
      </s:c>
      <s:c r="I181" s="6" t="n">
        <s:v>5025</s:v>
      </s:c>
      <s:c r="J181" s="6" t="n">
        <s:f>IF(COUNT(C181:I181)=7,SUM(C181:I181),"")</s:f>
        <s:v>121690</s:v>
      </s:c>
    </s:row>
    <s:row r="182">
      <s:c r="A182" s="5" t="n">
        <s:v>46273</s:v>
      </s:c>
      <s:c r="B182" s="2" t="n">
        <s:v>9</s:v>
      </s:c>
      <s:c r="C182" s="6" t="n">
        <s:v>11008</s:v>
      </s:c>
      <s:c r="D182" s="6" t="n">
        <s:v>30455</s:v>
      </s:c>
      <s:c r="E182" s="6" t="n">
        <s:v>12089</s:v>
      </s:c>
      <s:c r="F182" s="6" t="n">
        <s:v>13479</s:v>
      </s:c>
      <s:c r="G182" s="6" t="n">
        <s:v>26443</s:v>
      </s:c>
      <s:c r="H182" s="6" t="n">
        <s:v>24407</s:v>
      </s:c>
      <s:c r="I182" s="6" t="n">
        <s:v>4965</s:v>
      </s:c>
      <s:c r="J182" s="6" t="n">
        <s:f>IF(COUNT(C182:I182)=7,SUM(C182:I182),"")</s:f>
        <s:v>122846</s:v>
      </s:c>
    </s:row>
    <s:row r="183">
      <s:c r="A183" s="5" t="n">
        <s:v>46273</s:v>
      </s:c>
      <s:c r="B183" s="2" t="n">
        <s:v>10</s:v>
      </s:c>
      <s:c r="C183" s="6" t="n">
        <s:v>11025</s:v>
      </s:c>
      <s:c r="D183" s="6" t="n">
        <s:v>30020</s:v>
      </s:c>
      <s:c r="E183" s="6" t="n">
        <s:v>12008</s:v>
      </s:c>
      <s:c r="F183" s="6" t="n">
        <s:v>13419</s:v>
      </s:c>
      <s:c r="G183" s="6" t="n">
        <s:v>26265</s:v>
      </s:c>
      <s:c r="H183" s="6" t="n">
        <s:v>24562</s:v>
      </s:c>
      <s:c r="I183" s="6" t="n">
        <s:v>5074</s:v>
      </s:c>
      <s:c r="J183" s="6" t="n">
        <s:f>IF(COUNT(C183:I183)=7,SUM(C183:I183),"")</s:f>
        <s:v>122373</s:v>
      </s:c>
    </s:row>
    <s:row r="184">
      <s:c r="A184" s="5" t="n">
        <s:v>46273</s:v>
      </s:c>
      <s:c r="B184" s="2" t="n">
        <s:v>11</s:v>
      </s:c>
      <s:c r="C184" s="6" t="n">
        <s:v>10968</s:v>
      </s:c>
      <s:c r="D184" s="6" t="n">
        <s:v>29986</s:v>
      </s:c>
      <s:c r="E184" s="6" t="n">
        <s:v>11923</s:v>
      </s:c>
      <s:c r="F184" s="6" t="n">
        <s:v>13326</s:v>
      </s:c>
      <s:c r="G184" s="6" t="n">
        <s:v>26266</s:v>
      </s:c>
      <s:c r="H184" s="6" t="n">
        <s:v>24226</s:v>
      </s:c>
      <s:c r="I184" s="6" t="n">
        <s:v>5060</s:v>
      </s:c>
      <s:c r="J184" s="6" t="n">
        <s:f>IF(COUNT(C184:I184)=7,SUM(C184:I184),"")</s:f>
        <s:v>121755</s:v>
      </s:c>
    </s:row>
    <s:row r="185">
      <s:c r="A185" s="5" t="n">
        <s:v>46273</s:v>
      </s:c>
      <s:c r="B185" s="2" t="n">
        <s:v>12</s:v>
      </s:c>
      <s:c r="C185" s="6" t="n">
        <s:v>10877</s:v>
      </s:c>
      <s:c r="D185" s="6" t="n">
        <s:v>29866</s:v>
      </s:c>
      <s:c r="E185" s="6" t="n">
        <s:v>11963</s:v>
      </s:c>
      <s:c r="F185" s="6" t="n">
        <s:v>13506</s:v>
      </s:c>
      <s:c r="G185" s="6" t="n">
        <s:v>26094</s:v>
      </s:c>
      <s:c r="H185" s="6" t="n">
        <s:v>24109</s:v>
      </s:c>
      <s:c r="I185" s="6" t="n">
        <s:v>5280</s:v>
      </s:c>
      <s:c r="J185" s="6" t="n">
        <s:f>IF(COUNT(C185:I185)=7,SUM(C185:I185),"")</s:f>
        <s:v>121695</s:v>
      </s:c>
    </s:row>
    <s:row r="186">
      <s:c r="A186" s="5" t="n">
        <s:v>46273</s:v>
      </s:c>
      <s:c r="B186" s="2" t="n">
        <s:v>13</s:v>
      </s:c>
      <s:c r="C186" s="6" t="n">
        <s:v>10906</s:v>
      </s:c>
      <s:c r="D186" s="6" t="n">
        <s:v>30028</s:v>
      </s:c>
      <s:c r="E186" s="6" t="n">
        <s:v>12137</s:v>
      </s:c>
      <s:c r="F186" s="6" t="n">
        <s:v>13555</s:v>
      </s:c>
      <s:c r="G186" s="6" t="n">
        <s:v>26235</s:v>
      </s:c>
      <s:c r="H186" s="6" t="n">
        <s:v>24345</s:v>
      </s:c>
      <s:c r="I186" s="6" t="n">
        <s:v>5368</s:v>
      </s:c>
      <s:c r="J186" s="6" t="n">
        <s:f>IF(COUNT(C186:I186)=7,SUM(C186:I186),"")</s:f>
        <s:v>122574</s:v>
      </s:c>
    </s:row>
    <s:row r="187">
      <s:c r="A187" s="5" t="n">
        <s:v>46273</s:v>
      </s:c>
      <s:c r="B187" s="2" t="n">
        <s:v>14</s:v>
      </s:c>
      <s:c r="C187" s="6" t="n">
        <s:v>10823</s:v>
      </s:c>
      <s:c r="D187" s="6" t="n">
        <s:v>29809</s:v>
      </s:c>
      <s:c r="E187" s="6" t="n">
        <s:v>11936</s:v>
      </s:c>
      <s:c r="F187" s="6" t="n">
        <s:v>13278</s:v>
      </s:c>
      <s:c r="G187" s="6" t="n">
        <s:v>26200</s:v>
      </s:c>
      <s:c r="H187" s="6" t="n">
        <s:v>24680</s:v>
      </s:c>
      <s:c r="I187" s="6" t="n">
        <s:v>5174</s:v>
      </s:c>
      <s:c r="J187" s="6" t="n">
        <s:f>IF(COUNT(C187:I187)=7,SUM(C187:I187),"")</s:f>
        <s:v>121900</s:v>
      </s:c>
    </s:row>
    <s:row r="188">
      <s:c r="A188" s="5" t="n">
        <s:v>46273</s:v>
      </s:c>
      <s:c r="B188" s="2" t="n">
        <s:v>15</s:v>
      </s:c>
      <s:c r="C188" s="6" t="n">
        <s:v>10909</s:v>
      </s:c>
      <s:c r="D188" s="6" t="n">
        <s:v>29618</s:v>
      </s:c>
      <s:c r="E188" s="6" t="n">
        <s:v>11844</s:v>
      </s:c>
      <s:c r="F188" s="6" t="n">
        <s:v>13229</s:v>
      </s:c>
      <s:c r="G188" s="6" t="n">
        <s:v>26190</s:v>
      </s:c>
      <s:c r="H188" s="6" t="n">
        <s:v>24624</s:v>
      </s:c>
      <s:c r="I188" s="6" t="n">
        <s:v>4977</s:v>
      </s:c>
      <s:c r="J188" s="6" t="n">
        <s:f>IF(COUNT(C188:I188)=7,SUM(C188:I188),"")</s:f>
        <s:v>121391</s:v>
      </s:c>
    </s:row>
    <s:row r="189">
      <s:c r="A189" s="5" t="n">
        <s:v>46273</s:v>
      </s:c>
      <s:c r="B189" s="2" t="n">
        <s:v>16</s:v>
      </s:c>
      <s:c r="C189" s="6" t="n">
        <s:v>10739</s:v>
      </s:c>
      <s:c r="D189" s="6" t="n">
        <s:v>29077</s:v>
      </s:c>
      <s:c r="E189" s="6" t="n">
        <s:v>11837</s:v>
      </s:c>
      <s:c r="F189" s="6" t="n">
        <s:v>13194</s:v>
      </s:c>
      <s:c r="G189" s="6" t="n">
        <s:v>25854</s:v>
      </s:c>
      <s:c r="H189" s="6" t="n">
        <s:v>24637</s:v>
      </s:c>
      <s:c r="I189" s="6" t="n">
        <s:v>4757</s:v>
      </s:c>
      <s:c r="J189" s="6" t="n">
        <s:f>IF(COUNT(C189:I189)=7,SUM(C189:I189),"")</s:f>
        <s:v>120095</s:v>
      </s:c>
    </s:row>
    <s:row r="190">
      <s:c r="A190" s="5" t="n">
        <s:v>46273</s:v>
      </s:c>
      <s:c r="B190" s="2" t="n">
        <s:v>17</s:v>
      </s:c>
      <s:c r="C190" s="6" t="n">
        <s:v>10730</s:v>
      </s:c>
      <s:c r="D190" s="6" t="n">
        <s:v>29039</s:v>
      </s:c>
      <s:c r="E190" s="6" t="n">
        <s:v>11857</s:v>
      </s:c>
      <s:c r="F190" s="6" t="n">
        <s:v>13169</s:v>
      </s:c>
      <s:c r="G190" s="6" t="n">
        <s:v>26147</s:v>
      </s:c>
      <s:c r="H190" s="6" t="n">
        <s:v>24420</s:v>
      </s:c>
      <s:c r="I190" s="6" t="n">
        <s:v>4483</s:v>
      </s:c>
      <s:c r="J190" s="6" t="n">
        <s:f>IF(COUNT(C190:I190)=7,SUM(C190:I190),"")</s:f>
        <s:v>119845</s:v>
      </s:c>
    </s:row>
    <s:row r="191">
      <s:c r="A191" s="5" t="n">
        <s:v>46273</s:v>
      </s:c>
      <s:c r="B191" s="2" t="n">
        <s:v>18</s:v>
      </s:c>
      <s:c r="C191" s="6" t="n">
        <s:v>10729</s:v>
      </s:c>
      <s:c r="D191" s="6" t="n">
        <s:v>29681</s:v>
      </s:c>
      <s:c r="E191" s="6" t="n">
        <s:v>12216</s:v>
      </s:c>
      <s:c r="F191" s="6" t="n">
        <s:v>13126</s:v>
      </s:c>
      <s:c r="G191" s="6" t="n">
        <s:v>26496</s:v>
      </s:c>
      <s:c r="H191" s="6" t="n">
        <s:v>23631</s:v>
      </s:c>
      <s:c r="I191" s="6" t="n">
        <s:v>4470</s:v>
      </s:c>
      <s:c r="J191" s="6" t="n">
        <s:f>IF(COUNT(C191:I191)=7,SUM(C191:I191),"")</s:f>
        <s:v>120349</s:v>
      </s:c>
    </s:row>
    <s:row r="192">
      <s:c r="A192" s="5" t="n">
        <s:v>46273</s:v>
      </s:c>
      <s:c r="B192" s="2" t="n">
        <s:v>19</s:v>
      </s:c>
      <s:c r="C192" s="6" t="n">
        <s:v>10857</s:v>
      </s:c>
      <s:c r="D192" s="6" t="n">
        <s:v>30399</s:v>
      </s:c>
      <s:c r="E192" s="6" t="n">
        <s:v>12458</s:v>
      </s:c>
      <s:c r="F192" s="6" t="n">
        <s:v>13054</s:v>
      </s:c>
      <s:c r="G192" s="6" t="n">
        <s:v>25813</s:v>
      </s:c>
      <s:c r="H192" s="6" t="n">
        <s:v>22841</s:v>
      </s:c>
      <s:c r="I192" s="6" t="n">
        <s:v>4214</s:v>
      </s:c>
      <s:c r="J192" s="6" t="n">
        <s:f>IF(COUNT(C192:I192)=7,SUM(C192:I192),"")</s:f>
        <s:v>119636</s:v>
      </s:c>
    </s:row>
    <s:row r="193">
      <s:c r="A193" s="5" t="n">
        <s:v>46273</s:v>
      </s:c>
      <s:c r="B193" s="2" t="n">
        <s:v>20</s:v>
      </s:c>
      <s:c r="C193" s="6" t="n">
        <s:v>10967</s:v>
      </s:c>
      <s:c r="D193" s="6" t="n">
        <s:v>29808</s:v>
      </s:c>
      <s:c r="E193" s="6" t="n">
        <s:v>12043</s:v>
      </s:c>
      <s:c r="F193" s="6" t="n">
        <s:v>12575</s:v>
      </s:c>
      <s:c r="G193" s="6" t="n">
        <s:v>25147</s:v>
      </s:c>
      <s:c r="H193" s="6" t="n">
        <s:v>22525</s:v>
      </s:c>
      <s:c r="I193" s="6" t="n">
        <s:v>4328</s:v>
      </s:c>
      <s:c r="J193" s="6" t="n">
        <s:f>IF(COUNT(C193:I193)=7,SUM(C193:I193),"")</s:f>
        <s:v>117393</s:v>
      </s:c>
    </s:row>
    <s:row r="194">
      <s:c r="A194" s="5" t="n">
        <s:v>46273</s:v>
      </s:c>
      <s:c r="B194" s="2" t="n">
        <s:v>21</s:v>
      </s:c>
      <s:c r="C194" s="6" t="n">
        <s:v>10715</s:v>
      </s:c>
      <s:c r="D194" s="6" t="n">
        <s:v>28796</s:v>
      </s:c>
      <s:c r="E194" s="6" t="n">
        <s:v>11513</s:v>
      </s:c>
      <s:c r="F194" s="6" t="n">
        <s:v>12100</s:v>
      </s:c>
      <s:c r="G194" s="6" t="n">
        <s:v>24365</s:v>
      </s:c>
      <s:c r="H194" s="6" t="n">
        <s:v>22169</s:v>
      </s:c>
      <s:c r="I194" s="6" t="n">
        <s:v>4378</s:v>
      </s:c>
      <s:c r="J194" s="6" t="n">
        <s:f>IF(COUNT(C194:I194)=7,SUM(C194:I194),"")</s:f>
        <s:v>114036</s:v>
      </s:c>
    </s:row>
    <s:row r="195">
      <s:c r="A195" s="5" t="n">
        <s:v>46273</s:v>
      </s:c>
      <s:c r="B195" s="2" t="n">
        <s:v>22</s:v>
      </s:c>
      <s:c r="C195" s="6" t="n">
        <s:v>10185</s:v>
      </s:c>
      <s:c r="D195" s="6" t="n">
        <s:v>26909</s:v>
      </s:c>
      <s:c r="E195" s="6" t="n">
        <s:v>10550</s:v>
      </s:c>
      <s:c r="F195" s="6" t="n">
        <s:v>11422</s:v>
      </s:c>
      <s:c r="G195" s="6" t="n">
        <s:v>23554</s:v>
      </s:c>
      <s:c r="H195" s="6" t="n">
        <s:v>22271</s:v>
      </s:c>
      <s:c r="I195" s="6" t="n">
        <s:v>4558</s:v>
      </s:c>
      <s:c r="J195" s="6" t="n">
        <s:f>IF(COUNT(C195:I195)=7,SUM(C195:I195),"")</s:f>
        <s:v>109449</s:v>
      </s:c>
    </s:row>
    <s:row r="196">
      <s:c r="A196" s="5" t="n">
        <s:v>46273</s:v>
      </s:c>
      <s:c r="B196" s="2" t="n">
        <s:v>23</s:v>
      </s:c>
      <s:c r="C196" s="6" t="n">
        <s:v>9616</s:v>
      </s:c>
      <s:c r="D196" s="6" t="n">
        <s:v>25383</s:v>
      </s:c>
      <s:c r="E196" s="6" t="n">
        <s:v>9712</s:v>
      </s:c>
      <s:c r="F196" s="6" t="n">
        <s:v>10735</s:v>
      </s:c>
      <s:c r="G196" s="6" t="n">
        <s:v>22972</s:v>
      </s:c>
      <s:c r="H196" s="6" t="n">
        <s:v>22114</s:v>
      </s:c>
      <s:c r="I196" s="6" t="n">
        <s:v>4716</s:v>
      </s:c>
      <s:c r="J196" s="6" t="n">
        <s:f>IF(COUNT(C196:I196)=7,SUM(C196:I196),"")</s:f>
        <s:v>105248</s:v>
      </s:c>
    </s:row>
    <s:row r="197">
      <s:c r="A197" s="5" t="n">
        <s:v>46274</s:v>
      </s:c>
      <s:c r="B197" s="2" t="n">
        <s:v>0</s:v>
      </s:c>
      <s:c r="C197" s="6" t="n">
        <s:v>9119</s:v>
      </s:c>
      <s:c r="D197" s="6" t="n">
        <s:v>24330</s:v>
      </s:c>
      <s:c r="E197" s="6" t="n">
        <s:v>9302</s:v>
      </s:c>
      <s:c r="F197" s="6" t="n">
        <s:v>10562</s:v>
      </s:c>
      <s:c r="G197" s="6" t="n">
        <s:v>22897</s:v>
      </s:c>
      <s:c r="H197" s="6" t="n">
        <s:v>22446</s:v>
      </s:c>
      <s:c r="I197" s="6" t="n">
        <s:v>4899</s:v>
      </s:c>
      <s:c r="J197" s="6" t="n">
        <s:f>IF(COUNT(C197:I197)=7,SUM(C197:I197),"")</s:f>
        <s:v>103555</s:v>
      </s:c>
    </s:row>
    <s:row r="198">
      <s:c r="A198" s="5" t="n">
        <s:v>46274</s:v>
      </s:c>
      <s:c r="B198" s="2" t="n">
        <s:v>1</s:v>
      </s:c>
      <s:c r="C198" s="6" t="n">
        <s:v>8885</s:v>
      </s:c>
      <s:c r="D198" s="6" t="n">
        <s:v>23578</s:v>
      </s:c>
      <s:c r="E198" s="6" t="n">
        <s:v>9048</s:v>
      </s:c>
      <s:c r="F198" s="6" t="n">
        <s:v>10563</s:v>
      </s:c>
      <s:c r="G198" s="6" t="n">
        <s:v>22668</s:v>
      </s:c>
      <s:c r="H198" s="6" t="n">
        <s:v>22864</s:v>
      </s:c>
      <s:c r="I198" s="6" t="n">
        <s:v>5234</s:v>
      </s:c>
      <s:c r="J198" s="6" t="n">
        <s:f>IF(COUNT(C198:I198)=7,SUM(C198:I198),"")</s:f>
        <s:v>102840</s:v>
      </s:c>
    </s:row>
    <s:row r="199">
      <s:c r="A199" s="5" t="n">
        <s:v>46274</s:v>
      </s:c>
      <s:c r="B199" s="2" t="n">
        <s:v>2</s:v>
      </s:c>
      <s:c r="C199" s="6" t="n">
        <s:v>8654</s:v>
      </s:c>
      <s:c r="D199" s="6" t="n">
        <s:v>23332</s:v>
      </s:c>
      <s:c r="E199" s="6" t="n">
        <s:v>8906</s:v>
      </s:c>
      <s:c r="F199" s="6" t="n">
        <s:v>10558</s:v>
      </s:c>
      <s:c r="G199" s="6" t="n">
        <s:v>22841</s:v>
      </s:c>
      <s:c r="H199" s="6" t="n">
        <s:v>23696</s:v>
      </s:c>
      <s:c r="I199" s="6" t="n">
        <s:v>5190</s:v>
      </s:c>
      <s:c r="J199" s="6" t="n">
        <s:f>IF(COUNT(C199:I199)=7,SUM(C199:I199),"")</s:f>
        <s:v>103177</s:v>
      </s:c>
    </s:row>
    <s:row r="200">
      <s:c r="A200" s="5" t="n">
        <s:v>46274</s:v>
      </s:c>
      <s:c r="B200" s="2" t="n">
        <s:v>3</s:v>
      </s:c>
      <s:c r="C200" s="6" t="n">
        <s:v>8674</s:v>
      </s:c>
      <s:c r="D200" s="6" t="n">
        <s:v>23169</s:v>
      </s:c>
      <s:c r="E200" s="6" t="n">
        <s:v>8905</s:v>
      </s:c>
      <s:c r="F200" s="6" t="n">
        <s:v>10576</s:v>
      </s:c>
      <s:c r="G200" s="6" t="n">
        <s:v>23411</s:v>
      </s:c>
      <s:c r="H200" s="6" t="n">
        <s:v>23692</s:v>
      </s:c>
      <s:c r="I200" s="6" t="n">
        <s:v>5231</s:v>
      </s:c>
      <s:c r="J200" s="6" t="n">
        <s:f>IF(COUNT(C200:I200)=7,SUM(C200:I200),"")</s:f>
        <s:v>103658</s:v>
      </s:c>
    </s:row>
    <s:row r="201">
      <s:c r="A201" s="5" t="n">
        <s:v>46274</s:v>
      </s:c>
      <s:c r="B201" s="2" t="n">
        <s:v>4</s:v>
      </s:c>
      <s:c r="C201" s="6" t="n">
        <s:v>8775</s:v>
      </s:c>
      <s:c r="D201" s="6" t="n">
        <s:v>23654</s:v>
      </s:c>
      <s:c r="E201" s="6" t="n">
        <s:v>9056</s:v>
      </s:c>
      <s:c r="F201" s="6" t="n">
        <s:v>10689</s:v>
      </s:c>
      <s:c r="G201" s="6" t="n">
        <s:v>24271</s:v>
      </s:c>
      <s:c r="H201" s="6" t="n">
        <s:v>24266</s:v>
      </s:c>
      <s:c r="I201" s="6" t="n">
        <s:v>5162</s:v>
      </s:c>
      <s:c r="J201" s="6" t="n">
        <s:f>IF(COUNT(C201:I201)=7,SUM(C201:I201),"")</s:f>
        <s:v>105873</s:v>
      </s:c>
    </s:row>
    <s:row r="202">
      <s:c r="A202" s="5" t="n">
        <s:v>46274</s:v>
      </s:c>
      <s:c r="B202" s="2" t="n">
        <s:v>5</s:v>
      </s:c>
      <s:c r="C202" s="6" t="n">
        <s:v>8958</s:v>
      </s:c>
      <s:c r="D202" s="6" t="n">
        <s:v>24471</s:v>
      </s:c>
      <s:c r="E202" s="6" t="n">
        <s:v>9266</s:v>
      </s:c>
      <s:c r="F202" s="6" t="n">
        <s:v>11409</s:v>
      </s:c>
      <s:c r="G202" s="6" t="n">
        <s:v>25300</s:v>
      </s:c>
      <s:c r="H202" s="6" t="n">
        <s:v>24391</s:v>
      </s:c>
      <s:c r="I202" s="6" t="n">
        <s:v>5070</s:v>
      </s:c>
      <s:c r="J202" s="6" t="n">
        <s:f>IF(COUNT(C202:I202)=7,SUM(C202:I202),"")</s:f>
        <s:v>108865</s:v>
      </s:c>
    </s:row>
    <s:row r="203">
      <s:c r="A203" s="5" t="n">
        <s:v>46274</s:v>
      </s:c>
      <s:c r="B203" s="2" t="n">
        <s:v>6</s:v>
      </s:c>
      <s:c r="C203" s="6" t="n">
        <s:v>9337</s:v>
      </s:c>
      <s:c r="D203" s="6" t="n">
        <s:v>26435</s:v>
      </s:c>
      <s:c r="E203" s="6" t="n">
        <s:v>10144</s:v>
      </s:c>
      <s:c r="F203" s="6" t="n">
        <s:v>12437</s:v>
      </s:c>
      <s:c r="G203" s="6" t="n">
        <s:v>26032</s:v>
      </s:c>
      <s:c r="H203" s="6" t="n">
        <s:v>24317</s:v>
      </s:c>
      <s:c r="I203" s="6" t="n">
        <s:v>5107</s:v>
      </s:c>
      <s:c r="J203" s="6" t="n">
        <s:f>IF(COUNT(C203:I203)=7,SUM(C203:I203),"")</s:f>
        <s:v>113809</s:v>
      </s:c>
    </s:row>
    <s:row r="204">
      <s:c r="A204" s="5" t="n">
        <s:v>46274</s:v>
      </s:c>
      <s:c r="B204" s="2" t="n">
        <s:v>7</s:v>
      </s:c>
      <s:c r="C204" s="6" t="n">
        <s:v>9886</s:v>
      </s:c>
      <s:c r="D204" s="6" t="n">
        <s:v>27721</s:v>
      </s:c>
      <s:c r="E204" s="6" t="n">
        <s:v>11003</s:v>
      </s:c>
      <s:c r="F204" s="6" t="n">
        <s:v>13239</s:v>
      </s:c>
      <s:c r="G204" s="6" t="n">
        <s:v>26283</s:v>
      </s:c>
      <s:c r="H204" s="6" t="n">
        <s:v>24303</s:v>
      </s:c>
      <s:c r="I204" s="6" t="n">
        <s:v>5088</s:v>
      </s:c>
      <s:c r="J204" s="6" t="n">
        <s:f>IF(COUNT(C204:I204)=7,SUM(C204:I204),"")</s:f>
        <s:v>117523</s:v>
      </s:c>
    </s:row>
    <s:row r="205">
      <s:c r="A205" s="5" t="n">
        <s:v>46274</s:v>
      </s:c>
      <s:c r="B205" s="2" t="n">
        <s:v>8</s:v>
      </s:c>
      <s:c r="C205" s="6" t="n">
        <s:v>10513</s:v>
      </s:c>
      <s:c r="D205" s="6" t="n">
        <s:v>29517</s:v>
      </s:c>
      <s:c r="E205" s="6" t="n">
        <s:v>11731</s:v>
      </s:c>
      <s:c r="F205" s="6" t="n">
        <s:v>13554</s:v>
      </s:c>
      <s:c r="G205" s="6" t="n">
        <s:v>26358</s:v>
      </s:c>
      <s:c r="H205" s="6" t="n">
        <s:v>24742</s:v>
      </s:c>
      <s:c r="I205" s="6" t="n">
        <s:v>5092</s:v>
      </s:c>
      <s:c r="J205" s="6" t="n">
        <s:f>IF(COUNT(C205:I205)=7,SUM(C205:I205),"")</s:f>
        <s:v>121507</s:v>
      </s:c>
    </s:row>
    <s:row r="206">
      <s:c r="A206" s="5" t="n">
        <s:v>46274</s:v>
      </s:c>
      <s:c r="B206" s="2" t="n">
        <s:v>9</s:v>
      </s:c>
      <s:c r="C206" s="6" t="n">
        <s:v>10765</s:v>
      </s:c>
      <s:c r="D206" s="6" t="n">
        <s:v>29889</s:v>
      </s:c>
      <s:c r="E206" s="6" t="n">
        <s:v>11993</s:v>
      </s:c>
      <s:c r="F206" s="6" t="n">
        <s:v>13752</s:v>
      </s:c>
      <s:c r="G206" s="6" t="n">
        <s:v>26201</s:v>
      </s:c>
      <s:c r="H206" s="6" t="n">
        <s:v>24673</s:v>
      </s:c>
      <s:c r="I206" s="6" t="n">
        <s:v>4957</s:v>
      </s:c>
      <s:c r="J206" s="6" t="n">
        <s:f>IF(COUNT(C206:I206)=7,SUM(C206:I206),"")</s:f>
        <s:v>122230</s:v>
      </s:c>
    </s:row>
    <s:row r="207">
      <s:c r="A207" s="5" t="n">
        <s:v>46274</s:v>
      </s:c>
      <s:c r="B207" s="2" t="n">
        <s:v>10</s:v>
      </s:c>
      <s:c r="C207" s="6" t="n">
        <s:v>10842</s:v>
      </s:c>
      <s:c r="D207" s="6" t="n">
        <s:v>29751</s:v>
      </s:c>
      <s:c r="E207" s="6" t="n">
        <s:v>12049</s:v>
      </s:c>
      <s:c r="F207" s="6" t="n">
        <s:v>13534</s:v>
      </s:c>
      <s:c r="G207" s="6" t="n">
        <s:v>26148</s:v>
      </s:c>
      <s:c r="H207" s="6" t="n">
        <s:v>24875</s:v>
      </s:c>
      <s:c r="I207" s="6" t="n">
        <s:v>5221</s:v>
      </s:c>
      <s:c r="J207" s="6" t="n">
        <s:f>IF(COUNT(C207:I207)=7,SUM(C207:I207),"")</s:f>
        <s:v>122420</s:v>
      </s:c>
    </s:row>
    <s:row r="208">
      <s:c r="A208" s="5" t="n">
        <s:v>46274</s:v>
      </s:c>
      <s:c r="B208" s="2" t="n">
        <s:v>11</s:v>
      </s:c>
      <s:c r="C208" s="6" t="n">
        <s:v>10665</s:v>
      </s:c>
      <s:c r="D208" s="6" t="n">
        <s:v>29583</s:v>
      </s:c>
      <s:c r="E208" s="6" t="n">
        <s:v>11891</s:v>
      </s:c>
      <s:c r="F208" s="6" t="n">
        <s:v>13453</s:v>
      </s:c>
      <s:c r="G208" s="6" t="n">
        <s:v>26141</s:v>
      </s:c>
      <s:c r="H208" s="6" t="n">
        <s:v>24161</s:v>
      </s:c>
      <s:c r="I208" s="6" t="n">
        <s:v>5157</s:v>
      </s:c>
      <s:c r="J208" s="6" t="n">
        <s:f>IF(COUNT(C208:I208)=7,SUM(C208:I208),"")</s:f>
        <s:v>121051</s:v>
      </s:c>
    </s:row>
    <s:row r="209">
      <s:c r="A209" s="5" t="n">
        <s:v>46274</s:v>
      </s:c>
      <s:c r="B209" s="2" t="n">
        <s:v>12</s:v>
      </s:c>
      <s:c r="C209" s="6" t="n">
        <s:v>10655</s:v>
      </s:c>
      <s:c r="D209" s="6" t="n">
        <s:v>29449</s:v>
      </s:c>
      <s:c r="E209" s="6" t="n">
        <s:v>12004</s:v>
      </s:c>
      <s:c r="F209" s="6" t="n">
        <s:v>13384</s:v>
      </s:c>
      <s:c r="G209" s="6" t="n">
        <s:v>26223</s:v>
      </s:c>
      <s:c r="H209" s="6" t="n">
        <s:v>24184</s:v>
      </s:c>
      <s:c r="I209" s="6" t="n">
        <s:v>5296</s:v>
      </s:c>
      <s:c r="J209" s="6" t="n">
        <s:f>IF(COUNT(C209:I209)=7,SUM(C209:I209),"")</s:f>
        <s:v>121195</s:v>
      </s:c>
    </s:row>
    <s:row r="210">
      <s:c r="A210" s="5" t="n">
        <s:v>46274</s:v>
      </s:c>
      <s:c r="B210" s="2" t="n">
        <s:v>13</s:v>
      </s:c>
      <s:c r="C210" s="6" t="n">
        <s:v>10701</s:v>
      </s:c>
      <s:c r="D210" s="6" t="n">
        <s:v>29512</s:v>
      </s:c>
      <s:c r="E210" s="6" t="n">
        <s:v>12165</s:v>
      </s:c>
      <s:c r="F210" s="6" t="n">
        <s:v>13489</s:v>
      </s:c>
      <s:c r="G210" s="6" t="n">
        <s:v>26386</s:v>
      </s:c>
      <s:c r="H210" s="6" t="n">
        <s:v>24229</s:v>
      </s:c>
      <s:c r="I210" s="6" t="n">
        <s:v>5390</s:v>
      </s:c>
      <s:c r="J210" s="6" t="n">
        <s:f>IF(COUNT(C210:I210)=7,SUM(C210:I210),"")</s:f>
        <s:v>121872</s:v>
      </s:c>
    </s:row>
    <s:row r="211">
      <s:c r="A211" s="5" t="n">
        <s:v>46274</s:v>
      </s:c>
      <s:c r="B211" s="2" t="n">
        <s:v>14</s:v>
      </s:c>
      <s:c r="C211" s="6" t="n">
        <s:v>10622</s:v>
      </s:c>
      <s:c r="D211" s="6" t="n">
        <s:v>29456</s:v>
      </s:c>
      <s:c r="E211" s="6" t="n">
        <s:v>11939</s:v>
      </s:c>
      <s:c r="F211" s="6" t="n">
        <s:v>13347</s:v>
      </s:c>
      <s:c r="G211" s="6" t="n">
        <s:v>26102</s:v>
      </s:c>
      <s:c r="H211" s="6" t="n">
        <s:v>24465</s:v>
      </s:c>
      <s:c r="I211" s="6" t="n">
        <s:v>5357</s:v>
      </s:c>
      <s:c r="J211" s="6" t="n">
        <s:f>IF(COUNT(C211:I211)=7,SUM(C211:I211),"")</s:f>
        <s:v>121288</s:v>
      </s:c>
    </s:row>
    <s:row r="212">
      <s:c r="A212" s="5" t="n">
        <s:v>46274</s:v>
      </s:c>
      <s:c r="B212" s="2" t="n">
        <s:v>15</s:v>
      </s:c>
      <s:c r="C212" s="6" t="n">
        <s:v>10775</s:v>
      </s:c>
      <s:c r="D212" s="6" t="n">
        <s:v>29358</s:v>
      </s:c>
      <s:c r="E212" s="6" t="n">
        <s:v>12124</s:v>
      </s:c>
      <s:c r="F212" s="6" t="n">
        <s:v>13228</s:v>
      </s:c>
      <s:c r="G212" s="6" t="n">
        <s:v>26089</s:v>
      </s:c>
      <s:c r="H212" s="6" t="n">
        <s:v>24283</s:v>
      </s:c>
      <s:c r="I212" s="6" t="n">
        <s:v>4995</s:v>
      </s:c>
      <s:c r="J212" s="6" t="n">
        <s:f>IF(COUNT(C212:I212)=7,SUM(C212:I212),"")</s:f>
        <s:v>120852</s:v>
      </s:c>
    </s:row>
    <s:row r="213">
      <s:c r="A213" s="5" t="n">
        <s:v>46274</s:v>
      </s:c>
      <s:c r="B213" s="2" t="n">
        <s:v>16</s:v>
      </s:c>
      <s:c r="C213" s="6" t="n">
        <s:v>10572</s:v>
      </s:c>
      <s:c r="D213" s="6" t="n">
        <s:v>28866</s:v>
      </s:c>
      <s:c r="E213" s="6" t="n">
        <s:v>11823</s:v>
      </s:c>
      <s:c r="F213" s="6" t="n">
        <s:v>13039</s:v>
      </s:c>
      <s:c r="G213" s="6" t="n">
        <s:v>26220</s:v>
      </s:c>
      <s:c r="H213" s="6" t="n">
        <s:v>24620</s:v>
      </s:c>
      <s:c r="I213" s="6" t="n">
        <s:v>4900</s:v>
      </s:c>
      <s:c r="J213" s="6" t="n">
        <s:f>IF(COUNT(C213:I213)=7,SUM(C213:I213),"")</s:f>
        <s:v>120040</s:v>
      </s:c>
    </s:row>
    <s:row r="214">
      <s:c r="A214" s="5" t="n">
        <s:v>46274</s:v>
      </s:c>
      <s:c r="B214" s="2" t="n">
        <s:v>17</s:v>
      </s:c>
      <s:c r="C214" s="6" t="n">
        <s:v>10561</s:v>
      </s:c>
      <s:c r="D214" s="6" t="n">
        <s:v>28791</s:v>
      </s:c>
      <s:c r="E214" s="6" t="n">
        <s:v>11708</s:v>
      </s:c>
      <s:c r="F214" s="6" t="n">
        <s:v>12939</s:v>
      </s:c>
      <s:c r="G214" s="6" t="n">
        <s:v>26282</s:v>
      </s:c>
      <s:c r="H214" s="6" t="n">
        <s:v>24406</s:v>
      </s:c>
      <s:c r="I214" s="6" t="n">
        <s:v>4619</s:v>
      </s:c>
      <s:c r="J214" s="6" t="n">
        <s:f>IF(COUNT(C214:I214)=7,SUM(C214:I214),"")</s:f>
        <s:v>119306</s:v>
      </s:c>
    </s:row>
    <s:row r="215">
      <s:c r="A215" s="5" t="n">
        <s:v>46274</s:v>
      </s:c>
      <s:c r="B215" s="2" t="n">
        <s:v>18</s:v>
      </s:c>
      <s:c r="C215" s="6" t="n">
        <s:v>10551</s:v>
      </s:c>
      <s:c r="D215" s="6" t="n">
        <s:v>29010</s:v>
      </s:c>
      <s:c r="E215" s="6" t="n">
        <s:v>12419</s:v>
      </s:c>
      <s:c r="F215" s="6" t="n">
        <s:v>13009</s:v>
      </s:c>
      <s:c r="G215" s="6" t="n">
        <s:v>26366</s:v>
      </s:c>
      <s:c r="H215" s="6" t="n">
        <s:v>23473</s:v>
      </s:c>
      <s:c r="I215" s="6" t="n">
        <s:v>4533</s:v>
      </s:c>
      <s:c r="J215" s="6" t="n">
        <s:f>IF(COUNT(C215:I215)=7,SUM(C215:I215),"")</s:f>
        <s:v>119361</s:v>
      </s:c>
    </s:row>
    <s:row r="216">
      <s:c r="A216" s="5" t="n">
        <s:v>46274</s:v>
      </s:c>
      <s:c r="B216" s="2" t="n">
        <s:v>19</s:v>
      </s:c>
      <s:c r="C216" s="6" t="n">
        <s:v>10666</s:v>
      </s:c>
      <s:c r="D216" s="6" t="n">
        <s:v>30101</s:v>
      </s:c>
      <s:c r="E216" s="6" t="n">
        <s:v>12389</s:v>
      </s:c>
      <s:c r="F216" s="6" t="n">
        <s:v>12933</s:v>
      </s:c>
      <s:c r="G216" s="6" t="n">
        <s:v>25955</s:v>
      </s:c>
      <s:c r="H216" s="6" t="n">
        <s:v>22716</s:v>
      </s:c>
      <s:c r="I216" s="6" t="n">
        <s:v>4452</s:v>
      </s:c>
      <s:c r="J216" s="6" t="n">
        <s:f>IF(COUNT(C216:I216)=7,SUM(C216:I216),"")</s:f>
        <s:v>119212</s:v>
      </s:c>
    </s:row>
    <s:row r="217">
      <s:c r="A217" s="5" t="n">
        <s:v>46274</s:v>
      </s:c>
      <s:c r="B217" s="2" t="n">
        <s:v>20</s:v>
      </s:c>
      <s:c r="C217" s="6" t="n">
        <s:v>10707</s:v>
      </s:c>
      <s:c r="D217" s="6" t="n">
        <s:v>29573</s:v>
      </s:c>
      <s:c r="E217" s="6" t="n">
        <s:v>11975</s:v>
      </s:c>
      <s:c r="F217" s="6" t="n">
        <s:v>12645</s:v>
      </s:c>
      <s:c r="G217" s="6" t="n">
        <s:v>25129</s:v>
      </s:c>
      <s:c r="H217" s="6" t="n">
        <s:v>22226</s:v>
      </s:c>
      <s:c r="I217" s="6" t="n">
        <s:v>4459</s:v>
      </s:c>
      <s:c r="J217" s="6" t="n">
        <s:f>IF(COUNT(C217:I217)=7,SUM(C217:I217),"")</s:f>
        <s:v>116714</s:v>
      </s:c>
    </s:row>
    <s:row r="218">
      <s:c r="A218" s="5" t="n">
        <s:v>46274</s:v>
      </s:c>
      <s:c r="B218" s="2" t="n">
        <s:v>21</s:v>
      </s:c>
      <s:c r="C218" s="6" t="n">
        <s:v>10494</s:v>
      </s:c>
      <s:c r="D218" s="6" t="n">
        <s:v>28427</s:v>
      </s:c>
      <s:c r="E218" s="6" t="n">
        <s:v>11368</s:v>
      </s:c>
      <s:c r="F218" s="6" t="n">
        <s:v>12155</s:v>
      </s:c>
      <s:c r="G218" s="6" t="n">
        <s:v>24308</s:v>
      </s:c>
      <s:c r="H218" s="6" t="n">
        <s:v>22083</s:v>
      </s:c>
      <s:c r="I218" s="6" t="n">
        <s:v>4345</s:v>
      </s:c>
      <s:c r="J218" s="6" t="n">
        <s:f>IF(COUNT(C218:I218)=7,SUM(C218:I218),"")</s:f>
        <s:v>113180</s:v>
      </s:c>
    </s:row>
    <s:row r="219">
      <s:c r="A219" s="5" t="n">
        <s:v>46274</s:v>
      </s:c>
      <s:c r="B219" s="2" t="n">
        <s:v>22</s:v>
      </s:c>
      <s:c r="C219" s="6" t="n">
        <s:v>9909</s:v>
      </s:c>
      <s:c r="D219" s="6" t="n">
        <s:v>26636</s:v>
      </s:c>
      <s:c r="E219" s="6" t="n">
        <s:v>10676</s:v>
      </s:c>
      <s:c r="F219" s="6" t="n">
        <s:v>11320</s:v>
      </s:c>
      <s:c r="G219" s="6" t="n">
        <s:v>23502</s:v>
      </s:c>
      <s:c r="H219" s="6" t="n">
        <s:v>21963</s:v>
      </s:c>
      <s:c r="I219" s="6" t="n">
        <s:v>4609</s:v>
      </s:c>
      <s:c r="J219" s="6" t="n">
        <s:f>IF(COUNT(C219:I219)=7,SUM(C219:I219),"")</s:f>
        <s:v>108615</s:v>
      </s:c>
    </s:row>
    <s:row r="220">
      <s:c r="A220" s="5" t="n">
        <s:v>46274</s:v>
      </s:c>
      <s:c r="B220" s="2" t="n">
        <s:v>23</s:v>
      </s:c>
      <s:c r="C220" s="6" t="n">
        <s:v>9444</s:v>
      </s:c>
      <s:c r="D220" s="6" t="n">
        <s:v>25122</s:v>
      </s:c>
      <s:c r="E220" s="6" t="n">
        <s:v>9835</s:v>
      </s:c>
      <s:c r="F220" s="6" t="n">
        <s:v>11055</s:v>
      </s:c>
      <s:c r="G220" s="6" t="n">
        <s:v>23241</s:v>
      </s:c>
      <s:c r="H220" s="6" t="n">
        <s:v>21917</s:v>
      </s:c>
      <s:c r="I220" s="6" t="n">
        <s:v>4847</s:v>
      </s:c>
      <s:c r="J220" s="6" t="n">
        <s:f>IF(COUNT(C220:I220)=7,SUM(C220:I220),"")</s:f>
        <s:v>105461</s:v>
      </s:c>
    </s:row>
    <s:row r="221">
      <s:c r="A221" s="5" t="n">
        <s:v>46275</s:v>
      </s:c>
      <s:c r="B221" s="2" t="n">
        <s:v>0</s:v>
      </s:c>
      <s:c r="C221" s="6" t="n">
        <s:v>8977</s:v>
      </s:c>
      <s:c r="D221" s="6" t="n">
        <s:v>24094</s:v>
      </s:c>
      <s:c r="E221" s="6" t="n">
        <s:v>9368</s:v>
      </s:c>
      <s:c r="F221" s="6" t="n">
        <s:v>10595</s:v>
      </s:c>
      <s:c r="G221" s="6" t="n">
        <s:v>23023</s:v>
      </s:c>
      <s:c r="H221" s="6" t="n">
        <s:v>22118</s:v>
      </s:c>
      <s:c r="I221" s="6" t="n">
        <s:v>4984</s:v>
      </s:c>
      <s:c r="J221" s="6" t="n">
        <s:f>IF(COUNT(C221:I221)=7,SUM(C221:I221),"")</s:f>
        <s:v>103159</s:v>
      </s:c>
    </s:row>
    <s:row r="222">
      <s:c r="A222" s="5" t="n">
        <s:v>46275</s:v>
      </s:c>
      <s:c r="B222" s="2" t="n">
        <s:v>1</s:v>
      </s:c>
      <s:c r="C222" s="6" t="n">
        <s:v>8773</s:v>
      </s:c>
      <s:c r="D222" s="6" t="n">
        <s:v>23105</s:v>
      </s:c>
      <s:c r="E222" s="6" t="n">
        <s:v>8970</s:v>
      </s:c>
      <s:c r="F222" s="6" t="n">
        <s:v>10555</s:v>
      </s:c>
      <s:c r="G222" s="6" t="n">
        <s:v>23099</s:v>
      </s:c>
      <s:c r="H222" s="6" t="n">
        <s:v>22661</s:v>
      </s:c>
      <s:c r="I222" s="6" t="n">
        <s:v>5126</s:v>
      </s:c>
      <s:c r="J222" s="6" t="n">
        <s:f>IF(COUNT(C222:I222)=7,SUM(C222:I222),"")</s:f>
        <s:v>102289</s:v>
      </s:c>
    </s:row>
    <s:row r="223">
      <s:c r="A223" s="5" t="n">
        <s:v>46275</s:v>
      </s:c>
      <s:c r="B223" s="2" t="n">
        <s:v>2</s:v>
      </s:c>
      <s:c r="C223" s="6" t="n">
        <s:v>8673</s:v>
      </s:c>
      <s:c r="D223" s="6" t="n">
        <s:v>22992</s:v>
      </s:c>
      <s:c r="E223" s="6" t="n">
        <s:v>8933</s:v>
      </s:c>
      <s:c r="F223" s="6" t="n">
        <s:v>10530</s:v>
      </s:c>
      <s:c r="G223" s="6" t="n">
        <s:v>23105</s:v>
      </s:c>
      <s:c r="H223" s="6" t="n">
        <s:v>23193</s:v>
      </s:c>
      <s:c r="I223" s="6" t="n">
        <s:v>5236</s:v>
      </s:c>
      <s:c r="J223" s="6" t="n">
        <s:f>IF(COUNT(C223:I223)=7,SUM(C223:I223),"")</s:f>
        <s:v>102662</s:v>
      </s:c>
    </s:row>
    <s:row r="224">
      <s:c r="A224" s="5" t="n">
        <s:v>46275</s:v>
      </s:c>
      <s:c r="B224" s="2" t="n">
        <s:v>3</s:v>
      </s:c>
      <s:c r="C224" s="6" t="n">
        <s:v>8626</s:v>
      </s:c>
      <s:c r="D224" s="6" t="n">
        <s:v>23006</s:v>
      </s:c>
      <s:c r="E224" s="6" t="n">
        <s:v>8858</s:v>
      </s:c>
      <s:c r="F224" s="6" t="n">
        <s:v>10568</s:v>
      </s:c>
      <s:c r="G224" s="6" t="n">
        <s:v>23436</s:v>
      </s:c>
      <s:c r="H224" s="6" t="n">
        <s:v>23488</s:v>
      </s:c>
      <s:c r="I224" s="6" t="n">
        <s:v>5115</s:v>
      </s:c>
      <s:c r="J224" s="6" t="n">
        <s:f>IF(COUNT(C224:I224)=7,SUM(C224:I224),"")</s:f>
        <s:v>103097</s:v>
      </s:c>
    </s:row>
    <s:row r="225">
      <s:c r="A225" s="5" t="n">
        <s:v>46275</s:v>
      </s:c>
      <s:c r="B225" s="2" t="n">
        <s:v>4</s:v>
      </s:c>
      <s:c r="C225" s="6" t="n">
        <s:v>8649</s:v>
      </s:c>
      <s:c r="D225" s="6" t="n">
        <s:v>23130</s:v>
      </s:c>
      <s:c r="E225" s="6" t="n">
        <s:v>9070</s:v>
      </s:c>
      <s:c r="F225" s="6" t="n">
        <s:v>10796</s:v>
      </s:c>
      <s:c r="G225" s="6" t="n">
        <s:v>24567</s:v>
      </s:c>
      <s:c r="H225" s="6" t="n">
        <s:v>24173</s:v>
      </s:c>
      <s:c r="I225" s="6" t="n">
        <s:v>5158</s:v>
      </s:c>
      <s:c r="J225" s="6" t="n">
        <s:f>IF(COUNT(C225:I225)=7,SUM(C225:I225),"")</s:f>
        <s:v>105543</s:v>
      </s:c>
    </s:row>
    <s:row r="226">
      <s:c r="A226" s="5" t="n">
        <s:v>46275</s:v>
      </s:c>
      <s:c r="B226" s="2" t="n">
        <s:v>5</s:v>
      </s:c>
      <s:c r="C226" s="6" t="n">
        <s:v>8850</s:v>
      </s:c>
      <s:c r="D226" s="6" t="n">
        <s:v>23846</s:v>
      </s:c>
      <s:c r="E226" s="6" t="n">
        <s:v>9317</s:v>
      </s:c>
      <s:c r="F226" s="6" t="n">
        <s:v>11549</s:v>
      </s:c>
      <s:c r="G226" s="6" t="n">
        <s:v>25480</s:v>
      </s:c>
      <s:c r="H226" s="6" t="n">
        <s:v>24184</s:v>
      </s:c>
      <s:c r="I226" s="6" t="n">
        <s:v>5103</s:v>
      </s:c>
      <s:c r="J226" s="6" t="n">
        <s:f>IF(COUNT(C226:I226)=7,SUM(C226:I226),"")</s:f>
        <s:v>108329</s:v>
      </s:c>
    </s:row>
    <s:row r="227">
      <s:c r="A227" s="5" t="n">
        <s:v>46275</s:v>
      </s:c>
      <s:c r="B227" s="2" t="n">
        <s:v>6</s:v>
      </s:c>
      <s:c r="C227" s="6" t="n">
        <s:v>9224</s:v>
      </s:c>
      <s:c r="D227" s="6" t="n">
        <s:v>25953</s:v>
      </s:c>
      <s:c r="E227" s="6" t="n">
        <s:v>10256</s:v>
      </s:c>
      <s:c r="F227" s="6" t="n">
        <s:v>12079</s:v>
      </s:c>
      <s:c r="G227" s="6" t="n">
        <s:v>26420</s:v>
      </s:c>
      <s:c r="H227" s="6" t="n">
        <s:v>24360</s:v>
      </s:c>
      <s:c r="I227" s="6" t="n">
        <s:v>5086</s:v>
      </s:c>
      <s:c r="J227" s="6" t="n">
        <s:f>IF(COUNT(C227:I227)=7,SUM(C227:I227),"")</s:f>
        <s:v>113378</s:v>
      </s:c>
    </s:row>
    <s:row r="228">
      <s:c r="A228" s="5" t="n">
        <s:v>46275</s:v>
      </s:c>
      <s:c r="B228" s="2" t="n">
        <s:v>7</s:v>
      </s:c>
      <s:c r="C228" s="6" t="n">
        <s:v>9814</s:v>
      </s:c>
      <s:c r="D228" s="6" t="n">
        <s:v>27259</s:v>
      </s:c>
      <s:c r="E228" s="6" t="n">
        <s:v>11045</s:v>
      </s:c>
      <s:c r="F228" s="6" t="n">
        <s:v>12920</s:v>
      </s:c>
      <s:c r="G228" s="6" t="n">
        <s:v>26601</s:v>
      </s:c>
      <s:c r="H228" s="6" t="n">
        <s:v>24125</s:v>
      </s:c>
      <s:c r="I228" s="6" t="n">
        <s:v>5097</s:v>
      </s:c>
      <s:c r="J228" s="6" t="n">
        <s:f>IF(COUNT(C228:I228)=7,SUM(C228:I228),"")</s:f>
        <s:v>116861</s:v>
      </s:c>
    </s:row>
    <s:row r="229">
      <s:c r="A229" s="5" t="n">
        <s:v>46275</s:v>
      </s:c>
      <s:c r="B229" s="2" t="n">
        <s:v>8</s:v>
      </s:c>
      <s:c r="C229" s="6" t="n">
        <s:v>10414</s:v>
      </s:c>
      <s:c r="D229" s="6" t="n">
        <s:v>29160</s:v>
      </s:c>
      <s:c r="E229" s="6" t="n">
        <s:v>11875</s:v>
      </s:c>
      <s:c r="F229" s="6" t="n">
        <s:v>13619</s:v>
      </s:c>
      <s:c r="G229" s="6" t="n">
        <s:v>26876</s:v>
      </s:c>
      <s:c r="H229" s="6" t="n">
        <s:v>24903</s:v>
      </s:c>
      <s:c r="I229" s="6" t="n">
        <s:v>5023</s:v>
      </s:c>
      <s:c r="J229" s="6" t="n">
        <s:f>IF(COUNT(C229:I229)=7,SUM(C229:I229),"")</s:f>
        <s:v>121870</s:v>
      </s:c>
    </s:row>
    <s:row r="230">
      <s:c r="A230" s="5" t="n">
        <s:v>46275</s:v>
      </s:c>
      <s:c r="B230" s="2" t="n">
        <s:v>9</s:v>
      </s:c>
      <s:c r="C230" s="6" t="n">
        <s:v>10646</s:v>
      </s:c>
      <s:c r="D230" s="6" t="n">
        <s:v>29898</s:v>
      </s:c>
      <s:c r="E230" s="6" t="n">
        <s:v>12178</s:v>
      </s:c>
      <s:c r="F230" s="6" t="n">
        <s:v>13506</s:v>
      </s:c>
      <s:c r="G230" s="6" t="n">
        <s:v>26644</s:v>
      </s:c>
      <s:c r="H230" s="6" t="n">
        <s:v>24853</s:v>
      </s:c>
      <s:c r="I230" s="6" t="n">
        <s:v>5113</s:v>
      </s:c>
      <s:c r="J230" s="6" t="n">
        <s:f>IF(COUNT(C230:I230)=7,SUM(C230:I230),"")</s:f>
        <s:v>122838</s:v>
      </s:c>
    </s:row>
    <s:row r="231">
      <s:c r="A231" s="5" t="n">
        <s:v>46275</s:v>
      </s:c>
      <s:c r="B231" s="2" t="n">
        <s:v>10</s:v>
      </s:c>
      <s:c r="C231" s="6" t="n">
        <s:v>10751</s:v>
      </s:c>
      <s:c r="D231" s="6" t="n">
        <s:v>29846</s:v>
      </s:c>
      <s:c r="E231" s="6" t="n">
        <s:v>12169</s:v>
      </s:c>
      <s:c r="F231" s="6" t="n">
        <s:v>13563</s:v>
      </s:c>
      <s:c r="G231" s="6" t="n">
        <s:v>26599</s:v>
      </s:c>
      <s:c r="H231" s="6" t="n">
        <s:v>24827</s:v>
      </s:c>
      <s:c r="I231" s="6" t="n">
        <s:v>5131</s:v>
      </s:c>
      <s:c r="J231" s="6" t="n">
        <s:f>IF(COUNT(C231:I231)=7,SUM(C231:I231),"")</s:f>
        <s:v>122886</s:v>
      </s:c>
    </s:row>
    <s:row r="232">
      <s:c r="A232" s="5" t="n">
        <s:v>46275</s:v>
      </s:c>
      <s:c r="B232" s="2" t="n">
        <s:v>11</s:v>
      </s:c>
      <s:c r="C232" s="6" t="n">
        <s:v>10665</s:v>
      </s:c>
      <s:c r="D232" s="6" t="n">
        <s:v>29607</s:v>
      </s:c>
      <s:c r="E232" s="6" t="n">
        <s:v>12266</s:v>
      </s:c>
      <s:c r="F232" s="6" t="n">
        <s:v>13162</s:v>
      </s:c>
      <s:c r="G232" s="6" t="n">
        <s:v>26447</s:v>
      </s:c>
      <s:c r="H232" s="6" t="n">
        <s:v>24314</s:v>
      </s:c>
      <s:c r="I232" s="6" t="n">
        <s:v>5047</s:v>
      </s:c>
      <s:c r="J232" s="6" t="n">
        <s:f>IF(COUNT(C232:I232)=7,SUM(C232:I232),"")</s:f>
        <s:v>121508</s:v>
      </s:c>
    </s:row>
    <s:row r="233">
      <s:c r="A233" s="5" t="n">
        <s:v>46275</s:v>
      </s:c>
      <s:c r="B233" s="2" t="n">
        <s:v>12</s:v>
      </s:c>
      <s:c r="C233" s="6" t="n">
        <s:v>10693</s:v>
      </s:c>
      <s:c r="D233" s="6" t="n">
        <s:v>29739</s:v>
      </s:c>
      <s:c r="E233" s="6" t="n">
        <s:v>12331</s:v>
      </s:c>
      <s:c r="F233" s="6" t="n">
        <s:v>13301</s:v>
      </s:c>
      <s:c r="G233" s="6" t="n">
        <s:v>26546</s:v>
      </s:c>
      <s:c r="H233" s="6" t="n">
        <s:v>24153</s:v>
      </s:c>
      <s:c r="I233" s="6" t="n">
        <s:v>5367</s:v>
      </s:c>
      <s:c r="J233" s="6" t="n">
        <s:f>IF(COUNT(C233:I233)=7,SUM(C233:I233),"")</s:f>
        <s:v>122130</s:v>
      </s:c>
    </s:row>
    <s:row r="234">
      <s:c r="A234" s="5" t="n">
        <s:v>46275</s:v>
      </s:c>
      <s:c r="B234" s="2" t="n">
        <s:v>13</s:v>
      </s:c>
      <s:c r="C234" s="6" t="n">
        <s:v>10716</s:v>
      </s:c>
      <s:c r="D234" s="6" t="n">
        <s:v>29962</s:v>
      </s:c>
      <s:c r="E234" s="6" t="n">
        <s:v>12370</s:v>
      </s:c>
      <s:c r="F234" s="6" t="n">
        <s:v>13443</s:v>
      </s:c>
      <s:c r="G234" s="6" t="n">
        <s:v>26428</s:v>
      </s:c>
      <s:c r="H234" s="6" t="n">
        <s:v>24355</s:v>
      </s:c>
      <s:c r="I234" s="6" t="n">
        <s:v>5410</s:v>
      </s:c>
      <s:c r="J234" s="6" t="n">
        <s:f>IF(COUNT(C234:I234)=7,SUM(C234:I234),"")</s:f>
        <s:v>122684</s:v>
      </s:c>
    </s:row>
    <s:row r="235">
      <s:c r="A235" s="5" t="n">
        <s:v>46275</s:v>
      </s:c>
      <s:c r="B235" s="2" t="n">
        <s:v>14</s:v>
      </s:c>
      <s:c r="C235" s="6" t="n">
        <s:v>10746</s:v>
      </s:c>
      <s:c r="D235" s="6" t="n">
        <s:v>29932</s:v>
      </s:c>
      <s:c r="E235" s="6" t="n">
        <s:v>12472</s:v>
      </s:c>
      <s:c r="F235" s="6" t="n">
        <s:v>13195</s:v>
      </s:c>
      <s:c r="G235" s="6" t="n">
        <s:v>26508</s:v>
      </s:c>
      <s:c r="H235" s="6" t="n">
        <s:v>24611</s:v>
      </s:c>
      <s:c r="I235" s="6" t="n">
        <s:v>5213</s:v>
      </s:c>
      <s:c r="J235" s="6" t="n">
        <s:f>IF(COUNT(C235:I235)=7,SUM(C235:I235),"")</s:f>
        <s:v>122677</s:v>
      </s:c>
    </s:row>
    <s:row r="236">
      <s:c r="A236" s="5" t="n">
        <s:v>46275</s:v>
      </s:c>
      <s:c r="B236" s="2" t="n">
        <s:v>15</s:v>
      </s:c>
      <s:c r="C236" s="6" t="n">
        <s:v>10878</s:v>
      </s:c>
      <s:c r="D236" s="6" t="n">
        <s:v>29753</s:v>
      </s:c>
      <s:c r="E236" s="6" t="n">
        <s:v>12349</s:v>
      </s:c>
      <s:c r="F236" s="6" t="n">
        <s:v>13134</s:v>
      </s:c>
      <s:c r="G236" s="6" t="n">
        <s:v>26456</s:v>
      </s:c>
      <s:c r="H236" s="6" t="n">
        <s:v>24407</s:v>
      </s:c>
      <s:c r="I236" s="6" t="n">
        <s:v>5024</s:v>
      </s:c>
      <s:c r="J236" s="6" t="n">
        <s:f>IF(COUNT(C236:I236)=7,SUM(C236:I236),"")</s:f>
        <s:v>122001</s:v>
      </s:c>
    </s:row>
    <s:row r="237">
      <s:c r="A237" s="5" t="n">
        <s:v>46275</s:v>
      </s:c>
      <s:c r="B237" s="2" t="n">
        <s:v>16</s:v>
      </s:c>
      <s:c r="C237" s="6" t="n">
        <s:v>10696</s:v>
      </s:c>
      <s:c r="D237" s="6" t="n">
        <s:v>29275</s:v>
      </s:c>
      <s:c r="E237" s="6" t="n">
        <s:v>12285</s:v>
      </s:c>
      <s:c r="F237" s="6" t="n">
        <s:v>12865</s:v>
      </s:c>
      <s:c r="G237" s="6" t="n">
        <s:v>26498</s:v>
      </s:c>
      <s:c r="H237" s="6" t="n">
        <s:v>24571</s:v>
      </s:c>
      <s:c r="I237" s="6" t="n">
        <s:v>4787</s:v>
      </s:c>
      <s:c r="J237" s="6" t="n">
        <s:f>IF(COUNT(C237:I237)=7,SUM(C237:I237),"")</s:f>
        <s:v>120977</s:v>
      </s:c>
    </s:row>
    <s:row r="238">
      <s:c r="A238" s="5" t="n">
        <s:v>46275</s:v>
      </s:c>
      <s:c r="B238" s="2" t="n">
        <s:v>17</s:v>
      </s:c>
      <s:c r="C238" s="6" t="n">
        <s:v>10603</s:v>
      </s:c>
      <s:c r="D238" s="6" t="n">
        <s:v>29100</s:v>
      </s:c>
      <s:c r="E238" s="6" t="n">
        <s:v>12043</s:v>
      </s:c>
      <s:c r="F238" s="6" t="n">
        <s:v>12975</s:v>
      </s:c>
      <s:c r="G238" s="6" t="n">
        <s:v>26881</s:v>
      </s:c>
      <s:c r="H238" s="6" t="n">
        <s:v>24433</s:v>
      </s:c>
      <s:c r="I238" s="6" t="n">
        <s:v>4561</s:v>
      </s:c>
      <s:c r="J238" s="6" t="n">
        <s:f>IF(COUNT(C238:I238)=7,SUM(C238:I238),"")</s:f>
        <s:v>120596</s:v>
      </s:c>
    </s:row>
    <s:row r="239">
      <s:c r="A239" s="5" t="n">
        <s:v>46275</s:v>
      </s:c>
      <s:c r="B239" s="2" t="n">
        <s:v>18</s:v>
      </s:c>
      <s:c r="C239" s="6" t="n">
        <s:v>10636</s:v>
      </s:c>
      <s:c r="D239" s="6" t="n">
        <s:v>29321</s:v>
      </s:c>
      <s:c r="E239" s="6" t="n">
        <s:v>12545</s:v>
      </s:c>
      <s:c r="F239" s="6" t="n">
        <s:v>13115</s:v>
      </s:c>
      <s:c r="G239" s="6" t="n">
        <s:v>27115</s:v>
      </s:c>
      <s:c r="H239" s="6" t="n">
        <s:v>23560</s:v>
      </s:c>
      <s:c r="I239" s="6" t="n">
        <s:v>4336</s:v>
      </s:c>
      <s:c r="J239" s="6" t="n">
        <s:f>IF(COUNT(C239:I239)=7,SUM(C239:I239),"")</s:f>
        <s:v>120628</s:v>
      </s:c>
    </s:row>
    <s:row r="240">
      <s:c r="A240" s="5" t="n">
        <s:v>46275</s:v>
      </s:c>
      <s:c r="B240" s="2" t="n">
        <s:v>19</s:v>
      </s:c>
      <s:c r="C240" s="6" t="n">
        <s:v>10679</s:v>
      </s:c>
      <s:c r="D240" s="6" t="n">
        <s:v>29660</s:v>
      </s:c>
      <s:c r="E240" s="6" t="n">
        <s:v>12493</s:v>
      </s:c>
      <s:c r="F240" s="6" t="n">
        <s:v>13034</s:v>
      </s:c>
      <s:c r="G240" s="6" t="n">
        <s:v>26501</s:v>
      </s:c>
      <s:c r="H240" s="6" t="n">
        <s:v>22748</s:v>
      </s:c>
      <s:c r="I240" s="6" t="n">
        <s:v>4301</s:v>
      </s:c>
      <s:c r="J240" s="6" t="n">
        <s:f>IF(COUNT(C240:I240)=7,SUM(C240:I240),"")</s:f>
        <s:v>119416</s:v>
      </s:c>
    </s:row>
    <s:row r="241">
      <s:c r="A241" s="5" t="n">
        <s:v>46275</s:v>
      </s:c>
      <s:c r="B241" s="2" t="n">
        <s:v>20</s:v>
      </s:c>
      <s:c r="C241" s="6" t="n">
        <s:v>10751</s:v>
      </s:c>
      <s:c r="D241" s="6" t="n">
        <s:v>29398</s:v>
      </s:c>
      <s:c r="E241" s="6" t="n">
        <s:v>12153</s:v>
      </s:c>
      <s:c r="F241" s="6" t="n">
        <s:v>12783</s:v>
      </s:c>
      <s:c r="G241" s="6" t="n">
        <s:v>25634</s:v>
      </s:c>
      <s:c r="H241" s="6" t="n">
        <s:v>22220</s:v>
      </s:c>
      <s:c r="I241" s="6" t="n">
        <s:v>4366</s:v>
      </s:c>
      <s:c r="J241" s="6" t="n">
        <s:f>IF(COUNT(C241:I241)=7,SUM(C241:I241),"")</s:f>
        <s:v>117305</s:v>
      </s:c>
    </s:row>
    <s:row r="242">
      <s:c r="A242" s="5" t="n">
        <s:v>46275</s:v>
      </s:c>
      <s:c r="B242" s="2" t="n">
        <s:v>21</s:v>
      </s:c>
      <s:c r="C242" s="6" t="n">
        <s:v>10538</s:v>
      </s:c>
      <s:c r="D242" s="6" t="n">
        <s:v>28288</s:v>
      </s:c>
      <s:c r="E242" s="6" t="n">
        <s:v>11679</s:v>
      </s:c>
      <s:c r="F242" s="6" t="n">
        <s:v>11978</s:v>
      </s:c>
      <s:c r="G242" s="6" t="n">
        <s:v>24596</s:v>
      </s:c>
      <s:c r="H242" s="6" t="n">
        <s:v>22113</s:v>
      </s:c>
      <s:c r="I242" s="6" t="n">
        <s:v>4306</s:v>
      </s:c>
      <s:c r="J242" s="6" t="n">
        <s:f>IF(COUNT(C242:I242)=7,SUM(C242:I242),"")</s:f>
        <s:v>113498</s:v>
      </s:c>
    </s:row>
    <s:row r="243">
      <s:c r="A243" s="5" t="n">
        <s:v>46275</s:v>
      </s:c>
      <s:c r="B243" s="2" t="n">
        <s:v>22</s:v>
      </s:c>
      <s:c r="C243" s="6" t="n">
        <s:v>9944</s:v>
      </s:c>
      <s:c r="D243" s="6" t="n">
        <s:v>26248</s:v>
      </s:c>
      <s:c r="E243" s="6" t="n">
        <s:v>10597</s:v>
      </s:c>
      <s:c r="F243" s="6" t="n">
        <s:v>11397</s:v>
      </s:c>
      <s:c r="G243" s="6" t="n">
        <s:v>23850</s:v>
      </s:c>
      <s:c r="H243" s="6" t="n">
        <s:v>21938</s:v>
      </s:c>
      <s:c r="I243" s="6" t="n">
        <s:v>4380</s:v>
      </s:c>
      <s:c r="J243" s="6" t="n">
        <s:f>IF(COUNT(C243:I243)=7,SUM(C243:I243),"")</s:f>
        <s:v>108354</s:v>
      </s:c>
    </s:row>
    <s:row r="244">
      <s:c r="A244" s="5" t="n">
        <s:v>46275</s:v>
      </s:c>
      <s:c r="B244" s="2" t="n">
        <s:v>23</s:v>
      </s:c>
      <s:c r="C244" s="6" t="n">
        <s:v>9509</s:v>
      </s:c>
      <s:c r="D244" s="6" t="n">
        <s:v>24766</s:v>
      </s:c>
      <s:c r="E244" s="6" t="n">
        <s:v>9894</s:v>
      </s:c>
      <s:c r="F244" s="6" t="n">
        <s:v>10848</s:v>
      </s:c>
      <s:c r="G244" s="6" t="n">
        <s:v>23544</s:v>
      </s:c>
      <s:c r="H244" s="6" t="n">
        <s:v>21853</s:v>
      </s:c>
      <s:c r="I244" s="6" t="n">
        <s:v>4654</s:v>
      </s:c>
      <s:c r="J244" s="6" t="n">
        <s:f>IF(COUNT(C244:I244)=7,SUM(C244:I244),"")</s:f>
        <s:v>105068</s:v>
      </s:c>
    </s:row>
    <s:row r="245">
      <s:c r="A245" s="5" t="n">
        <s:v>46276</s:v>
      </s:c>
      <s:c r="B245" s="2" t="n">
        <s:v>0</s:v>
      </s:c>
      <s:c r="C245" s="6" t="n">
        <s:v>9065</s:v>
      </s:c>
      <s:c r="D245" s="6" t="n">
        <s:v>23961</s:v>
      </s:c>
      <s:c r="E245" s="6" t="n">
        <s:v>9513</s:v>
      </s:c>
      <s:c r="F245" s="6" t="n">
        <s:v>10772</s:v>
      </s:c>
      <s:c r="G245" s="6" t="n">
        <s:v>23469</s:v>
      </s:c>
      <s:c r="H245" s="6" t="n">
        <s:v>22083</s:v>
      </s:c>
      <s:c r="I245" s="6" t="n">
        <s:v>4901</s:v>
      </s:c>
      <s:c r="J245" s="6" t="n">
        <s:f>IF(COUNT(C245:I245)=7,SUM(C245:I245),"")</s:f>
        <s:v>103764</s:v>
      </s:c>
    </s:row>
    <s:row r="246">
      <s:c r="A246" s="5" t="n">
        <s:v>46276</s:v>
      </s:c>
      <s:c r="B246" s="2" t="n">
        <s:v>1</s:v>
      </s:c>
      <s:c r="C246" s="6" t="n">
        <s:v>8765</s:v>
      </s:c>
      <s:c r="D246" s="6" t="n">
        <s:v>23301</s:v>
      </s:c>
      <s:c r="E246" s="6" t="n">
        <s:v>9250</s:v>
      </s:c>
      <s:c r="F246" s="6" t="n">
        <s:v>10482</s:v>
      </s:c>
      <s:c r="G246" s="6" t="n">
        <s:v>23473</s:v>
      </s:c>
      <s:c r="H246" s="6" t="n">
        <s:v>22502</s:v>
      </s:c>
      <s:c r="I246" s="6" t="n">
        <s:v>5134</s:v>
      </s:c>
      <s:c r="J246" s="6" t="n">
        <s:f>IF(COUNT(C246:I246)=7,SUM(C246:I246),"")</s:f>
        <s:v>102907</s:v>
      </s:c>
    </s:row>
    <s:row r="247">
      <s:c r="A247" s="5" t="n">
        <s:v>46276</s:v>
      </s:c>
      <s:c r="B247" s="2" t="n">
        <s:v>2</s:v>
      </s:c>
      <s:c r="C247" s="6" t="n">
        <s:v>8712</s:v>
      </s:c>
      <s:c r="D247" s="6" t="n">
        <s:v>22669</s:v>
      </s:c>
      <s:c r="E247" s="6" t="n">
        <s:v>9055</s:v>
      </s:c>
      <s:c r="F247" s="6" t="n">
        <s:v>10389</s:v>
      </s:c>
      <s:c r="G247" s="6" t="n">
        <s:v>23479</s:v>
      </s:c>
      <s:c r="H247" s="6" t="n">
        <s:v>23392</s:v>
      </s:c>
      <s:c r="I247" s="6" t="n">
        <s:v>5267</s:v>
      </s:c>
      <s:c r="J247" s="6" t="n">
        <s:f>IF(COUNT(C247:I247)=7,SUM(C247:I247),"")</s:f>
        <s:v>102963</s:v>
      </s:c>
    </s:row>
    <s:row r="248">
      <s:c r="A248" s="5" t="n">
        <s:v>46276</s:v>
      </s:c>
      <s:c r="B248" s="2" t="n">
        <s:v>3</s:v>
      </s:c>
      <s:c r="C248" s="6" t="n">
        <s:v>8615</s:v>
      </s:c>
      <s:c r="D248" s="6" t="n">
        <s:v>22855</s:v>
      </s:c>
      <s:c r="E248" s="6" t="n">
        <s:v>9059</s:v>
      </s:c>
      <s:c r="F248" s="6" t="n">
        <s:v>10496</s:v>
      </s:c>
      <s:c r="G248" s="6" t="n">
        <s:v>23910</s:v>
      </s:c>
      <s:c r="H248" s="6" t="n">
        <s:v>23490</s:v>
      </s:c>
      <s:c r="I248" s="6" t="n">
        <s:v>5174</s:v>
      </s:c>
      <s:c r="J248" s="6" t="n">
        <s:f>IF(COUNT(C248:I248)=7,SUM(C248:I248),"")</s:f>
        <s:v>103599</s:v>
      </s:c>
    </s:row>
    <s:row r="249">
      <s:c r="A249" s="5" t="n">
        <s:v>46276</s:v>
      </s:c>
      <s:c r="B249" s="2" t="n">
        <s:v>4</s:v>
      </s:c>
      <s:c r="C249" s="6" t="n">
        <s:v>8719</s:v>
      </s:c>
      <s:c r="D249" s="6" t="n">
        <s:v>23184</s:v>
      </s:c>
      <s:c r="E249" s="6" t="n">
        <s:v>9183</s:v>
      </s:c>
      <s:c r="F249" s="6" t="n">
        <s:v>10936</s:v>
      </s:c>
      <s:c r="G249" s="6" t="n">
        <s:v>24699</s:v>
      </s:c>
      <s:c r="H249" s="6" t="n">
        <s:v>23919</s:v>
      </s:c>
      <s:c r="I249" s="6" t="n">
        <s:v>5144</s:v>
      </s:c>
      <s:c r="J249" s="6" t="n">
        <s:f>IF(COUNT(C249:I249)=7,SUM(C249:I249),"")</s:f>
        <s:v>105784</s:v>
      </s:c>
    </s:row>
    <s:row r="250">
      <s:c r="A250" s="5" t="n">
        <s:v>46276</s:v>
      </s:c>
      <s:c r="B250" s="2" t="n">
        <s:v>5</s:v>
      </s:c>
      <s:c r="C250" s="6" t="n">
        <s:v>8933</s:v>
      </s:c>
      <s:c r="D250" s="6" t="n">
        <s:v>23849</s:v>
      </s:c>
      <s:c r="E250" s="6" t="n">
        <s:v>9473</s:v>
      </s:c>
      <s:c r="F250" s="6" t="n">
        <s:v>11362</s:v>
      </s:c>
      <s:c r="G250" s="6" t="n">
        <s:v>25720</s:v>
      </s:c>
      <s:c r="H250" s="6" t="n">
        <s:v>24201</s:v>
      </s:c>
      <s:c r="I250" s="6" t="n">
        <s:v>5101</s:v>
      </s:c>
      <s:c r="J250" s="6" t="n">
        <s:f>IF(COUNT(C250:I250)=7,SUM(C250:I250),"")</s:f>
        <s:v>108639</s:v>
      </s:c>
    </s:row>
    <s:row r="251">
      <s:c r="A251" s="5" t="n">
        <s:v>46276</s:v>
      </s:c>
      <s:c r="B251" s="2" t="n">
        <s:v>6</s:v>
      </s:c>
      <s:c r="C251" s="6" t="n">
        <s:v>9320</s:v>
      </s:c>
      <s:c r="D251" s="6" t="n">
        <s:v>25800</s:v>
      </s:c>
      <s:c r="E251" s="6" t="n">
        <s:v>10394</s:v>
      </s:c>
      <s:c r="F251" s="6" t="n">
        <s:v>12304</s:v>
      </s:c>
      <s:c r="G251" s="6" t="n">
        <s:v>26774</s:v>
      </s:c>
      <s:c r="H251" s="6" t="n">
        <s:v>24047</s:v>
      </s:c>
      <s:c r="I251" s="6" t="n">
        <s:v>5192</s:v>
      </s:c>
      <s:c r="J251" s="6" t="n">
        <s:f>IF(COUNT(C251:I251)=7,SUM(C251:I251),"")</s:f>
        <s:v>113831</s:v>
      </s:c>
    </s:row>
    <s:row r="252">
      <s:c r="A252" s="5" t="n">
        <s:v>46276</s:v>
      </s:c>
      <s:c r="B252" s="2" t="n">
        <s:v>7</s:v>
      </s:c>
      <s:c r="C252" s="6" t="n">
        <s:v>9867</s:v>
      </s:c>
      <s:c r="D252" s="6" t="n">
        <s:v>27380</s:v>
      </s:c>
      <s:c r="E252" s="6" t="n">
        <s:v>11064</s:v>
      </s:c>
      <s:c r="F252" s="6" t="n">
        <s:v>13104</s:v>
      </s:c>
      <s:c r="G252" s="6" t="n">
        <s:v>26685</s:v>
      </s:c>
      <s:c r="H252" s="6" t="n">
        <s:v>23986</s:v>
      </s:c>
      <s:c r="I252" s="6" t="n">
        <s:v>5119</s:v>
      </s:c>
      <s:c r="J252" s="6" t="n">
        <s:f>IF(COUNT(C252:I252)=7,SUM(C252:I252),"")</s:f>
        <s:v>117205</s:v>
      </s:c>
    </s:row>
    <s:row r="253">
      <s:c r="A253" s="5" t="n">
        <s:v>46276</s:v>
      </s:c>
      <s:c r="B253" s="2" t="n">
        <s:v>8</s:v>
      </s:c>
      <s:c r="C253" s="6" t="n">
        <s:v>10468</s:v>
      </s:c>
      <s:c r="D253" s="6" t="n">
        <s:v>29243</s:v>
      </s:c>
      <s:c r="E253" s="6" t="n">
        <s:v>11869</s:v>
      </s:c>
      <s:c r="F253" s="6" t="n">
        <s:v>13485</s:v>
      </s:c>
      <s:c r="G253" s="6" t="n">
        <s:v>26895</s:v>
      </s:c>
      <s:c r="H253" s="6" t="n">
        <s:v>24667</s:v>
      </s:c>
      <s:c r="I253" s="6" t="n">
        <s:v>5175</s:v>
      </s:c>
      <s:c r="J253" s="6" t="n">
        <s:f>IF(COUNT(C253:I253)=7,SUM(C253:I253),"")</s:f>
        <s:v>121802</s:v>
      </s:c>
    </s:row>
    <s:row r="254">
      <s:c r="A254" s="5" t="n">
        <s:v>46276</s:v>
      </s:c>
      <s:c r="B254" s="2" t="n">
        <s:v>9</s:v>
      </s:c>
      <s:c r="C254" s="6" t="n">
        <s:v>10800</s:v>
      </s:c>
      <s:c r="D254" s="6" t="n">
        <s:v>29980</s:v>
      </s:c>
      <s:c r="E254" s="6" t="n">
        <s:v>12277</s:v>
      </s:c>
      <s:c r="F254" s="6" t="n">
        <s:v>13368</s:v>
      </s:c>
      <s:c r="G254" s="6" t="n">
        <s:v>26677</s:v>
      </s:c>
      <s:c r="H254" s="6" t="n">
        <s:v>24588</s:v>
      </s:c>
      <s:c r="I254" s="6" t="n">
        <s:v>5011</s:v>
      </s:c>
      <s:c r="J254" s="6" t="n">
        <s:f>IF(COUNT(C254:I254)=7,SUM(C254:I254),"")</s:f>
        <s:v>122701</s:v>
      </s:c>
    </s:row>
    <s:row r="255">
      <s:c r="A255" s="5" t="n">
        <s:v>46276</s:v>
      </s:c>
      <s:c r="B255" s="2" t="n">
        <s:v>10</s:v>
      </s:c>
      <s:c r="C255" s="6" t="n">
        <s:v>10844</s:v>
      </s:c>
      <s:c r="D255" s="6" t="n">
        <s:v>30081</s:v>
      </s:c>
      <s:c r="E255" s="6" t="n">
        <s:v>12361</s:v>
      </s:c>
      <s:c r="F255" s="6" t="n">
        <s:v>13245</s:v>
      </s:c>
      <s:c r="G255" s="6" t="n">
        <s:v>26842</s:v>
      </s:c>
      <s:c r="H255" s="6" t="n">
        <s:v>24827</s:v>
      </s:c>
      <s:c r="I255" s="6" t="n">
        <s:v>5114</s:v>
      </s:c>
      <s:c r="J255" s="6" t="n">
        <s:f>IF(COUNT(C255:I255)=7,SUM(C255:I255),"")</s:f>
        <s:v>123314</s:v>
      </s:c>
    </s:row>
    <s:row r="256">
      <s:c r="A256" s="5" t="n">
        <s:v>46276</s:v>
      </s:c>
      <s:c r="B256" s="2" t="n">
        <s:v>11</s:v>
      </s:c>
      <s:c r="C256" s="6" t="n">
        <s:v>10774</s:v>
      </s:c>
      <s:c r="D256" s="6" t="n">
        <s:v>29619</s:v>
      </s:c>
      <s:c r="E256" s="6" t="n">
        <s:v>12343</s:v>
      </s:c>
      <s:c r="F256" s="6" t="n">
        <s:v>13410</s:v>
      </s:c>
      <s:c r="G256" s="6" t="n">
        <s:v>26895</s:v>
      </s:c>
      <s:c r="H256" s="6" t="n">
        <s:v>24389</s:v>
      </s:c>
      <s:c r="I256" s="6" t="n">
        <s:v>5092</s:v>
      </s:c>
      <s:c r="J256" s="6" t="n">
        <s:f>IF(COUNT(C256:I256)=7,SUM(C256:I256),"")</s:f>
        <s:v>122522</s:v>
      </s:c>
    </s:row>
    <s:row r="257">
      <s:c r="A257" s="5" t="n">
        <s:v>46276</s:v>
      </s:c>
      <s:c r="B257" s="2" t="n">
        <s:v>12</s:v>
      </s:c>
      <s:c r="C257" s="6" t="n">
        <s:v>10787</s:v>
      </s:c>
      <s:c r="D257" s="6" t="n">
        <s:v>29585</s:v>
      </s:c>
      <s:c r="E257" s="6" t="n">
        <s:v>12506</s:v>
      </s:c>
      <s:c r="F257" s="6" t="n">
        <s:v>13285</s:v>
      </s:c>
      <s:c r="G257" s="6" t="n">
        <s:v>26703</s:v>
      </s:c>
      <s:c r="H257" s="6" t="n">
        <s:v>24327</s:v>
      </s:c>
      <s:c r="I257" s="6" t="n">
        <s:v>5316</s:v>
      </s:c>
      <s:c r="J257" s="6" t="n">
        <s:f>IF(COUNT(C257:I257)=7,SUM(C257:I257),"")</s:f>
        <s:v>122509</s:v>
      </s:c>
    </s:row>
    <s:row r="258">
      <s:c r="A258" s="5" t="n">
        <s:v>46276</s:v>
      </s:c>
      <s:c r="B258" s="2" t="n">
        <s:v>13</s:v>
      </s:c>
      <s:c r="C258" s="6" t="n">
        <s:v>10903</s:v>
      </s:c>
      <s:c r="D258" s="6" t="n">
        <s:v>29649</s:v>
      </s:c>
      <s:c r="E258" s="6" t="n">
        <s:v>12604</s:v>
      </s:c>
      <s:c r="F258" s="6" t="n">
        <s:v>13063</s:v>
      </s:c>
      <s:c r="G258" s="6" t="n">
        <s:v>26706</s:v>
      </s:c>
      <s:c r="H258" s="6" t="n">
        <s:v>24501</s:v>
      </s:c>
      <s:c r="I258" s="6" t="n">
        <s:v>5389</s:v>
      </s:c>
      <s:c r="J258" s="6" t="n">
        <s:f>IF(COUNT(C258:I258)=7,SUM(C258:I258),"")</s:f>
        <s:v>122815</s:v>
      </s:c>
    </s:row>
    <s:row r="259">
      <s:c r="A259" s="5" t="n">
        <s:v>46276</s:v>
      </s:c>
      <s:c r="B259" s="2" t="n">
        <s:v>14</s:v>
      </s:c>
      <s:c r="C259" s="6" t="n">
        <s:v>10850</s:v>
      </s:c>
      <s:c r="D259" s="6" t="n">
        <s:v>29521</s:v>
      </s:c>
      <s:c r="E259" s="6" t="n">
        <s:v>12675</s:v>
      </s:c>
      <s:c r="F259" s="6" t="n">
        <s:v>13132</s:v>
      </s:c>
      <s:c r="G259" s="6" t="n">
        <s:v>26913</s:v>
      </s:c>
      <s:c r="H259" s="6" t="n">
        <s:v>24394</s:v>
      </s:c>
      <s:c r="I259" s="6" t="n">
        <s:v>5191</s:v>
      </s:c>
      <s:c r="J259" s="6" t="n">
        <s:f>IF(COUNT(C259:I259)=7,SUM(C259:I259),"")</s:f>
        <s:v>122676</s:v>
      </s:c>
    </s:row>
    <s:row r="260">
      <s:c r="A260" s="5" t="n">
        <s:v>46276</s:v>
      </s:c>
      <s:c r="B260" s="2" t="n">
        <s:v>15</s:v>
      </s:c>
      <s:c r="C260" s="6" t="n">
        <s:v>10986</s:v>
      </s:c>
      <s:c r="D260" s="6" t="n">
        <s:v>29232</s:v>
      </s:c>
      <s:c r="E260" s="6" t="n">
        <s:v>12635</s:v>
      </s:c>
      <s:c r="F260" s="6" t="n">
        <s:v>12953</s:v>
      </s:c>
      <s:c r="G260" s="6" t="n">
        <s:v>26723</s:v>
      </s:c>
      <s:c r="H260" s="6" t="n">
        <s:v>24362</s:v>
      </s:c>
      <s:c r="I260" s="6" t="n">
        <s:v>5004</s:v>
      </s:c>
      <s:c r="J260" s="6" t="n">
        <s:f>IF(COUNT(C260:I260)=7,SUM(C260:I260),"")</s:f>
        <s:v>121895</s:v>
      </s:c>
    </s:row>
    <s:row r="261">
      <s:c r="A261" s="5" t="n">
        <s:v>46276</s:v>
      </s:c>
      <s:c r="B261" s="2" t="n">
        <s:v>16</s:v>
      </s:c>
      <s:c r="C261" s="6" t="n">
        <s:v>10736</s:v>
      </s:c>
      <s:c r="D261" s="6" t="n">
        <s:v>29004</s:v>
      </s:c>
      <s:c r="E261" s="6" t="n">
        <s:v>12405</s:v>
      </s:c>
      <s:c r="F261" s="6" t="n">
        <s:v>12812</s:v>
      </s:c>
      <s:c r="G261" s="6" t="n">
        <s:v>26545</s:v>
      </s:c>
      <s:c r="H261" s="6" t="n">
        <s:v>24384</s:v>
      </s:c>
      <s:c r="I261" s="6" t="n">
        <s:v>4797</s:v>
      </s:c>
      <s:c r="J261" s="6" t="n">
        <s:f>IF(COUNT(C261:I261)=7,SUM(C261:I261),"")</s:f>
        <s:v>120683</s:v>
      </s:c>
    </s:row>
    <s:row r="262">
      <s:c r="A262" s="5" t="n">
        <s:v>46276</s:v>
      </s:c>
      <s:c r="B262" s="2" t="n">
        <s:v>17</s:v>
      </s:c>
      <s:c r="C262" s="6" t="n">
        <s:v>10798</s:v>
      </s:c>
      <s:c r="D262" s="6" t="n">
        <s:v>29130</s:v>
      </s:c>
      <s:c r="E262" s="6" t="n">
        <s:v>12381</s:v>
      </s:c>
      <s:c r="F262" s="6" t="n">
        <s:v>12821</s:v>
      </s:c>
      <s:c r="G262" s="6" t="n">
        <s:v>26673</s:v>
      </s:c>
      <s:c r="H262" s="6" t="n">
        <s:v>24475</s:v>
      </s:c>
      <s:c r="I262" s="6" t="n">
        <s:v>4772</s:v>
      </s:c>
      <s:c r="J262" s="6" t="n">
        <s:f>IF(COUNT(C262:I262)=7,SUM(C262:I262),"")</s:f>
        <s:v>121050</s:v>
      </s:c>
    </s:row>
    <s:row r="263">
      <s:c r="A263" s="5" t="n">
        <s:v>46276</s:v>
      </s:c>
      <s:c r="B263" s="2" t="n">
        <s:v>18</s:v>
      </s:c>
      <s:c r="C263" s="6" t="n">
        <s:v>10917</s:v>
      </s:c>
      <s:c r="D263" s="6" t="n">
        <s:v>29543</s:v>
      </s:c>
      <s:c r="E263" s="6" t="n">
        <s:v>12756</s:v>
      </s:c>
      <s:c r="F263" s="6" t="n">
        <s:v>12933</s:v>
      </s:c>
      <s:c r="G263" s="6" t="n">
        <s:v>26790</s:v>
      </s:c>
      <s:c r="H263" s="6" t="n">
        <s:v>23543</s:v>
      </s:c>
      <s:c r="I263" s="6" t="n">
        <s:v>4537</s:v>
      </s:c>
      <s:c r="J263" s="6" t="n">
        <s:f>IF(COUNT(C263:I263)=7,SUM(C263:I263),"")</s:f>
        <s:v>121019</s:v>
      </s:c>
    </s:row>
    <s:row r="264">
      <s:c r="A264" s="5" t="n">
        <s:v>46276</s:v>
      </s:c>
      <s:c r="B264" s="2" t="n">
        <s:v>19</s:v>
      </s:c>
      <s:c r="C264" s="6" t="n">
        <s:v>11050</s:v>
      </s:c>
      <s:c r="D264" s="6" t="n">
        <s:v>29828</s:v>
      </s:c>
      <s:c r="E264" s="6" t="n">
        <s:v>12620</s:v>
      </s:c>
      <s:c r="F264" s="6" t="n">
        <s:v>12918</s:v>
      </s:c>
      <s:c r="G264" s="6" t="n">
        <s:v>26661</s:v>
      </s:c>
      <s:c r="H264" s="6" t="n">
        <s:v>22829</s:v>
      </s:c>
      <s:c r="I264" s="6" t="n">
        <s:v>4543</s:v>
      </s:c>
      <s:c r="J264" s="6" t="n">
        <s:f>IF(COUNT(C264:I264)=7,SUM(C264:I264),"")</s:f>
        <s:v>120449</s:v>
      </s:c>
    </s:row>
    <s:row r="265">
      <s:c r="A265" s="5" t="n">
        <s:v>46276</s:v>
      </s:c>
      <s:c r="B265" s="2" t="n">
        <s:v>20</s:v>
      </s:c>
      <s:c r="C265" s="6" t="n">
        <s:v>11005</s:v>
      </s:c>
      <s:c r="D265" s="6" t="n">
        <s:v>29392</s:v>
      </s:c>
      <s:c r="E265" s="6" t="n">
        <s:v>12295</s:v>
      </s:c>
      <s:c r="F265" s="6" t="n">
        <s:v>12601</s:v>
      </s:c>
      <s:c r="G265" s="6" t="n">
        <s:v>25706</s:v>
      </s:c>
      <s:c r="H265" s="6" t="n">
        <s:v>22500</s:v>
      </s:c>
      <s:c r="I265" s="6" t="n">
        <s:v>4432</s:v>
      </s:c>
      <s:c r="J265" s="6" t="n">
        <s:f>IF(COUNT(C265:I265)=7,SUM(C265:I265),"")</s:f>
        <s:v>117931</s:v>
      </s:c>
    </s:row>
    <s:row r="266">
      <s:c r="A266" s="5" t="n">
        <s:v>46276</s:v>
      </s:c>
      <s:c r="B266" s="2" t="n">
        <s:v>21</s:v>
      </s:c>
      <s:c r="C266" s="6" t="n">
        <s:v>10807</s:v>
      </s:c>
      <s:c r="D266" s="6" t="n">
        <s:v>28422</s:v>
      </s:c>
      <s:c r="E266" s="6" t="n">
        <s:v>11770</s:v>
      </s:c>
      <s:c r="F266" s="6" t="n">
        <s:v>12066</s:v>
      </s:c>
      <s:c r="G266" s="6" t="n">
        <s:v>25139</s:v>
      </s:c>
      <s:c r="H266" s="6" t="n">
        <s:v>22235</s:v>
      </s:c>
      <s:c r="I266" s="6" t="n">
        <s:v>4435</s:v>
      </s:c>
      <s:c r="J266" s="6" t="n">
        <s:f>IF(COUNT(C266:I266)=7,SUM(C266:I266),"")</s:f>
        <s:v>114874</s:v>
      </s:c>
    </s:row>
    <s:row r="267">
      <s:c r="A267" s="5" t="n">
        <s:v>46276</s:v>
      </s:c>
      <s:c r="B267" s="2" t="n">
        <s:v>22</s:v>
      </s:c>
      <s:c r="C267" s="6" t="n">
        <s:v>10295</s:v>
      </s:c>
      <s:c r="D267" s="6" t="n">
        <s:v>26879</s:v>
      </s:c>
      <s:c r="E267" s="6" t="n">
        <s:v>10992</s:v>
      </s:c>
      <s:c r="F267" s="6" t="n">
        <s:v>11410</s:v>
      </s:c>
      <s:c r="G267" s="6" t="n">
        <s:v>24521</s:v>
      </s:c>
      <s:c r="H267" s="6" t="n">
        <s:v>21972</s:v>
      </s:c>
      <s:c r="I267" s="6" t="n">
        <s:v>4473</s:v>
      </s:c>
      <s:c r="J267" s="6" t="n">
        <s:f>IF(COUNT(C267:I267)=7,SUM(C267:I267),"")</s:f>
        <s:v>110542</s:v>
      </s:c>
    </s:row>
    <s:row r="268">
      <s:c r="A268" s="5" t="n">
        <s:v>46276</s:v>
      </s:c>
      <s:c r="B268" s="2" t="n">
        <s:v>23</s:v>
      </s:c>
      <s:c r="C268" s="6" t="n">
        <s:v>9874</s:v>
      </s:c>
      <s:c r="D268" s="6" t="n">
        <s:v>25414</s:v>
      </s:c>
      <s:c r="E268" s="6" t="n">
        <s:v>10108</s:v>
      </s:c>
      <s:c r="F268" s="6" t="n">
        <s:v>10878</s:v>
      </s:c>
      <s:c r="G268" s="6" t="n">
        <s:v>23995</s:v>
      </s:c>
      <s:c r="H268" s="6" t="n">
        <s:v>21996</s:v>
      </s:c>
      <s:c r="I268" s="6" t="n">
        <s:v>4632</s:v>
      </s:c>
      <s:c r="J268" s="6" t="n">
        <s:f>IF(COUNT(C268:I268)=7,SUM(C268:I268),"")</s:f>
        <s:v>106897</s:v>
      </s:c>
    </s:row>
    <s:row r="269">
      <s:c r="A269" s="5" t="n">
        <s:v>46277</s:v>
      </s:c>
      <s:c r="B269" s="2" t="n">
        <s:v>0</s:v>
      </s:c>
      <s:c r="C269" s="6" t="n">
        <s:v>9459</s:v>
      </s:c>
      <s:c r="D269" s="6" t="n">
        <s:v>24440</s:v>
      </s:c>
      <s:c r="E269" s="6" t="n">
        <s:v>9765</s:v>
      </s:c>
      <s:c r="F269" s="6" t="n">
        <s:v>10649</s:v>
      </s:c>
      <s:c r="G269" s="6" t="n">
        <s:v>23768</s:v>
      </s:c>
      <s:c r="H269" s="6" t="n">
        <s:v>22147</s:v>
      </s:c>
      <s:c r="I269" s="6" t="n">
        <s:v>4881</s:v>
      </s:c>
      <s:c r="J269" s="6" t="n">
        <s:f>IF(COUNT(C269:I269)=7,SUM(C269:I269),"")</s:f>
        <s:v>105109</s:v>
      </s:c>
    </s:row>
    <s:row r="270">
      <s:c r="A270" s="5" t="n">
        <s:v>46277</s:v>
      </s:c>
      <s:c r="B270" s="2" t="n">
        <s:v>1</s:v>
      </s:c>
      <s:c r="C270" s="6" t="n">
        <s:v>9078</s:v>
      </s:c>
      <s:c r="D270" s="6" t="n">
        <s:v>23463</s:v>
      </s:c>
      <s:c r="E270" s="6" t="n">
        <s:v>9279</s:v>
      </s:c>
      <s:c r="F270" s="6" t="n">
        <s:v>10530</s:v>
      </s:c>
      <s:c r="G270" s="6" t="n">
        <s:v>23616</s:v>
      </s:c>
      <s:c r="H270" s="6" t="n">
        <s:v>22203</s:v>
      </s:c>
      <s:c r="I270" s="6" t="n">
        <s:v>5117</s:v>
      </s:c>
      <s:c r="J270" s="6" t="n">
        <s:f>IF(COUNT(C270:I270)=7,SUM(C270:I270),"")</s:f>
        <s:v>103286</s:v>
      </s:c>
    </s:row>
    <s:row r="271">
      <s:c r="A271" s="5" t="n">
        <s:v>46277</s:v>
      </s:c>
      <s:c r="B271" s="2" t="n">
        <s:v>2</s:v>
      </s:c>
      <s:c r="C271" s="6" t="n">
        <s:v>8946</s:v>
      </s:c>
      <s:c r="D271" s="6" t="n">
        <s:v>23369</s:v>
      </s:c>
      <s:c r="E271" s="6" t="n">
        <s:v>9132</s:v>
      </s:c>
      <s:c r="F271" s="6" t="n">
        <s:v>10403</s:v>
      </s:c>
      <s:c r="G271" s="6" t="n">
        <s:v>23569</s:v>
      </s:c>
      <s:c r="H271" s="6" t="n">
        <s:v>22772</s:v>
      </s:c>
      <s:c r="I271" s="6" t="n">
        <s:v>5252</s:v>
      </s:c>
      <s:c r="J271" s="6" t="n">
        <s:f>IF(COUNT(C271:I271)=7,SUM(C271:I271),"")</s:f>
        <s:v>103443</s:v>
      </s:c>
    </s:row>
    <s:row r="272">
      <s:c r="A272" s="5" t="n">
        <s:v>46277</s:v>
      </s:c>
      <s:c r="B272" s="2" t="n">
        <s:v>3</s:v>
      </s:c>
      <s:c r="C272" s="6" t="n">
        <s:v>8899</s:v>
      </s:c>
      <s:c r="D272" s="6" t="n">
        <s:v>23178</s:v>
      </s:c>
      <s:c r="E272" s="6" t="n">
        <s:v>9164</s:v>
      </s:c>
      <s:c r="F272" s="6" t="n">
        <s:v>10460</s:v>
      </s:c>
      <s:c r="G272" s="6" t="n">
        <s:v>23491</s:v>
      </s:c>
      <s:c r="H272" s="6" t="n">
        <s:v>23277</s:v>
      </s:c>
      <s:c r="I272" s="6" t="n">
        <s:v>5388</s:v>
      </s:c>
      <s:c r="J272" s="6" t="n">
        <s:f>IF(COUNT(C272:I272)=7,SUM(C272:I272),"")</s:f>
        <s:v>103857</s:v>
      </s:c>
    </s:row>
    <s:row r="273">
      <s:c r="A273" s="5" t="n">
        <s:v>46277</s:v>
      </s:c>
      <s:c r="B273" s="2" t="n">
        <s:v>4</s:v>
      </s:c>
      <s:c r="C273" s="6" t="n">
        <s:v>8920</s:v>
      </s:c>
      <s:c r="D273" s="6" t="n">
        <s:v>23250</s:v>
      </s:c>
      <s:c r="E273" s="6" t="n">
        <s:v>9229</s:v>
      </s:c>
      <s:c r="F273" s="6" t="n">
        <s:v>10377</s:v>
      </s:c>
      <s:c r="G273" s="6" t="n">
        <s:v>23821</s:v>
      </s:c>
      <s:c r="H273" s="6" t="n">
        <s:v>24163</s:v>
      </s:c>
      <s:c r="I273" s="6" t="n">
        <s:v>5259</s:v>
      </s:c>
      <s:c r="J273" s="6" t="n">
        <s:f>IF(COUNT(C273:I273)=7,SUM(C273:I273),"")</s:f>
        <s:v>105019</s:v>
      </s:c>
    </s:row>
    <s:row r="274">
      <s:c r="A274" s="5" t="n">
        <s:v>46277</s:v>
      </s:c>
      <s:c r="B274" s="2" t="n">
        <s:v>5</s:v>
      </s:c>
      <s:c r="C274" s="6" t="n">
        <s:v>8913</s:v>
      </s:c>
      <s:c r="D274" s="6" t="n">
        <s:v>23515</s:v>
      </s:c>
      <s:c r="E274" s="6" t="n">
        <s:v>9189</s:v>
      </s:c>
      <s:c r="F274" s="6" t="n">
        <s:v>10536</s:v>
      </s:c>
      <s:c r="G274" s="6" t="n">
        <s:v>24334</s:v>
      </s:c>
      <s:c r="H274" s="6" t="n">
        <s:v>24598</s:v>
      </s:c>
      <s:c r="I274" s="6" t="n">
        <s:v>5395</s:v>
      </s:c>
      <s:c r="J274" s="6" t="n">
        <s:f>IF(COUNT(C274:I274)=7,SUM(C274:I274),"")</s:f>
        <s:v>106480</s:v>
      </s:c>
    </s:row>
    <s:row r="275">
      <s:c r="A275" s="5" t="n">
        <s:v>46277</s:v>
      </s:c>
      <s:c r="B275" s="2" t="n">
        <s:v>6</s:v>
      </s:c>
      <s:c r="C275" s="6" t="n">
        <s:v>9122</s:v>
      </s:c>
      <s:c r="D275" s="6" t="n">
        <s:v>24352</s:v>
      </s:c>
      <s:c r="E275" s="6" t="n">
        <s:v>9803</s:v>
      </s:c>
      <s:c r="F275" s="6" t="n">
        <s:v>11228</s:v>
      </s:c>
      <s:c r="G275" s="6" t="n">
        <s:v>25689</s:v>
      </s:c>
      <s:c r="H275" s="6" t="n">
        <s:v>24630</s:v>
      </s:c>
      <s:c r="I275" s="6" t="n">
        <s:v>5372</s:v>
      </s:c>
      <s:c r="J275" s="6" t="n">
        <s:f>IF(COUNT(C275:I275)=7,SUM(C275:I275),"")</s:f>
        <s:v>110196</s:v>
      </s:c>
    </s:row>
    <s:row r="276">
      <s:c r="A276" s="5" t="n">
        <s:v>46277</s:v>
      </s:c>
      <s:c r="B276" s="2" t="n">
        <s:v>7</s:v>
      </s:c>
      <s:c r="C276" s="6" t="n">
        <s:v>9431</s:v>
      </s:c>
      <s:c r="D276" s="6" t="n">
        <s:v>25551</s:v>
      </s:c>
      <s:c r="E276" s="6" t="n">
        <s:v>10424</s:v>
      </s:c>
      <s:c r="F276" s="6" t="n">
        <s:v>11834</s:v>
      </s:c>
      <s:c r="G276" s="6" t="n">
        <s:v>26387</s:v>
      </s:c>
      <s:c r="H276" s="6" t="n">
        <s:v>24637</s:v>
      </s:c>
      <s:c r="I276" s="6" t="n">
        <s:v>5270</s:v>
      </s:c>
      <s:c r="J276" s="6" t="n">
        <s:f>IF(COUNT(C276:I276)=7,SUM(C276:I276),"")</s:f>
        <s:v>113534</s:v>
      </s:c>
    </s:row>
    <s:row r="277">
      <s:c r="A277" s="5" t="n">
        <s:v>46277</s:v>
      </s:c>
      <s:c r="B277" s="2" t="n">
        <s:v>8</s:v>
      </s:c>
      <s:c r="C277" s="6" t="n">
        <s:v>10074</s:v>
      </s:c>
      <s:c r="D277" s="6" t="n">
        <s:v>27366</s:v>
      </s:c>
      <s:c r="E277" s="6" t="n">
        <s:v>11498</s:v>
      </s:c>
      <s:c r="F277" s="6" t="n">
        <s:v>12488</s:v>
      </s:c>
      <s:c r="G277" s="6" t="n">
        <s:v>26638</s:v>
      </s:c>
      <s:c r="H277" s="6" t="n">
        <s:v>24681</s:v>
      </s:c>
      <s:c r="I277" s="6" t="n">
        <s:v>5129</s:v>
      </s:c>
      <s:c r="J277" s="6" t="n">
        <s:f>IF(COUNT(C277:I277)=7,SUM(C277:I277),"")</s:f>
        <s:v>117874</s:v>
      </s:c>
    </s:row>
    <s:row r="278">
      <s:c r="A278" s="5" t="n">
        <s:v>46277</s:v>
      </s:c>
      <s:c r="B278" s="2" t="n">
        <s:v>9</s:v>
      </s:c>
      <s:c r="C278" s="6" t="n">
        <s:v>10520</s:v>
      </s:c>
      <s:c r="D278" s="6" t="n">
        <s:v>28385</s:v>
      </s:c>
      <s:c r="E278" s="6" t="n">
        <s:v>12167</s:v>
      </s:c>
      <s:c r="F278" s="6" t="n">
        <s:v>12482</s:v>
      </s:c>
      <s:c r="G278" s="6" t="n">
        <s:v>26928</s:v>
      </s:c>
      <s:c r="H278" s="6" t="n">
        <s:v>24537</s:v>
      </s:c>
      <s:c r="I278" s="6" t="n">
        <s:v>5235</s:v>
      </s:c>
      <s:c r="J278" s="6" t="n">
        <s:f>IF(COUNT(C278:I278)=7,SUM(C278:I278),"")</s:f>
        <s:v>120254</s:v>
      </s:c>
    </s:row>
    <s:row r="279">
      <s:c r="A279" s="5" t="n">
        <s:v>46277</s:v>
      </s:c>
      <s:c r="B279" s="2" t="n">
        <s:v>10</s:v>
      </s:c>
      <s:c r="C279" s="6" t="n">
        <s:v>10664</s:v>
      </s:c>
      <s:c r="D279" s="6" t="n">
        <s:v>28539</s:v>
      </s:c>
      <s:c r="E279" s="6" t="n">
        <s:v>12435</s:v>
      </s:c>
      <s:c r="F279" s="6" t="n">
        <s:v>12735</s:v>
      </s:c>
      <s:c r="G279" s="6" t="n">
        <s:v>26870</s:v>
      </s:c>
      <s:c r="H279" s="6" t="n">
        <s:v>24240</s:v>
      </s:c>
      <s:c r="I279" s="6" t="n">
        <s:v>5199</s:v>
      </s:c>
      <s:c r="J279" s="6" t="n">
        <s:f>IF(COUNT(C279:I279)=7,SUM(C279:I279),"")</s:f>
        <s:v>120682</s:v>
      </s:c>
    </s:row>
    <s:row r="280">
      <s:c r="A280" s="5" t="n">
        <s:v>46277</s:v>
      </s:c>
      <s:c r="B280" s="2" t="n">
        <s:v>11</s:v>
      </s:c>
      <s:c r="C280" s="6" t="n">
        <s:v>10651</s:v>
      </s:c>
      <s:c r="D280" s="6" t="n">
        <s:v>28402</s:v>
      </s:c>
      <s:c r="E280" s="6" t="n">
        <s:v>12551</s:v>
      </s:c>
      <s:c r="F280" s="6" t="n">
        <s:v>12617</s:v>
      </s:c>
      <s:c r="G280" s="6" t="n">
        <s:v>27124</s:v>
      </s:c>
      <s:c r="H280" s="6" t="n">
        <s:v>24383</s:v>
      </s:c>
      <s:c r="I280" s="6" t="n">
        <s:v>5297</s:v>
      </s:c>
      <s:c r="J280" s="6" t="n">
        <s:f>IF(COUNT(C280:I280)=7,SUM(C280:I280),"")</s:f>
        <s:v>121025</s:v>
      </s:c>
    </s:row>
    <s:row r="281">
      <s:c r="A281" s="5" t="n">
        <s:v>46277</s:v>
      </s:c>
      <s:c r="B281" s="2" t="n">
        <s:v>12</s:v>
      </s:c>
      <s:c r="C281" s="6" t="n">
        <s:v>10568</s:v>
      </s:c>
      <s:c r="D281" s="6" t="n">
        <s:v>28609</s:v>
      </s:c>
      <s:c r="E281" s="6" t="n">
        <s:v>12636</s:v>
      </s:c>
      <s:c r="F281" s="6" t="n">
        <s:v>12533</s:v>
      </s:c>
      <s:c r="G281" s="6" t="n">
        <s:v>26865</s:v>
      </s:c>
      <s:c r="H281" s="6" t="n">
        <s:v>24668</s:v>
      </s:c>
      <s:c r="I281" s="6" t="n">
        <s:v>5458</s:v>
      </s:c>
      <s:c r="J281" s="6" t="n">
        <s:f>IF(COUNT(C281:I281)=7,SUM(C281:I281),"")</s:f>
        <s:v>121337</s:v>
      </s:c>
    </s:row>
    <s:row r="282">
      <s:c r="A282" s="5" t="n">
        <s:v>46277</s:v>
      </s:c>
      <s:c r="B282" s="2" t="n">
        <s:v>13</s:v>
      </s:c>
      <s:c r="C282" s="6" t="n">
        <s:v>10648</s:v>
      </s:c>
      <s:c r="D282" s="6" t="n">
        <s:v>28585</s:v>
      </s:c>
      <s:c r="E282" s="6" t="n">
        <s:v>12709</s:v>
      </s:c>
      <s:c r="F282" s="6" t="n">
        <s:v>12466</s:v>
      </s:c>
      <s:c r="G282" s="6" t="n">
        <s:v>26711</s:v>
      </s:c>
      <s:c r="H282" s="6" t="n">
        <s:v>24686</s:v>
      </s:c>
      <s:c r="I282" s="6" t="n">
        <s:v>5395</s:v>
      </s:c>
      <s:c r="J282" s="6" t="n">
        <s:f>IF(COUNT(C282:I282)=7,SUM(C282:I282),"")</s:f>
        <s:v>121200</s:v>
      </s:c>
    </s:row>
    <s:row r="283">
      <s:c r="A283" s="5" t="n">
        <s:v>46277</s:v>
      </s:c>
      <s:c r="B283" s="2" t="n">
        <s:v>14</s:v>
      </s:c>
      <s:c r="C283" s="6" t="n">
        <s:v>10574</s:v>
      </s:c>
      <s:c r="D283" s="6" t="n">
        <s:v>28367</s:v>
      </s:c>
      <s:c r="E283" s="6" t="n">
        <s:v>12673</s:v>
      </s:c>
      <s:c r="F283" s="6" t="n">
        <s:v>12301</s:v>
      </s:c>
      <s:c r="G283" s="6" t="n">
        <s:v>26610</s:v>
      </s:c>
      <s:c r="H283" s="6" t="n">
        <s:v>24786</s:v>
      </s:c>
      <s:c r="I283" s="6" t="n">
        <s:v>5332</s:v>
      </s:c>
      <s:c r="J283" s="6" t="n">
        <s:f>IF(COUNT(C283:I283)=7,SUM(C283:I283),"")</s:f>
        <s:v>120643</s:v>
      </s:c>
    </s:row>
    <s:row r="284">
      <s:c r="A284" s="5" t="n">
        <s:v>46277</s:v>
      </s:c>
      <s:c r="B284" s="2" t="n">
        <s:v>15</s:v>
      </s:c>
      <s:c r="C284" s="6" t="n">
        <s:v>10568</s:v>
      </s:c>
      <s:c r="D284" s="6" t="n">
        <s:v>28583</s:v>
      </s:c>
      <s:c r="E284" s="6" t="n">
        <s:v>12781</s:v>
      </s:c>
      <s:c r="F284" s="6" t="n">
        <s:v>12129</s:v>
      </s:c>
      <s:c r="G284" s="6" t="n">
        <s:v>26842</s:v>
      </s:c>
      <s:c r="H284" s="6" t="n">
        <s:v>24612</s:v>
      </s:c>
      <s:c r="I284" s="6" t="n">
        <s:v>4994</s:v>
      </s:c>
      <s:c r="J284" s="6" t="n">
        <s:f>IF(COUNT(C284:I284)=7,SUM(C284:I284),"")</s:f>
        <s:v>120509</s:v>
      </s:c>
    </s:row>
    <s:row r="285">
      <s:c r="A285" s="5" t="n">
        <s:v>46277</s:v>
      </s:c>
      <s:c r="B285" s="2" t="n">
        <s:v>16</s:v>
      </s:c>
      <s:c r="C285" s="6" t="n">
        <s:v>10526</s:v>
      </s:c>
      <s:c r="D285" s="6" t="n">
        <s:v>28406</s:v>
      </s:c>
      <s:c r="E285" s="6" t="n">
        <s:v>12829</s:v>
      </s:c>
      <s:c r="F285" s="6" t="n">
        <s:v>12241</s:v>
      </s:c>
      <s:c r="G285" s="6" t="n">
        <s:v>26617</s:v>
      </s:c>
      <s:c r="H285" s="6" t="n">
        <s:v>24720</s:v>
      </s:c>
      <s:c r="I285" s="6" t="n">
        <s:v>4921</s:v>
      </s:c>
      <s:c r="J285" s="6" t="n">
        <s:f>IF(COUNT(C285:I285)=7,SUM(C285:I285),"")</s:f>
        <s:v>120260</s:v>
      </s:c>
    </s:row>
    <s:row r="286">
      <s:c r="A286" s="5" t="n">
        <s:v>46277</s:v>
      </s:c>
      <s:c r="B286" s="2" t="n">
        <s:v>17</s:v>
      </s:c>
      <s:c r="C286" s="6" t="n">
        <s:v>10634</s:v>
      </s:c>
      <s:c r="D286" s="6" t="n">
        <s:v>28396</s:v>
      </s:c>
      <s:c r="E286" s="6" t="n">
        <s:v>12492</s:v>
      </s:c>
      <s:c r="F286" s="6" t="n">
        <s:v>12407</s:v>
      </s:c>
      <s:c r="G286" s="6" t="n">
        <s:v>26840</s:v>
      </s:c>
      <s:c r="H286" s="6" t="n">
        <s:v>24197</s:v>
      </s:c>
      <s:c r="I286" s="6" t="n">
        <s:v>4648</s:v>
      </s:c>
      <s:c r="J286" s="6" t="n">
        <s:f>IF(COUNT(C286:I286)=7,SUM(C286:I286),"")</s:f>
        <s:v>119614</s:v>
      </s:c>
    </s:row>
    <s:row r="287">
      <s:c r="A287" s="5" t="n">
        <s:v>46277</s:v>
      </s:c>
      <s:c r="B287" s="2" t="n">
        <s:v>18</s:v>
      </s:c>
      <s:c r="C287" s="6" t="n">
        <s:v>10627</s:v>
      </s:c>
      <s:c r="D287" s="6" t="n">
        <s:v>28698</s:v>
      </s:c>
      <s:c r="E287" s="6" t="n">
        <s:v>12833</s:v>
      </s:c>
      <s:c r="F287" s="6" t="n">
        <s:v>12614</s:v>
      </s:c>
      <s:c r="G287" s="6" t="n">
        <s:v>27059</s:v>
      </s:c>
      <s:c r="H287" s="6" t="n">
        <s:v>23531</s:v>
      </s:c>
      <s:c r="I287" s="6" t="n">
        <s:v>4765</s:v>
      </s:c>
      <s:c r="J287" s="6" t="n">
        <s:f>IF(COUNT(C287:I287)=7,SUM(C287:I287),"")</s:f>
        <s:v>120127</s:v>
      </s:c>
    </s:row>
    <s:row r="288">
      <s:c r="A288" s="5" t="n">
        <s:v>46277</s:v>
      </s:c>
      <s:c r="B288" s="2" t="n">
        <s:v>19</s:v>
      </s:c>
      <s:c r="C288" s="6" t="n">
        <s:v>10865</s:v>
      </s:c>
      <s:c r="D288" s="6" t="n">
        <s:v>29519</s:v>
      </s:c>
      <s:c r="E288" s="6" t="n">
        <s:v>12687</s:v>
      </s:c>
      <s:c r="F288" s="6" t="n">
        <s:v>12462</s:v>
      </s:c>
      <s:c r="G288" s="6" t="n">
        <s:v>26460</s:v>
      </s:c>
      <s:c r="H288" s="6" t="n">
        <s:v>22755</s:v>
      </s:c>
      <s:c r="I288" s="6" t="n">
        <s:v>4507</s:v>
      </s:c>
      <s:c r="J288" s="6" t="n">
        <s:f>IF(COUNT(C288:I288)=7,SUM(C288:I288),"")</s:f>
        <s:v>119255</s:v>
      </s:c>
    </s:row>
    <s:row r="289">
      <s:c r="A289" s="5" t="n">
        <s:v>46277</s:v>
      </s:c>
      <s:c r="B289" s="2" t="n">
        <s:v>20</s:v>
      </s:c>
      <s:c r="C289" s="6" t="n">
        <s:v>10950</s:v>
      </s:c>
      <s:c r="D289" s="6" t="n">
        <s:v>29051</s:v>
      </s:c>
      <s:c r="E289" s="6" t="n">
        <s:v>12210</s:v>
      </s:c>
      <s:c r="F289" s="6" t="n">
        <s:v>12111</s:v>
      </s:c>
      <s:c r="G289" s="6" t="n">
        <s:v>25854</s:v>
      </s:c>
      <s:c r="H289" s="6" t="n">
        <s:v>22319</s:v>
      </s:c>
      <s:c r="I289" s="6" t="n">
        <s:v>4475</s:v>
      </s:c>
      <s:c r="J289" s="6" t="n">
        <s:f>IF(COUNT(C289:I289)=7,SUM(C289:I289),"")</s:f>
        <s:v>116970</s:v>
      </s:c>
    </s:row>
    <s:row r="290">
      <s:c r="A290" s="5" t="n">
        <s:v>46277</s:v>
      </s:c>
      <s:c r="B290" s="2" t="n">
        <s:v>21</s:v>
      </s:c>
      <s:c r="C290" s="6" t="n">
        <s:v>10630</s:v>
      </s:c>
      <s:c r="D290" s="6" t="n">
        <s:v>27968</s:v>
      </s:c>
      <s:c r="E290" s="6" t="n">
        <s:v>11692</s:v>
      </s:c>
      <s:c r="F290" s="6" t="n">
        <s:v>11650</s:v>
      </s:c>
      <s:c r="G290" s="6" t="n">
        <s:v>24903</s:v>
      </s:c>
      <s:c r="H290" s="6" t="n">
        <s:v>22112</s:v>
      </s:c>
      <s:c r="I290" s="6" t="n">
        <s:v>4482</s:v>
      </s:c>
      <s:c r="J290" s="6" t="n">
        <s:f>IF(COUNT(C290:I290)=7,SUM(C290:I290),"")</s:f>
        <s:v>113437</s:v>
      </s:c>
    </s:row>
    <s:row r="291">
      <s:c r="A291" s="5" t="n">
        <s:v>46277</s:v>
      </s:c>
      <s:c r="B291" s="2" t="n">
        <s:v>22</s:v>
      </s:c>
      <s:c r="C291" s="6" t="n">
        <s:v>10222</s:v>
      </s:c>
      <s:c r="D291" s="6" t="n">
        <s:v>26610</s:v>
      </s:c>
      <s:c r="E291" s="6" t="n">
        <s:v>11018</s:v>
      </s:c>
      <s:c r="F291" s="6" t="n">
        <s:v>11130</s:v>
      </s:c>
      <s:c r="G291" s="6" t="n">
        <s:v>23990</s:v>
      </s:c>
      <s:c r="H291" s="6" t="n">
        <s:v>21830</s:v>
      </s:c>
      <s:c r="I291" s="6" t="n">
        <s:v>4416</s:v>
      </s:c>
      <s:c r="J291" s="6" t="n">
        <s:f>IF(COUNT(C291:I291)=7,SUM(C291:I291),"")</s:f>
        <s:v>109216</s:v>
      </s:c>
    </s:row>
    <s:row r="292">
      <s:c r="A292" s="5" t="n">
        <s:v>46277</s:v>
      </s:c>
      <s:c r="B292" s="2" t="n">
        <s:v>23</s:v>
      </s:c>
      <s:c r="C292" s="6" t="n">
        <s:v>9857</s:v>
      </s:c>
      <s:c r="D292" s="6" t="n">
        <s:v>25237</s:v>
      </s:c>
      <s:c r="E292" s="6" t="n">
        <s:v>10254</s:v>
      </s:c>
      <s:c r="F292" s="6" t="n">
        <s:v>10584</s:v>
      </s:c>
      <s:c r="G292" s="6" t="n">
        <s:v>23872</s:v>
      </s:c>
      <s:c r="H292" s="6" t="n">
        <s:v>21594</s:v>
      </s:c>
      <s:c r="I292" s="6" t="n">
        <s:v>4554</s:v>
      </s:c>
      <s:c r="J292" s="6" t="n">
        <s:f>IF(COUNT(C292:I292)=7,SUM(C292:I292),"")</s:f>
        <s:v>105952</s:v>
      </s:c>
    </s:row>
    <s:row r="293">
      <s:c r="A293" s="5" t="n">
        <s:v>46278</s:v>
      </s:c>
      <s:c r="B293" s="2" t="n">
        <s:v>0</s:v>
      </s:c>
      <s:c r="C293" s="6" t="n">
        <s:v>9387</s:v>
      </s:c>
      <s:c r="D293" s="6" t="n">
        <s:v>24356</s:v>
      </s:c>
      <s:c r="E293" s="6" t="n">
        <s:v>9516</s:v>
      </s:c>
      <s:c r="F293" s="6" t="n">
        <s:v>10338</s:v>
      </s:c>
      <s:c r="G293" s="6" t="n">
        <s:v>23582</s:v>
      </s:c>
      <s:c r="H293" s="6" t="n">
        <s:v>21766</s:v>
      </s:c>
      <s:c r="I293" s="6" t="n">
        <s:v>4672</s:v>
      </s:c>
      <s:c r="J293" s="6" t="n">
        <s:f>IF(COUNT(C293:I293)=7,SUM(C293:I293),"")</s:f>
        <s:v>103617</s:v>
      </s:c>
    </s:row>
    <s:row r="294">
      <s:c r="A294" s="5" t="n">
        <s:v>46278</s:v>
      </s:c>
      <s:c r="B294" s="2" t="n">
        <s:v>1</s:v>
      </s:c>
      <s:c r="C294" s="6" t="n">
        <s:v>9055</s:v>
      </s:c>
      <s:c r="D294" s="6" t="n">
        <s:v>23527</s:v>
      </s:c>
      <s:c r="E294" s="6" t="n">
        <s:v>9144</s:v>
      </s:c>
      <s:c r="F294" s="6" t="n">
        <s:v>10366</s:v>
      </s:c>
      <s:c r="G294" s="6" t="n">
        <s:v>23196</s:v>
      </s:c>
      <s:c r="H294" s="6" t="n">
        <s:v>21986</s:v>
      </s:c>
      <s:c r="I294" s="6" t="n">
        <s:v>4992</s:v>
      </s:c>
      <s:c r="J294" s="6" t="n">
        <s:f>IF(COUNT(C294:I294)=7,SUM(C294:I294),"")</s:f>
        <s:v>102266</s:v>
      </s:c>
    </s:row>
    <s:row r="295">
      <s:c r="A295" s="5" t="n">
        <s:v>46278</s:v>
      </s:c>
      <s:c r="B295" s="2" t="n">
        <s:v>2</s:v>
      </s:c>
      <s:c r="C295" s="6" t="n">
        <s:v>8907</s:v>
      </s:c>
      <s:c r="D295" s="6" t="n">
        <s:v>23383</s:v>
      </s:c>
      <s:c r="E295" s="6" t="n">
        <s:v>9112</s:v>
      </s:c>
      <s:c r="F295" s="6" t="n">
        <s:v>10253</s:v>
      </s:c>
      <s:c r="G295" s="6" t="n">
        <s:v>23610</s:v>
      </s:c>
      <s:c r="H295" s="6" t="n">
        <s:v>22511</s:v>
      </s:c>
      <s:c r="I295" s="6" t="n">
        <s:v>5161</s:v>
      </s:c>
      <s:c r="J295" s="6" t="n">
        <s:f>IF(COUNT(C295:I295)=7,SUM(C295:I295),"")</s:f>
        <s:v>102937</s:v>
      </s:c>
    </s:row>
    <s:row r="296">
      <s:c r="A296" s="5" t="n">
        <s:v>46278</s:v>
      </s:c>
      <s:c r="B296" s="2" t="n">
        <s:v>3</s:v>
      </s:c>
      <s:c r="C296" s="6" t="n">
        <s:v>8838</s:v>
      </s:c>
      <s:c r="D296" s="6" t="n">
        <s:v>23341</s:v>
      </s:c>
      <s:c r="E296" s="6" t="n">
        <s:v>8980</s:v>
      </s:c>
      <s:c r="F296" s="6" t="n">
        <s:v>10252</s:v>
      </s:c>
      <s:c r="G296" s="6" t="n">
        <s:v>23439</s:v>
      </s:c>
      <s:c r="H296" s="6" t="n">
        <s:v>23003</s:v>
      </s:c>
      <s:c r="I296" s="6" t="n">
        <s:v>5298</s:v>
      </s:c>
      <s:c r="J296" s="6" t="n">
        <s:f>IF(COUNT(C296:I296)=7,SUM(C296:I296),"")</s:f>
        <s:v>103151</s:v>
      </s:c>
    </s:row>
    <s:row r="297">
      <s:c r="A297" s="5" t="n">
        <s:v>46278</s:v>
      </s:c>
      <s:c r="B297" s="2" t="n">
        <s:v>4</s:v>
      </s:c>
      <s:c r="C297" s="6" t="n">
        <s:v>8871</s:v>
      </s:c>
      <s:c r="D297" s="6" t="n">
        <s:v>23338</s:v>
      </s:c>
      <s:c r="E297" s="6" t="n">
        <s:v>9162</s:v>
      </s:c>
      <s:c r="F297" s="6" t="n">
        <s:v>10185</s:v>
      </s:c>
      <s:c r="G297" s="6" t="n">
        <s:v>23545</s:v>
      </s:c>
      <s:c r="H297" s="6" t="n">
        <s:v>23708</s:v>
      </s:c>
      <s:c r="I297" s="6" t="n">
        <s:v>5256</s:v>
      </s:c>
      <s:c r="J297" s="6" t="n">
        <s:f>IF(COUNT(C297:I297)=7,SUM(C297:I297),"")</s:f>
        <s:v>104065</s:v>
      </s:c>
    </s:row>
    <s:row r="298">
      <s:c r="A298" s="5" t="n">
        <s:v>46278</s:v>
      </s:c>
      <s:c r="B298" s="2" t="n">
        <s:v>5</s:v>
      </s:c>
      <s:c r="C298" s="6" t="n">
        <s:v>8873</s:v>
      </s:c>
      <s:c r="D298" s="6" t="n">
        <s:v>23463</s:v>
      </s:c>
      <s:c r="E298" s="6" t="n">
        <s:v>9039</s:v>
      </s:c>
      <s:c r="F298" s="6" t="n">
        <s:v>10182</s:v>
      </s:c>
      <s:c r="G298" s="6" t="n">
        <s:v>24221</s:v>
      </s:c>
      <s:c r="H298" s="6" t="n">
        <s:v>24321</s:v>
      </s:c>
      <s:c r="I298" s="6" t="n">
        <s:v>5322</s:v>
      </s:c>
      <s:c r="J298" s="6" t="n">
        <s:f>IF(COUNT(C298:I298)=7,SUM(C298:I298),"")</s:f>
        <s:v>105421</s:v>
      </s:c>
    </s:row>
    <s:row r="299">
      <s:c r="A299" s="5" t="n">
        <s:v>46278</s:v>
      </s:c>
      <s:c r="B299" s="2" t="n">
        <s:v>6</s:v>
      </s:c>
      <s:c r="C299" s="6" t="n">
        <s:v>8888</s:v>
      </s:c>
      <s:c r="D299" s="6" t="n">
        <s:v>23980</s:v>
      </s:c>
      <s:c r="E299" s="6" t="n">
        <s:v>9525</s:v>
      </s:c>
      <s:c r="F299" s="6" t="n">
        <s:v>10488</s:v>
      </s:c>
      <s:c r="G299" s="6" t="n">
        <s:v>25298</s:v>
      </s:c>
      <s:c r="H299" s="6" t="n">
        <s:v>24511</s:v>
      </s:c>
      <s:c r="I299" s="6" t="n">
        <s:v>5287</s:v>
      </s:c>
      <s:c r="J299" s="6" t="n">
        <s:f>IF(COUNT(C299:I299)=7,SUM(C299:I299),"")</s:f>
        <s:v>107977</s:v>
      </s:c>
    </s:row>
    <s:row r="300">
      <s:c r="A300" s="5" t="n">
        <s:v>46278</s:v>
      </s:c>
      <s:c r="B300" s="2" t="n">
        <s:v>7</s:v>
      </s:c>
      <s:c r="C300" s="6" t="n">
        <s:v>9225</s:v>
      </s:c>
      <s:c r="D300" s="6" t="n">
        <s:v>25031</s:v>
      </s:c>
      <s:c r="E300" s="6" t="n">
        <s:v>10075</s:v>
      </s:c>
      <s:c r="F300" s="6" t="n">
        <s:v>11187</s:v>
      </s:c>
      <s:c r="G300" s="6" t="n">
        <s:v>25767</s:v>
      </s:c>
      <s:c r="H300" s="6" t="n">
        <s:v>24428</s:v>
      </s:c>
      <s:c r="I300" s="6" t="n">
        <s:v>5133</s:v>
      </s:c>
      <s:c r="J300" s="6" t="n">
        <s:f>IF(COUNT(C300:I300)=7,SUM(C300:I300),"")</s:f>
        <s:v>110846</s:v>
      </s:c>
    </s:row>
    <s:row r="301">
      <s:c r="A301" s="5" t="n">
        <s:v>46278</s:v>
      </s:c>
      <s:c r="B301" s="2" t="n">
        <s:v>8</s:v>
      </s:c>
      <s:c r="C301" s="6" t="n">
        <s:v>9836</s:v>
      </s:c>
      <s:c r="D301" s="6" t="n">
        <s:v>26893</s:v>
      </s:c>
      <s:c r="E301" s="6" t="n">
        <s:v>11034</s:v>
      </s:c>
      <s:c r="F301" s="6" t="n">
        <s:v>11723</s:v>
      </s:c>
      <s:c r="G301" s="6" t="n">
        <s:v>26586</s:v>
      </s:c>
      <s:c r="H301" s="6" t="n">
        <s:v>24472</s:v>
      </s:c>
      <s:c r="I301" s="6" t="n">
        <s:v>5175</s:v>
      </s:c>
      <s:c r="J301" s="6" t="n">
        <s:f>IF(COUNT(C301:I301)=7,SUM(C301:I301),"")</s:f>
        <s:v>115719</s:v>
      </s:c>
    </s:row>
    <s:row r="302">
      <s:c r="A302" s="5" t="n">
        <s:v>46278</s:v>
      </s:c>
      <s:c r="B302" s="2" t="n">
        <s:v>9</s:v>
      </s:c>
      <s:c r="C302" s="6" t="n">
        <s:v>10277</s:v>
      </s:c>
      <s:c r="D302" s="6" t="n">
        <s:v>27819</s:v>
      </s:c>
      <s:c r="E302" s="6" t="n">
        <s:v>11762</s:v>
      </s:c>
      <s:c r="F302" s="6" t="n">
        <s:v>11820</s:v>
      </s:c>
      <s:c r="G302" s="6" t="n">
        <s:v>26757</s:v>
      </s:c>
      <s:c r="H302" s="6" t="n">
        <s:v>24406</s:v>
      </s:c>
      <s:c r="I302" s="6" t="n">
        <s:v>5171</s:v>
      </s:c>
      <s:c r="J302" s="6" t="n">
        <s:f>IF(COUNT(C302:I302)=7,SUM(C302:I302),"")</s:f>
        <s:v>118012</s:v>
      </s:c>
    </s:row>
    <s:row r="303">
      <s:c r="A303" s="5" t="n">
        <s:v>46278</s:v>
      </s:c>
      <s:c r="B303" s="2" t="n">
        <s:v>10</s:v>
      </s:c>
      <s:c r="C303" s="6" t="n">
        <s:v>10515</s:v>
      </s:c>
      <s:c r="D303" s="6" t="n">
        <s:v>27998</s:v>
      </s:c>
      <s:c r="E303" s="6" t="n">
        <s:v>12257</s:v>
      </s:c>
      <s:c r="F303" s="6" t="n">
        <s:v>11916</s:v>
      </s:c>
      <s:c r="G303" s="6" t="n">
        <s:v>27029</s:v>
      </s:c>
      <s:c r="H303" s="6" t="n">
        <s:v>24619</s:v>
      </s:c>
      <s:c r="I303" s="6" t="n">
        <s:v>5235</s:v>
      </s:c>
      <s:c r="J303" s="6" t="n">
        <s:f>IF(COUNT(C303:I303)=7,SUM(C303:I303),"")</s:f>
        <s:v>119569</s:v>
      </s:c>
    </s:row>
    <s:row r="304">
      <s:c r="A304" s="5" t="n">
        <s:v>46278</s:v>
      </s:c>
      <s:c r="B304" s="2" t="n">
        <s:v>11</s:v>
      </s:c>
      <s:c r="C304" s="6" t="n">
        <s:v>10592</s:v>
      </s:c>
      <s:c r="D304" s="6" t="n">
        <s:v>27846</s:v>
      </s:c>
      <s:c r="E304" s="6" t="n">
        <s:v>12342</s:v>
      </s:c>
      <s:c r="F304" s="6" t="n">
        <s:v>11923</s:v>
      </s:c>
      <s:c r="G304" s="6" t="n">
        <s:v>26818</s:v>
      </s:c>
      <s:c r="H304" s="6" t="n">
        <s:v>24384</s:v>
      </s:c>
      <s:c r="I304" s="6" t="n">
        <s:v>5306</s:v>
      </s:c>
      <s:c r="J304" s="6" t="n">
        <s:f>IF(COUNT(C304:I304)=7,SUM(C304:I304),"")</s:f>
        <s:v>119211</s:v>
      </s:c>
    </s:row>
    <s:row r="305">
      <s:c r="A305" s="5" t="n">
        <s:v>46278</s:v>
      </s:c>
      <s:c r="B305" s="2" t="n">
        <s:v>12</s:v>
      </s:c>
      <s:c r="C305" s="6" t="n">
        <s:v>10600</s:v>
      </s:c>
      <s:c r="D305" s="6" t="n">
        <s:v>28096</s:v>
      </s:c>
      <s:c r="E305" s="6" t="n">
        <s:v>12893</s:v>
      </s:c>
      <s:c r="F305" s="6" t="n">
        <s:v>11964</s:v>
      </s:c>
      <s:c r="G305" s="6" t="n">
        <s:v>26950</s:v>
      </s:c>
      <s:c r="H305" s="6" t="n">
        <s:v>24596</s:v>
      </s:c>
      <s:c r="I305" s="6" t="n">
        <s:v>5360</s:v>
      </s:c>
      <s:c r="J305" s="6" t="n">
        <s:f>IF(COUNT(C305:I305)=7,SUM(C305:I305),"")</s:f>
        <s:v>120459</s:v>
      </s:c>
    </s:row>
    <s:row r="306">
      <s:c r="A306" s="5" t="n">
        <s:v>46278</s:v>
      </s:c>
      <s:c r="B306" s="2" t="n">
        <s:v>13</s:v>
      </s:c>
      <s:c r="C306" s="6" t="n">
        <s:v>10636</s:v>
      </s:c>
      <s:c r="D306" s="6" t="n">
        <s:v>28242</s:v>
      </s:c>
      <s:c r="E306" s="6" t="n">
        <s:v>12920</s:v>
      </s:c>
      <s:c r="F306" s="6" t="n">
        <s:v>11839</s:v>
      </s:c>
      <s:c r="G306" s="6" t="n">
        <s:v>26887</s:v>
      </s:c>
      <s:c r="H306" s="6" t="n">
        <s:v>24831</s:v>
      </s:c>
      <s:c r="I306" s="6" t="n">
        <s:v>5429</s:v>
      </s:c>
      <s:c r="J306" s="6" t="n">
        <s:f>IF(COUNT(C306:I306)=7,SUM(C306:I306),"")</s:f>
        <s:v>120784</s:v>
      </s:c>
    </s:row>
    <s:row r="307">
      <s:c r="A307" s="5" t="n">
        <s:v>46278</s:v>
      </s:c>
      <s:c r="B307" s="2" t="n">
        <s:v>14</s:v>
      </s:c>
      <s:c r="C307" s="6" t="n">
        <s:v>10631</s:v>
      </s:c>
      <s:c r="D307" s="6" t="n">
        <s:v>27835</s:v>
      </s:c>
      <s:c r="E307" s="6" t="n">
        <s:v>12943</s:v>
      </s:c>
      <s:c r="F307" s="6" t="n">
        <s:v>11761</s:v>
      </s:c>
      <s:c r="G307" s="6" t="n">
        <s:v>26983</s:v>
      </s:c>
      <s:c r="H307" s="6" t="n">
        <s:v>24987</s:v>
      </s:c>
      <s:c r="I307" s="6" t="n">
        <s:v>5254</s:v>
      </s:c>
      <s:c r="J307" s="6" t="n">
        <s:f>IF(COUNT(C307:I307)=7,SUM(C307:I307),"")</s:f>
        <s:v>120394</s:v>
      </s:c>
    </s:row>
    <s:row r="308">
      <s:c r="A308" s="5" t="n">
        <s:v>46278</s:v>
      </s:c>
      <s:c r="B308" s="2" t="n">
        <s:v>15</s:v>
      </s:c>
      <s:c r="C308" s="6" t="n">
        <s:v>10622</s:v>
      </s:c>
      <s:c r="D308" s="6" t="n">
        <s:v>28143</s:v>
      </s:c>
      <s:c r="E308" s="6" t="n">
        <s:v>12977</s:v>
      </s:c>
      <s:c r="F308" s="6" t="n">
        <s:v>11835</s:v>
      </s:c>
      <s:c r="G308" s="6" t="n">
        <s:v>27200</s:v>
      </s:c>
      <s:c r="H308" s="6" t="n">
        <s:v>25024</s:v>
      </s:c>
      <s:c r="I308" s="6" t="n">
        <s:v>4968</s:v>
      </s:c>
      <s:c r="J308" s="6" t="n">
        <s:f>IF(COUNT(C308:I308)=7,SUM(C308:I308),"")</s:f>
        <s:v>120769</s:v>
      </s:c>
    </s:row>
    <s:row r="309">
      <s:c r="A309" s="5" t="n">
        <s:v>46278</s:v>
      </s:c>
      <s:c r="B309" s="2" t="n">
        <s:v>16</s:v>
      </s:c>
      <s:c r="C309" s="6" t="n">
        <s:v>10692</s:v>
      </s:c>
      <s:c r="D309" s="6" t="n">
        <s:v>28260</s:v>
      </s:c>
      <s:c r="E309" s="6" t="n">
        <s:v>12927</s:v>
      </s:c>
      <s:c r="F309" s="6" t="n">
        <s:v>11970</s:v>
      </s:c>
      <s:c r="G309" s="6" t="n">
        <s:v>26933</s:v>
      </s:c>
      <s:c r="H309" s="6" t="n">
        <s:v>24995</s:v>
      </s:c>
      <s:c r="I309" s="6" t="n">
        <s:v>4830</s:v>
      </s:c>
      <s:c r="J309" s="6" t="n">
        <s:f>IF(COUNT(C309:I309)=7,SUM(C309:I309),"")</s:f>
        <s:v>120607</s:v>
      </s:c>
    </s:row>
    <s:row r="310">
      <s:c r="A310" s="5" t="n">
        <s:v>46278</s:v>
      </s:c>
      <s:c r="B310" s="2" t="n">
        <s:v>17</s:v>
      </s:c>
      <s:c r="C310" s="6" t="n">
        <s:v>10798</s:v>
      </s:c>
      <s:c r="D310" s="6" t="n">
        <s:v>28401</s:v>
      </s:c>
      <s:c r="E310" s="6" t="n">
        <s:v>12695</s:v>
      </s:c>
      <s:c r="F310" s="6" t="n">
        <s:v>12170</s:v>
      </s:c>
      <s:c r="G310" s="6" t="n">
        <s:v>27195</s:v>
      </s:c>
      <s:c r="H310" s="6" t="n">
        <s:v>24329</s:v>
      </s:c>
      <s:c r="I310" s="6" t="n">
        <s:v>4567</s:v>
      </s:c>
      <s:c r="J310" s="6" t="n">
        <s:f>IF(COUNT(C310:I310)=7,SUM(C310:I310),"")</s:f>
        <s:v>120155</s:v>
      </s:c>
    </s:row>
    <s:row r="311">
      <s:c r="A311" s="5" t="n">
        <s:v>46278</s:v>
      </s:c>
      <s:c r="B311" s="2" t="n">
        <s:v>18</s:v>
      </s:c>
      <s:c r="C311" s="6" t="n">
        <s:v>10912</s:v>
      </s:c>
      <s:c r="D311" s="6" t="n">
        <s:v>28817</s:v>
      </s:c>
      <s:c r="E311" s="6" t="n">
        <s:v>13304</s:v>
      </s:c>
      <s:c r="F311" s="6" t="n">
        <s:v>12379</s:v>
      </s:c>
      <s:c r="G311" s="6" t="n">
        <s:v>27228</s:v>
      </s:c>
      <s:c r="H311" s="6" t="n">
        <s:v>23528</s:v>
      </s:c>
      <s:c r="I311" s="6" t="n">
        <s:v>4424</s:v>
      </s:c>
      <s:c r="J311" s="6" t="n">
        <s:f>IF(COUNT(C311:I311)=7,SUM(C311:I311),"")</s:f>
        <s:v>120592</s:v>
      </s:c>
    </s:row>
    <s:row r="312">
      <s:c r="A312" s="5" t="n">
        <s:v>46278</s:v>
      </s:c>
      <s:c r="B312" s="2" t="n">
        <s:v>19</s:v>
      </s:c>
      <s:c r="C312" s="6" t="n">
        <s:v>11083</s:v>
      </s:c>
      <s:c r="D312" s="6" t="n">
        <s:v>29618</s:v>
      </s:c>
      <s:c r="E312" s="6" t="n">
        <s:v>13226</s:v>
      </s:c>
      <s:c r="F312" s="6" t="n">
        <s:v>12371</s:v>
      </s:c>
      <s:c r="G312" s="6" t="n">
        <s:v>26911</s:v>
      </s:c>
      <s:c r="H312" s="6" t="n">
        <s:v>22880</s:v>
      </s:c>
      <s:c r="I312" s="6" t="n">
        <s:v>4452</s:v>
      </s:c>
      <s:c r="J312" s="6" t="n">
        <s:f>IF(COUNT(C312:I312)=7,SUM(C312:I312),"")</s:f>
        <s:v>120541</s:v>
      </s:c>
    </s:row>
    <s:row r="313">
      <s:c r="A313" s="5" t="n">
        <s:v>46278</s:v>
      </s:c>
      <s:c r="B313" s="2" t="n">
        <s:v>20</s:v>
      </s:c>
      <s:c r="C313" s="6" t="n">
        <s:v>11092</s:v>
      </s:c>
      <s:c r="D313" s="6" t="n">
        <s:v>29460</s:v>
      </s:c>
      <s:c r="E313" s="6" t="n">
        <s:v>12890</s:v>
      </s:c>
      <s:c r="F313" s="6" t="n">
        <s:v>12118</s:v>
      </s:c>
      <s:c r="G313" s="6" t="n">
        <s:v>26184</s:v>
      </s:c>
      <s:c r="H313" s="6" t="n">
        <s:v>22285</s:v>
      </s:c>
      <s:c r="I313" s="6" t="n">
        <s:v>4335</s:v>
      </s:c>
      <s:c r="J313" s="6" t="n">
        <s:f>IF(COUNT(C313:I313)=7,SUM(C313:I313),"")</s:f>
        <s:v>118364</s:v>
      </s:c>
    </s:row>
    <s:row r="314">
      <s:c r="A314" s="5" t="n">
        <s:v>46278</s:v>
      </s:c>
      <s:c r="B314" s="2" t="n">
        <s:v>21</s:v>
      </s:c>
      <s:c r="C314" s="6" t="n">
        <s:v>10598</s:v>
      </s:c>
      <s:c r="D314" s="6" t="n">
        <s:v>28172</s:v>
      </s:c>
      <s:c r="E314" s="6" t="n">
        <s:v>11877</s:v>
      </s:c>
      <s:c r="F314" s="6" t="n">
        <s:v>11528</s:v>
      </s:c>
      <s:c r="G314" s="6" t="n">
        <s:v>24865</s:v>
      </s:c>
      <s:c r="H314" s="6" t="n">
        <s:v>22160</s:v>
      </s:c>
      <s:c r="I314" s="6" t="n">
        <s:v>4445</s:v>
      </s:c>
      <s:c r="J314" s="6" t="n">
        <s:f>IF(COUNT(C314:I314)=7,SUM(C314:I314),"")</s:f>
        <s:v>113645</s:v>
      </s:c>
    </s:row>
    <s:row r="315">
      <s:c r="A315" s="5" t="n">
        <s:v>46278</s:v>
      </s:c>
      <s:c r="B315" s="2" t="n">
        <s:v>22</s:v>
      </s:c>
      <s:c r="C315" s="6" t="n">
        <s:v>10122</s:v>
      </s:c>
      <s:c r="D315" s="6" t="n">
        <s:v>26352</s:v>
      </s:c>
      <s:c r="E315" s="6" t="n">
        <s:v>11121</s:v>
      </s:c>
      <s:c r="F315" s="6" t="n">
        <s:v>10919</s:v>
      </s:c>
      <s:c r="G315" s="6" t="n">
        <s:v>24296</s:v>
      </s:c>
      <s:c r="H315" s="6" t="n">
        <s:v>22114</s:v>
      </s:c>
      <s:c r="I315" s="6" t="n">
        <s:v>4439</s:v>
      </s:c>
      <s:c r="J315" s="6" t="n">
        <s:f>IF(COUNT(C315:I315)=7,SUM(C315:I315),"")</s:f>
        <s:v>109363</s:v>
      </s:c>
    </s:row>
    <s:row r="316">
      <s:c r="A316" s="5" t="n">
        <s:v>46278</s:v>
      </s:c>
      <s:c r="B316" s="2" t="n">
        <s:v>23</s:v>
      </s:c>
      <s:c r="C316" s="6" t="n">
        <s:v>9670</s:v>
      </s:c>
      <s:c r="D316" s="6" t="n">
        <s:v>25081</s:v>
      </s:c>
      <s:c r="E316" s="6" t="n">
        <s:v>10082</s:v>
      </s:c>
      <s:c r="F316" s="6" t="n">
        <s:v>10535</s:v>
      </s:c>
      <s:c r="G316" s="6" t="n">
        <s:v>23682</s:v>
      </s:c>
      <s:c r="H316" s="6" t="n">
        <s:v>22019</s:v>
      </s:c>
      <s:c r="I316" s="6" t="n">
        <s:v>4677</s:v>
      </s:c>
      <s:c r="J316" s="6" t="n">
        <s:f>IF(COUNT(C316:I316)=7,SUM(C316:I316),"")</s:f>
        <s:v>105746</s:v>
      </s:c>
    </s:row>
    <s:row r="317">
      <s:c r="A317" s="5" t="n">
        <s:v>46279</s:v>
      </s:c>
      <s:c r="B317" s="2" t="n">
        <s:v>0</s:v>
      </s:c>
      <s:c r="C317" s="6" t="n">
        <s:v>9245</s:v>
      </s:c>
      <s:c r="D317" s="6" t="n">
        <s:v>24042</s:v>
      </s:c>
      <s:c r="E317" s="6" t="n">
        <s:v>9735</s:v>
      </s:c>
      <s:c r="F317" s="6" t="n">
        <s:v>10103</s:v>
      </s:c>
      <s:c r="G317" s="6" t="n">
        <s:v>23506</s:v>
      </s:c>
      <s:c r="H317" s="6" t="n">
        <s:v>22105</s:v>
      </s:c>
      <s:c r="I317" s="6" t="n">
        <s:v>4833</s:v>
      </s:c>
      <s:c r="J317" s="6" t="n">
        <s:f>IF(COUNT(C317:I317)=7,SUM(C317:I317),"")</s:f>
        <s:v>103569</s:v>
      </s:c>
    </s:row>
    <s:row r="318">
      <s:c r="A318" s="5" t="n">
        <s:v>46279</s:v>
      </s:c>
      <s:c r="B318" s="2" t="n">
        <s:v>1</s:v>
      </s:c>
      <s:c r="C318" s="6" t="n">
        <s:v>8988</s:v>
      </s:c>
      <s:c r="D318" s="6" t="n">
        <s:v>23361</s:v>
      </s:c>
      <s:c r="E318" s="6" t="n">
        <s:v>9235</s:v>
      </s:c>
      <s:c r="F318" s="6" t="n">
        <s:v>10080</s:v>
      </s:c>
      <s:c r="G318" s="6" t="n">
        <s:v>23663</s:v>
      </s:c>
      <s:c r="H318" s="6" t="n">
        <s:v>22889</s:v>
      </s:c>
      <s:c r="I318" s="6" t="n">
        <s:v>5054</s:v>
      </s:c>
      <s:c r="J318" s="6" t="n">
        <s:f>IF(COUNT(C318:I318)=7,SUM(C318:I318),"")</s:f>
        <s:v>103270</s:v>
      </s:c>
    </s:row>
    <s:row r="319">
      <s:c r="A319" s="5" t="n">
        <s:v>46279</s:v>
      </s:c>
      <s:c r="B319" s="2" t="n">
        <s:v>2</s:v>
      </s:c>
      <s:c r="C319" s="6" t="n">
        <s:v>8861</s:v>
      </s:c>
      <s:c r="D319" s="6" t="n">
        <s:v>23003</s:v>
      </s:c>
      <s:c r="E319" s="6" t="n">
        <s:v>9209</s:v>
      </s:c>
      <s:c r="F319" s="6" t="n">
        <s:v>10272</s:v>
      </s:c>
      <s:c r="G319" s="6" t="n">
        <s:v>23833</s:v>
      </s:c>
      <s:c r="H319" s="6" t="n">
        <s:v>23522</s:v>
      </s:c>
      <s:c r="I319" s="6" t="n">
        <s:v>5259</s:v>
      </s:c>
      <s:c r="J319" s="6" t="n">
        <s:f>IF(COUNT(C319:I319)=7,SUM(C319:I319),"")</s:f>
        <s:v>103959</s:v>
      </s:c>
    </s:row>
    <s:row r="320">
      <s:c r="A320" s="5" t="n">
        <s:v>46279</s:v>
      </s:c>
      <s:c r="B320" s="2" t="n">
        <s:v>3</s:v>
      </s:c>
      <s:c r="C320" s="6" t="n">
        <s:v>8804</s:v>
      </s:c>
      <s:c r="D320" s="6" t="n">
        <s:v>23166</s:v>
      </s:c>
      <s:c r="E320" s="6" t="n">
        <s:v>9134</s:v>
      </s:c>
      <s:c r="F320" s="6" t="n">
        <s:v>10159</s:v>
      </s:c>
      <s:c r="G320" s="6" t="n">
        <s:v>24179</s:v>
      </s:c>
      <s:c r="H320" s="6" t="n">
        <s:v>23759</s:v>
      </s:c>
      <s:c r="I320" s="6" t="n">
        <s:v>5224</s:v>
      </s:c>
      <s:c r="J320" s="6" t="n">
        <s:f>IF(COUNT(C320:I320)=7,SUM(C320:I320),"")</s:f>
        <s:v>104425</s:v>
      </s:c>
    </s:row>
    <s:row r="321">
      <s:c r="A321" s="5" t="n">
        <s:v>46279</s:v>
      </s:c>
      <s:c r="B321" s="2" t="n">
        <s:v>4</s:v>
      </s:c>
      <s:c r="C321" s="6" t="n">
        <s:v>8889</s:v>
      </s:c>
      <s:c r="D321" s="6" t="n">
        <s:v>23598</s:v>
      </s:c>
      <s:c r="E321" s="6" t="n">
        <s:v>9342</s:v>
      </s:c>
      <s:c r="F321" s="6" t="n">
        <s:v>10519</s:v>
      </s:c>
      <s:c r="G321" s="6" t="n">
        <s:v>25223</s:v>
      </s:c>
      <s:c r="H321" s="6" t="n">
        <s:v>24175</s:v>
      </s:c>
      <s:c r="I321" s="6" t="n">
        <s:v>5229</s:v>
      </s:c>
      <s:c r="J321" s="6" t="n">
        <s:f>IF(COUNT(C321:I321)=7,SUM(C321:I321),"")</s:f>
        <s:v>106975</s:v>
      </s:c>
    </s:row>
    <s:row r="322">
      <s:c r="A322" s="5" t="n">
        <s:v>46279</s:v>
      </s:c>
      <s:c r="B322" s="2" t="n">
        <s:v>5</s:v>
      </s:c>
      <s:c r="C322" s="6" t="n">
        <s:v>9123</s:v>
      </s:c>
      <s:c r="D322" s="6" t="n">
        <s:v>24210</s:v>
      </s:c>
      <s:c r="E322" s="6" t="n">
        <s:v>9572</s:v>
      </s:c>
      <s:c r="F322" s="6" t="n">
        <s:v>11266</s:v>
      </s:c>
      <s:c r="G322" s="6" t="n">
        <s:v>26156</s:v>
      </s:c>
      <s:c r="H322" s="6" t="n">
        <s:v>24459</s:v>
      </s:c>
      <s:c r="I322" s="6" t="n">
        <s:v>5131</s:v>
      </s:c>
      <s:c r="J322" s="6" t="n">
        <s:f>IF(COUNT(C322:I322)=7,SUM(C322:I322),"")</s:f>
        <s:v>109917</s:v>
      </s:c>
    </s:row>
    <s:row r="323">
      <s:c r="A323" s="5" t="n">
        <s:v>46279</s:v>
      </s:c>
      <s:c r="B323" s="2" t="n">
        <s:v>6</s:v>
      </s:c>
      <s:c r="C323" s="6" t="n">
        <s:v>9501</s:v>
      </s:c>
      <s:c r="D323" s="6" t="n">
        <s:v>26155</s:v>
      </s:c>
      <s:c r="E323" s="6" t="n">
        <s:v>10408</s:v>
      </s:c>
      <s:c r="F323" s="6" t="n">
        <s:v>12036</s:v>
      </s:c>
      <s:c r="G323" s="6" t="n">
        <s:v>27200</s:v>
      </s:c>
      <s:c r="H323" s="6" t="n">
        <s:v>24349</s:v>
      </s:c>
      <s:c r="I323" s="6" t="n">
        <s:v>5095</s:v>
      </s:c>
      <s:c r="J323" s="6" t="n">
        <s:f>IF(COUNT(C323:I323)=7,SUM(C323:I323),"")</s:f>
        <s:v>114744</s:v>
      </s:c>
    </s:row>
    <s:row r="324">
      <s:c r="A324" s="5" t="n">
        <s:v>46279</s:v>
      </s:c>
      <s:c r="B324" s="2" t="n">
        <s:v>7</s:v>
      </s:c>
      <s:c r="C324" s="6" t="n">
        <s:v>10099</s:v>
      </s:c>
      <s:c r="D324" s="6" t="n">
        <s:v>27613</s:v>
      </s:c>
      <s:c r="E324" s="6" t="n">
        <s:v>11491</s:v>
      </s:c>
      <s:c r="F324" s="6" t="n">
        <s:v>12666</s:v>
      </s:c>
      <s:c r="G324" s="6" t="n">
        <s:v>27396</s:v>
      </s:c>
      <s:c r="H324" s="6" t="n">
        <s:v>24001</s:v>
      </s:c>
      <s:c r="I324" s="6" t="n">
        <s:v>5057</s:v>
      </s:c>
      <s:c r="J324" s="6" t="n">
        <s:f>IF(COUNT(C324:I324)=7,SUM(C324:I324),"")</s:f>
        <s:v>118323</s:v>
      </s:c>
    </s:row>
    <s:row r="325">
      <s:c r="A325" s="5" t="n">
        <s:v>46279</s:v>
      </s:c>
      <s:c r="B325" s="2" t="n">
        <s:v>8</s:v>
      </s:c>
      <s:c r="C325" s="6" t="n">
        <s:v>10740</s:v>
      </s:c>
      <s:c r="D325" s="6" t="n">
        <s:v>29656</s:v>
      </s:c>
      <s:c r="E325" s="6" t="n">
        <s:v>12405</s:v>
      </s:c>
      <s:c r="F325" s="6" t="n">
        <s:v>13176</s:v>
      </s:c>
      <s:c r="G325" s="6" t="n">
        <s:v>27458</s:v>
      </s:c>
      <s:c r="H325" s="6" t="n">
        <s:v>24813</s:v>
      </s:c>
      <s:c r="I325" s="6" t="n">
        <s:v>5118</s:v>
      </s:c>
      <s:c r="J325" s="6" t="n">
        <s:f>IF(COUNT(C325:I325)=7,SUM(C325:I325),"")</s:f>
        <s:v>123366</s:v>
      </s:c>
    </s:row>
    <s:row r="326">
      <s:c r="A326" s="5" t="n">
        <s:v>46279</s:v>
      </s:c>
      <s:c r="B326" s="2" t="n">
        <s:v>9</s:v>
      </s:c>
      <s:c r="C326" s="6" t="n">
        <s:v>11014</s:v>
      </s:c>
      <s:c r="D326" s="6" t="n">
        <s:v>30041</s:v>
      </s:c>
      <s:c r="E326" s="6" t="n">
        <s:v>12961</s:v>
      </s:c>
      <s:c r="F326" s="6" t="n">
        <s:v>13103</s:v>
      </s:c>
      <s:c r="G326" s="6" t="n">
        <s:v>27386</s:v>
      </s:c>
      <s:c r="H326" s="6" t="n">
        <s:v>24694</s:v>
      </s:c>
      <s:c r="I326" s="6" t="n">
        <s:v>5040</s:v>
      </s:c>
      <s:c r="J326" s="6" t="n">
        <s:f>IF(COUNT(C326:I326)=7,SUM(C326:I326),"")</s:f>
        <s:v>124239</s:v>
      </s:c>
    </s:row>
    <s:row r="327">
      <s:c r="A327" s="5" t="n">
        <s:v>46279</s:v>
      </s:c>
      <s:c r="B327" s="2" t="n">
        <s:v>10</s:v>
      </s:c>
      <s:c r="C327" s="6" t="n">
        <s:v>11040</s:v>
      </s:c>
      <s:c r="D327" s="6" t="n">
        <s:v>30092</s:v>
      </s:c>
      <s:c r="E327" s="6" t="n">
        <s:v>13026</s:v>
      </s:c>
      <s:c r="F327" s="6" t="n">
        <s:v>13119</s:v>
      </s:c>
      <s:c r="G327" s="6" t="n">
        <s:v>27644</s:v>
      </s:c>
      <s:c r="H327" s="6" t="n">
        <s:v>24803</s:v>
      </s:c>
      <s:c r="I327" s="6" t="n">
        <s:v>5059</s:v>
      </s:c>
      <s:c r="J327" s="6" t="n">
        <s:f>IF(COUNT(C327:I327)=7,SUM(C327:I327),"")</s:f>
        <s:v>124783</s:v>
      </s:c>
    </s:row>
    <s:row r="328">
      <s:c r="A328" s="5" t="n">
        <s:v>46279</s:v>
      </s:c>
      <s:c r="B328" s="2" t="n">
        <s:v>11</s:v>
      </s:c>
      <s:c r="C328" s="6" t="n">
        <s:v>10946</s:v>
      </s:c>
      <s:c r="D328" s="6" t="n">
        <s:v>29887</s:v>
      </s:c>
      <s:c r="E328" s="6" t="n">
        <s:v>12982</s:v>
      </s:c>
      <s:c r="F328" s="6" t="n">
        <s:v>13082</s:v>
      </s:c>
      <s:c r="G328" s="6" t="n">
        <s:v>27425</s:v>
      </s:c>
      <s:c r="H328" s="6" t="n">
        <s:v>24502</s:v>
      </s:c>
      <s:c r="I328" s="6" t="n">
        <s:v>5127</s:v>
      </s:c>
      <s:c r="J328" s="6" t="n">
        <s:f>IF(COUNT(C328:I328)=7,SUM(C328:I328),"")</s:f>
        <s:v>123951</s:v>
      </s:c>
    </s:row>
    <s:row r="329">
      <s:c r="A329" s="5" t="n">
        <s:v>46279</s:v>
      </s:c>
      <s:c r="B329" s="2" t="n">
        <s:v>12</s:v>
      </s:c>
      <s:c r="C329" s="6" t="n">
        <s:v>10864</s:v>
      </s:c>
      <s:c r="D329" s="6" t="n">
        <s:v>29751</s:v>
      </s:c>
      <s:c r="E329" s="6" t="n">
        <s:v>13111</s:v>
      </s:c>
      <s:c r="F329" s="6" t="n">
        <s:v>13023</s:v>
      </s:c>
      <s:c r="G329" s="6" t="n">
        <s:v>27353</s:v>
      </s:c>
      <s:c r="H329" s="6" t="n">
        <s:v>24126</s:v>
      </s:c>
      <s:c r="I329" s="6" t="n">
        <s:v>5367</s:v>
      </s:c>
      <s:c r="J329" s="6" t="n">
        <s:f>IF(COUNT(C329:I329)=7,SUM(C329:I329),"")</s:f>
        <s:v>123595</s:v>
      </s:c>
    </s:row>
    <s:row r="330">
      <s:c r="A330" s="5" t="n">
        <s:v>46279</s:v>
      </s:c>
      <s:c r="B330" s="2" t="n">
        <s:v>13</s:v>
      </s:c>
      <s:c r="C330" s="6" t="n">
        <s:v>10867</s:v>
      </s:c>
      <s:c r="D330" s="6" t="n">
        <s:v>29854</s:v>
      </s:c>
      <s:c r="E330" s="6" t="n">
        <s:v>13296</s:v>
      </s:c>
      <s:c r="F330" s="6" t="n">
        <s:v>12865</s:v>
      </s:c>
      <s:c r="G330" s="6" t="n">
        <s:v>26989</s:v>
      </s:c>
      <s:c r="H330" s="6" t="n">
        <s:v>24525</s:v>
      </s:c>
      <s:c r="I330" s="6" t="n">
        <s:v>5430</s:v>
      </s:c>
      <s:c r="J330" s="6" t="n">
        <s:f>IF(COUNT(C330:I330)=7,SUM(C330:I330),"")</s:f>
        <s:v>123826</s:v>
      </s:c>
    </s:row>
    <s:row r="331">
      <s:c r="A331" s="5" t="n">
        <s:v>46279</s:v>
      </s:c>
      <s:c r="B331" s="2" t="n">
        <s:v>14</s:v>
      </s:c>
      <s:c r="C331" s="6" t="n">
        <s:v>10761</s:v>
      </s:c>
      <s:c r="D331" s="6" t="n">
        <s:v>29734</s:v>
      </s:c>
      <s:c r="E331" s="6" t="n">
        <s:v>13206</s:v>
      </s:c>
      <s:c r="F331" s="6" t="n">
        <s:v>12876</s:v>
      </s:c>
      <s:c r="G331" s="6" t="n">
        <s:v>26873</s:v>
      </s:c>
      <s:c r="H331" s="6" t="n">
        <s:v>24567</s:v>
      </s:c>
      <s:c r="I331" s="6" t="n">
        <s:v>5259</s:v>
      </s:c>
      <s:c r="J331" s="6" t="n">
        <s:f>IF(COUNT(C331:I331)=7,SUM(C331:I331),"")</s:f>
        <s:v>123276</s:v>
      </s:c>
    </s:row>
    <s:row r="332">
      <s:c r="A332" s="5" t="n">
        <s:v>46279</s:v>
      </s:c>
      <s:c r="B332" s="2" t="n">
        <s:v>15</s:v>
      </s:c>
      <s:c r="C332" s="6" t="n">
        <s:v>10878</s:v>
      </s:c>
      <s:c r="D332" s="6" t="n">
        <s:v>29744</s:v>
      </s:c>
      <s:c r="E332" s="6" t="n">
        <s:v>13050</s:v>
      </s:c>
      <s:c r="F332" s="6" t="n">
        <s:v>12783</s:v>
      </s:c>
      <s:c r="G332" s="6" t="n">
        <s:v>27213</s:v>
      </s:c>
      <s:c r="H332" s="6" t="n">
        <s:v>24529</s:v>
      </s:c>
      <s:c r="I332" s="6" t="n">
        <s:v>5023</s:v>
      </s:c>
      <s:c r="J332" s="6" t="n">
        <s:f>IF(COUNT(C332:I332)=7,SUM(C332:I332),"")</s:f>
        <s:v>123220</s:v>
      </s:c>
    </s:row>
    <s:row r="333">
      <s:c r="A333" s="5" t="n">
        <s:v>46279</s:v>
      </s:c>
      <s:c r="B333" s="2" t="n">
        <s:v>16</s:v>
      </s:c>
      <s:c r="C333" s="6" t="n">
        <s:v>10648</s:v>
      </s:c>
      <s:c r="D333" s="6" t="n">
        <s:v>29377</s:v>
      </s:c>
      <s:c r="E333" s="6" t="n">
        <s:v>12784</s:v>
      </s:c>
      <s:c r="F333" s="6" t="n">
        <s:v>12491</s:v>
      </s:c>
      <s:c r="G333" s="6" t="n">
        <s:v>27245</s:v>
      </s:c>
      <s:c r="H333" s="6" t="n">
        <s:v>24611</s:v>
      </s:c>
      <s:c r="I333" s="6" t="n">
        <s:v>4796</s:v>
      </s:c>
      <s:c r="J333" s="6" t="n">
        <s:f>IF(COUNT(C333:I333)=7,SUM(C333:I333),"")</s:f>
        <s:v>121952</s:v>
      </s:c>
    </s:row>
    <s:row r="334">
      <s:c r="A334" s="5" t="n">
        <s:v>46279</s:v>
      </s:c>
      <s:c r="B334" s="2" t="n">
        <s:v>17</s:v>
      </s:c>
      <s:c r="C334" s="6" t="n">
        <s:v>10669</s:v>
      </s:c>
      <s:c r="D334" s="6" t="n">
        <s:v>29411</s:v>
      </s:c>
      <s:c r="E334" s="6" t="n">
        <s:v>12651</s:v>
      </s:c>
      <s:c r="F334" s="6" t="n">
        <s:v>12751</s:v>
      </s:c>
      <s:c r="G334" s="6" t="n">
        <s:v>27312</s:v>
      </s:c>
      <s:c r="H334" s="6" t="n">
        <s:v>24455</s:v>
      </s:c>
      <s:c r="I334" s="6" t="n">
        <s:v>4476</s:v>
      </s:c>
      <s:c r="J334" s="6" t="n">
        <s:f>IF(COUNT(C334:I334)=7,SUM(C334:I334),"")</s:f>
        <s:v>121725</s:v>
      </s:c>
    </s:row>
    <s:row r="335">
      <s:c r="A335" s="5" t="n">
        <s:v>46279</s:v>
      </s:c>
      <s:c r="B335" s="2" t="n">
        <s:v>18</s:v>
      </s:c>
      <s:c r="C335" s="6" t="n">
        <s:v>10790</s:v>
      </s:c>
      <s:c r="D335" s="6" t="n">
        <s:v>30070</s:v>
      </s:c>
      <s:c r="E335" s="6" t="n">
        <s:v>13195</s:v>
      </s:c>
      <s:c r="F335" s="6" t="n">
        <s:v>13175</s:v>
      </s:c>
      <s:c r="G335" s="6" t="n">
        <s:v>27410</s:v>
      </s:c>
      <s:c r="H335" s="6" t="n">
        <s:v>23448</s:v>
      </s:c>
      <s:c r="I335" s="6" t="n">
        <s:v>4407</s:v>
      </s:c>
      <s:c r="J335" s="6" t="n">
        <s:f>IF(COUNT(C335:I335)=7,SUM(C335:I335),"")</s:f>
        <s:v>122495</s:v>
      </s:c>
    </s:row>
    <s:row r="336">
      <s:c r="A336" s="5" t="n">
        <s:v>46279</s:v>
      </s:c>
      <s:c r="B336" s="2" t="n">
        <s:v>19</s:v>
      </s:c>
      <s:c r="C336" s="6" t="n">
        <s:v>11054</s:v>
      </s:c>
      <s:c r="D336" s="6" t="n">
        <s:v>30229</s:v>
      </s:c>
      <s:c r="E336" s="6" t="n">
        <s:v>13009</s:v>
      </s:c>
      <s:c r="F336" s="6" t="n">
        <s:v>12823</s:v>
      </s:c>
      <s:c r="G336" s="6" t="n">
        <s:v>26696</s:v>
      </s:c>
      <s:c r="H336" s="6" t="n">
        <s:v>22534</s:v>
      </s:c>
      <s:c r="I336" s="6" t="n">
        <s:v>4360</s:v>
      </s:c>
      <s:c r="J336" s="6" t="n">
        <s:f>IF(COUNT(C336:I336)=7,SUM(C336:I336),"")</s:f>
        <s:v>120705</s:v>
      </s:c>
    </s:row>
    <s:row r="337">
      <s:c r="A337" s="5" t="n">
        <s:v>46279</s:v>
      </s:c>
      <s:c r="B337" s="2" t="n">
        <s:v>20</s:v>
      </s:c>
      <s:c r="C337" s="6" t="n">
        <s:v>11073</s:v>
      </s:c>
      <s:c r="D337" s="6" t="n">
        <s:v>29643</s:v>
      </s:c>
      <s:c r="E337" s="6" t="n">
        <s:v>12627</s:v>
      </s:c>
      <s:c r="F337" s="6" t="n">
        <s:v>12431</s:v>
      </s:c>
      <s:c r="G337" s="6" t="n">
        <s:v>25763</s:v>
      </s:c>
      <s:c r="H337" s="6" t="n">
        <s:v>22009</s:v>
      </s:c>
      <s:c r="I337" s="6" t="n">
        <s:v>4340</s:v>
      </s:c>
      <s:c r="J337" s="6" t="n">
        <s:f>IF(COUNT(C337:I337)=7,SUM(C337:I337),"")</s:f>
        <s:v>117886</s:v>
      </s:c>
    </s:row>
    <s:row r="338">
      <s:c r="A338" s="5" t="n">
        <s:v>46279</s:v>
      </s:c>
      <s:c r="B338" s="2" t="n">
        <s:v>21</s:v>
      </s:c>
      <s:c r="C338" s="6" t="n">
        <s:v>10866</s:v>
      </s:c>
      <s:c r="D338" s="6" t="n">
        <s:v>28466</s:v>
      </s:c>
      <s:c r="E338" s="6" t="n">
        <s:v>11791</s:v>
      </s:c>
      <s:c r="F338" s="6" t="n">
        <s:v>11866</s:v>
      </s:c>
      <s:c r="G338" s="6" t="n">
        <s:v>24856</s:v>
      </s:c>
      <s:c r="H338" s="6" t="n">
        <s:v>22194</s:v>
      </s:c>
      <s:c r="I338" s="6" t="n">
        <s:v>4370</s:v>
      </s:c>
      <s:c r="J338" s="6" t="n">
        <s:f>IF(COUNT(C338:I338)=7,SUM(C338:I338),"")</s:f>
        <s:v>114409</s:v>
      </s:c>
    </s:row>
    <s:row r="339">
      <s:c r="A339" s="5" t="n">
        <s:v>46279</s:v>
      </s:c>
      <s:c r="B339" s="2" t="n">
        <s:v>22</s:v>
      </s:c>
      <s:c r="C339" s="6" t="n">
        <s:v>10299</s:v>
      </s:c>
      <s:c r="D339" s="6" t="n">
        <s:v>26590</s:v>
      </s:c>
      <s:c r="E339" s="6" t="n">
        <s:v>11001</s:v>
      </s:c>
      <s:c r="F339" s="6" t="n">
        <s:v>11381</s:v>
      </s:c>
      <s:c r="G339" s="6" t="n">
        <s:v>24234</s:v>
      </s:c>
      <s:c r="H339" s="6" t="n">
        <s:v>22002</s:v>
      </s:c>
      <s:c r="I339" s="6" t="n">
        <s:v>4495</s:v>
      </s:c>
      <s:c r="J339" s="6" t="n">
        <s:f>IF(COUNT(C339:I339)=7,SUM(C339:I339),"")</s:f>
        <s:v>110002</s:v>
      </s:c>
    </s:row>
    <s:row r="340">
      <s:c r="A340" s="5" t="n">
        <s:v>46279</s:v>
      </s:c>
      <s:c r="B340" s="2" t="n">
        <s:v>23</s:v>
      </s:c>
      <s:c r="C340" s="6" t="n">
        <s:v>9808</s:v>
      </s:c>
      <s:c r="D340" s="6" t="n">
        <s:v>25234</s:v>
      </s:c>
      <s:c r="E340" s="6" t="n">
        <s:v>10209</s:v>
      </s:c>
      <s:c r="F340" s="6" t="n">
        <s:v>10893</s:v>
      </s:c>
      <s:c r="G340" s="6" t="n">
        <s:v>23936</s:v>
      </s:c>
      <s:c r="H340" s="6" t="n">
        <s:v>21884</s:v>
      </s:c>
      <s:c r="I340" s="6" t="n">
        <s:v>4824</s:v>
      </s:c>
      <s:c r="J340" s="6" t="n">
        <s:f>IF(COUNT(C340:I340)=7,SUM(C340:I340),"")</s:f>
        <s:v>106788</s:v>
      </s:c>
    </s:row>
    <s:row r="341">
      <s:c r="A341" s="5" t="n">
        <s:v>46280</s:v>
      </s:c>
      <s:c r="B341" s="2" t="n">
        <s:v>0</s:v>
      </s:c>
      <s:c r="C341" s="6" t="n">
        <s:v>9385</s:v>
      </s:c>
      <s:c r="D341" s="6" t="n">
        <s:v>24105</s:v>
      </s:c>
      <s:c r="E341" s="6" t="n">
        <s:v>9844</s:v>
      </s:c>
      <s:c r="F341" s="6" t="n">
        <s:v>10509</s:v>
      </s:c>
      <s:c r="G341" s="6" t="n">
        <s:v>23810</s:v>
      </s:c>
      <s:c r="H341" s="6" t="n">
        <s:v>22245</s:v>
      </s:c>
      <s:c r="I341" s="6" t="n">
        <s:v>5022</s:v>
      </s:c>
      <s:c r="J341" s="6" t="n">
        <s:f>IF(COUNT(C341:I341)=7,SUM(C341:I341),"")</s:f>
        <s:v>104920</s:v>
      </s:c>
    </s:row>
    <s:row r="342">
      <s:c r="A342" s="5" t="n">
        <s:v>46280</s:v>
      </s:c>
      <s:c r="B342" s="2" t="n">
        <s:v>1</s:v>
      </s:c>
      <s:c r="C342" s="6" t="n">
        <s:v>9180</s:v>
      </s:c>
      <s:c r="D342" s="6" t="n">
        <s:v>23350</s:v>
      </s:c>
      <s:c r="E342" s="6" t="n">
        <s:v>9502</s:v>
      </s:c>
      <s:c r="F342" s="6" t="n">
        <s:v>10576</s:v>
      </s:c>
      <s:c r="G342" s="6" t="n">
        <s:v>23739</s:v>
      </s:c>
      <s:c r="H342" s="6" t="n">
        <s:v>22668</s:v>
      </s:c>
      <s:c r="I342" s="6" t="n">
        <s:v>5136</s:v>
      </s:c>
      <s:c r="J342" s="6" t="n">
        <s:f>IF(COUNT(C342:I342)=7,SUM(C342:I342),"")</s:f>
        <s:v>104151</s:v>
      </s:c>
    </s:row>
    <s:row r="343">
      <s:c r="A343" s="5" t="n">
        <s:v>46280</s:v>
      </s:c>
      <s:c r="B343" s="2" t="n">
        <s:v>2</s:v>
      </s:c>
      <s:c r="C343" s="6" t="n">
        <s:v>9137</s:v>
      </s:c>
      <s:c r="D343" s="6" t="n">
        <s:v>23150</s:v>
      </s:c>
      <s:c r="E343" s="6" t="n">
        <s:v>9252</s:v>
      </s:c>
      <s:c r="F343" s="6" t="n">
        <s:v>10408</s:v>
      </s:c>
      <s:c r="G343" s="6" t="n">
        <s:v>23914</s:v>
      </s:c>
      <s:c r="H343" s="6" t="n">
        <s:v>23369</s:v>
      </s:c>
      <s:c r="I343" s="6" t="n">
        <s:v>5147</s:v>
      </s:c>
      <s:c r="J343" s="6" t="n">
        <s:f>IF(COUNT(C343:I343)=7,SUM(C343:I343),"")</s:f>
        <s:v>104377</s:v>
      </s:c>
    </s:row>
    <s:row r="344">
      <s:c r="A344" s="5" t="n">
        <s:v>46280</s:v>
      </s:c>
      <s:c r="B344" s="2" t="n">
        <s:v>3</s:v>
      </s:c>
      <s:c r="C344" s="6" t="n">
        <s:v>8987</s:v>
      </s:c>
      <s:c r="D344" s="6" t="n">
        <s:v>23283</s:v>
      </s:c>
      <s:c r="E344" s="6" t="n">
        <s:v>9376</s:v>
      </s:c>
      <s:c r="F344" s="6" t="n">
        <s:v>10473</s:v>
      </s:c>
      <s:c r="G344" s="6" t="n">
        <s:v>24358</s:v>
      </s:c>
      <s:c r="H344" s="6" t="n">
        <s:v>23457</s:v>
      </s:c>
      <s:c r="I344" s="6" t="n">
        <s:v>5167</s:v>
      </s:c>
      <s:c r="J344" s="6" t="n">
        <s:f>IF(COUNT(C344:I344)=7,SUM(C344:I344),"")</s:f>
        <s:v>105101</s:v>
      </s:c>
    </s:row>
    <s:row r="345">
      <s:c r="A345" s="5" t="n">
        <s:v>46280</s:v>
      </s:c>
      <s:c r="B345" s="2" t="n">
        <s:v>4</s:v>
      </s:c>
      <s:c r="C345" s="6" t="n">
        <s:v>9112</s:v>
      </s:c>
      <s:c r="D345" s="6" t="n">
        <s:v>23446</s:v>
      </s:c>
      <s:c r="E345" s="6" t="n">
        <s:v>9306</s:v>
      </s:c>
      <s:c r="F345" s="6" t="n">
        <s:v>10604</s:v>
      </s:c>
      <s:c r="G345" s="6" t="n">
        <s:v>25241</s:v>
      </s:c>
      <s:c r="H345" s="6" t="n">
        <s:v>23933</s:v>
      </s:c>
      <s:c r="I345" s="6" t="n">
        <s:v>5047</s:v>
      </s:c>
      <s:c r="J345" s="6" t="n">
        <s:f>IF(COUNT(C345:I345)=7,SUM(C345:I345),"")</s:f>
        <s:v>106689</s:v>
      </s:c>
    </s:row>
    <s:row r="346">
      <s:c r="A346" s="5" t="n">
        <s:v>46280</s:v>
      </s:c>
      <s:c r="B346" s="2" t="n">
        <s:v>5</s:v>
      </s:c>
      <s:c r="C346" s="6" t="n">
        <s:v>9443</s:v>
      </s:c>
      <s:c r="D346" s="6" t="n">
        <s:v>24375</s:v>
      </s:c>
      <s:c r="E346" s="6" t="n">
        <s:v>9723</s:v>
      </s:c>
      <s:c r="F346" s="6" t="n">
        <s:v>11175</s:v>
      </s:c>
      <s:c r="G346" s="6" t="n">
        <s:v>26149</s:v>
      </s:c>
      <s:c r="H346" s="6" t="n">
        <s:v>24215</s:v>
      </s:c>
      <s:c r="I346" s="6" t="n">
        <s:v>4958</s:v>
      </s:c>
      <s:c r="J346" s="6" t="n">
        <s:f>IF(COUNT(C346:I346)=7,SUM(C346:I346),"")</s:f>
        <s:v>110038</s:v>
      </s:c>
    </s:row>
    <s:row r="347">
      <s:c r="A347" s="5" t="n">
        <s:v>46280</s:v>
      </s:c>
      <s:c r="B347" s="2" t="n">
        <s:v>6</s:v>
      </s:c>
      <s:c r="C347" s="6" t="n">
        <s:v>9715</s:v>
      </s:c>
      <s:c r="D347" s="6" t="n">
        <s:v>26275</s:v>
      </s:c>
      <s:c r="E347" s="6" t="n">
        <s:v>10383</s:v>
      </s:c>
      <s:c r="F347" s="6" t="n">
        <s:v>12112</s:v>
      </s:c>
      <s:c r="G347" s="6" t="n">
        <s:v>26893</s:v>
      </s:c>
      <s:c r="H347" s="6" t="n">
        <s:v>24164</s:v>
      </s:c>
      <s:c r="I347" s="6" t="n">
        <s:v>5046</s:v>
      </s:c>
      <s:c r="J347" s="6" t="n">
        <s:f>IF(COUNT(C347:I347)=7,SUM(C347:I347),"")</s:f>
        <s:v>114588</s:v>
      </s:c>
    </s:row>
    <s:row r="348">
      <s:c r="A348" s="5" t="n">
        <s:v>46280</s:v>
      </s:c>
      <s:c r="B348" s="2" t="n">
        <s:v>7</s:v>
      </s:c>
      <s:c r="C348" s="6" t="n">
        <s:v>10307</s:v>
      </s:c>
      <s:c r="D348" s="6" t="n">
        <s:v>27780</s:v>
      </s:c>
      <s:c r="E348" s="6" t="n">
        <s:v>11350</s:v>
      </s:c>
      <s:c r="F348" s="6" t="n">
        <s:v>12884</s:v>
      </s:c>
      <s:c r="G348" s="6" t="n">
        <s:v>27338</s:v>
      </s:c>
      <s:c r="H348" s="6" t="n">
        <s:v>23994</s:v>
      </s:c>
      <s:c r="I348" s="6" t="n">
        <s:v>5017</s:v>
      </s:c>
      <s:c r="J348" s="6" t="n">
        <s:f>IF(COUNT(C348:I348)=7,SUM(C348:I348),"")</s:f>
        <s:v>118670</s:v>
      </s:c>
    </s:row>
    <s:row r="349">
      <s:c r="A349" s="5" t="n">
        <s:v>46280</s:v>
      </s:c>
      <s:c r="B349" s="2" t="n">
        <s:v>8</s:v>
      </s:c>
      <s:c r="C349" s="6" t="n">
        <s:v>10856</s:v>
      </s:c>
      <s:c r="D349" s="6" t="n">
        <s:v>29682</s:v>
      </s:c>
      <s:c r="E349" s="6" t="n">
        <s:v>11887</s:v>
      </s:c>
      <s:c r="F349" s="6" t="n">
        <s:v>13300</s:v>
      </s:c>
      <s:c r="G349" s="6" t="n">
        <s:v>27224</s:v>
      </s:c>
      <s:c r="H349" s="6" t="n">
        <s:v>24367</s:v>
      </s:c>
      <s:c r="I349" s="6" t="n">
        <s:v>4953</s:v>
      </s:c>
      <s:c r="J349" s="6" t="n">
        <s:f>IF(COUNT(C349:I349)=7,SUM(C349:I349),"")</s:f>
        <s:v>122269</s:v>
      </s:c>
    </s:row>
    <s:row r="350">
      <s:c r="A350" s="5" t="n">
        <s:v>46280</s:v>
      </s:c>
      <s:c r="B350" s="2" t="n">
        <s:v>9</s:v>
      </s:c>
      <s:c r="C350" s="6" t="n">
        <s:v>11134</s:v>
      </s:c>
      <s:c r="D350" s="6" t="n">
        <s:v>30234</s:v>
      </s:c>
      <s:c r="E350" s="6" t="n">
        <s:v>12418</s:v>
      </s:c>
      <s:c r="F350" s="6" t="n">
        <s:v>13439</s:v>
      </s:c>
      <s:c r="G350" s="6" t="n">
        <s:v>26994</s:v>
      </s:c>
      <s:c r="H350" s="6" t="n">
        <s:v>24503</s:v>
      </s:c>
      <s:c r="I350" s="6" t="n">
        <s:v>4888</s:v>
      </s:c>
      <s:c r="J350" s="6" t="n">
        <s:f>IF(COUNT(C350:I350)=7,SUM(C350:I350),"")</s:f>
        <s:v>123610</s:v>
      </s:c>
    </s:row>
    <s:row r="351">
      <s:c r="A351" s="5" t="n">
        <s:v>46280</s:v>
      </s:c>
      <s:c r="B351" s="2" t="n">
        <s:v>10</s:v>
      </s:c>
      <s:c r="C351" s="6" t="n">
        <s:v>11116</s:v>
      </s:c>
      <s:c r="D351" s="6" t="n">
        <s:v>30198</s:v>
      </s:c>
      <s:c r="E351" s="6" t="n">
        <s:v>12567</s:v>
      </s:c>
      <s:c r="F351" s="6" t="n">
        <s:v>13148</s:v>
      </s:c>
      <s:c r="G351" s="6" t="n">
        <s:v>26871</s:v>
      </s:c>
      <s:c r="H351" s="6" t="n">
        <s:v>24360</s:v>
      </s:c>
      <s:c r="I351" s="6" t="n">
        <s:v>5001</s:v>
      </s:c>
      <s:c r="J351" s="6" t="n">
        <s:f>IF(COUNT(C351:I351)=7,SUM(C351:I351),"")</s:f>
        <s:v>123261</s:v>
      </s:c>
    </s:row>
    <s:row r="352">
      <s:c r="A352" s="5" t="n">
        <s:v>46280</s:v>
      </s:c>
      <s:c r="B352" s="2" t="n">
        <s:v>11</s:v>
      </s:c>
      <s:c r="C352" s="6" t="n">
        <s:v>10960</s:v>
      </s:c>
      <s:c r="D352" s="6" t="n">
        <s:v>29914</s:v>
      </s:c>
      <s:c r="E352" s="6" t="n">
        <s:v>12419</s:v>
      </s:c>
      <s:c r="F352" s="6" t="n">
        <s:v>13075</s:v>
      </s:c>
      <s:c r="G352" s="6" t="n">
        <s:v>26955</s:v>
      </s:c>
      <s:c r="H352" s="6" t="n">
        <s:v>23848</s:v>
      </s:c>
      <s:c r="I352" s="6" t="n">
        <s:v>4996</s:v>
      </s:c>
      <s:c r="J352" s="6" t="n">
        <s:f>IF(COUNT(C352:I352)=7,SUM(C352:I352),"")</s:f>
        <s:v>122167</s:v>
      </s:c>
    </s:row>
    <s:row r="353">
      <s:c r="A353" s="5" t="n">
        <s:v>46280</s:v>
      </s:c>
      <s:c r="B353" s="2" t="n">
        <s:v>12</s:v>
      </s:c>
      <s:c r="C353" s="6" t="n">
        <s:v>10973</s:v>
      </s:c>
      <s:c r="D353" s="6" t="n">
        <s:v>29928</s:v>
      </s:c>
      <s:c r="E353" s="6" t="n">
        <s:v>12533</s:v>
      </s:c>
      <s:c r="F353" s="6" t="n">
        <s:v>13183</s:v>
      </s:c>
      <s:c r="G353" s="6" t="n">
        <s:v>26742</s:v>
      </s:c>
      <s:c r="H353" s="6" t="n">
        <s:v>23870</s:v>
      </s:c>
      <s:c r="I353" s="6" t="n">
        <s:v>5171</s:v>
      </s:c>
      <s:c r="J353" s="6" t="n">
        <s:f>IF(COUNT(C353:I353)=7,SUM(C353:I353),"")</s:f>
        <s:v>122400</s:v>
      </s:c>
    </s:row>
    <s:row r="354">
      <s:c r="A354" s="5" t="n">
        <s:v>46280</s:v>
      </s:c>
      <s:c r="B354" s="2" t="n">
        <s:v>13</s:v>
      </s:c>
      <s:c r="C354" s="6" t="n">
        <s:v>11017</s:v>
      </s:c>
      <s:c r="D354" s="6" t="n">
        <s:v>30031</s:v>
      </s:c>
      <s:c r="E354" s="6" t="n">
        <s:v>12596</s:v>
      </s:c>
      <s:c r="F354" s="6" t="n">
        <s:v>13273</s:v>
      </s:c>
      <s:c r="G354" s="6" t="n">
        <s:v>26709</s:v>
      </s:c>
      <s:c r="H354" s="6" t="n">
        <s:v>24202</s:v>
      </s:c>
      <s:c r="I354" s="6" t="n">
        <s:v>5251</s:v>
      </s:c>
      <s:c r="J354" s="6" t="n">
        <s:f>IF(COUNT(C354:I354)=7,SUM(C354:I354),"")</s:f>
        <s:v>123079</s:v>
      </s:c>
    </s:row>
    <s:row r="355">
      <s:c r="A355" s="5" t="n">
        <s:v>46280</s:v>
      </s:c>
      <s:c r="B355" s="2" t="n">
        <s:v>14</s:v>
      </s:c>
      <s:c r="C355" s="6" t="n">
        <s:v>11001</s:v>
      </s:c>
      <s:c r="D355" s="6" t="n">
        <s:v>29800</s:v>
      </s:c>
      <s:c r="E355" s="6" t="n">
        <s:v>12542</s:v>
      </s:c>
      <s:c r="F355" s="6" t="n">
        <s:v>13133</s:v>
      </s:c>
      <s:c r="G355" s="6" t="n">
        <s:v>26572</s:v>
      </s:c>
      <s:c r="H355" s="6" t="n">
        <s:v>24405</s:v>
      </s:c>
      <s:c r="I355" s="6" t="n">
        <s:v>5174</s:v>
      </s:c>
      <s:c r="J355" s="6" t="n">
        <s:f>IF(COUNT(C355:I355)=7,SUM(C355:I355),"")</s:f>
        <s:v>122627</s:v>
      </s:c>
    </s:row>
    <s:row r="356">
      <s:c r="A356" s="5" t="n">
        <s:v>46280</s:v>
      </s:c>
      <s:c r="B356" s="2" t="n">
        <s:v>15</s:v>
      </s:c>
      <s:c r="C356" s="6" t="n">
        <s:v>11033</s:v>
      </s:c>
      <s:c r="D356" s="6" t="n">
        <s:v>29743</s:v>
      </s:c>
      <s:c r="E356" s="6" t="n">
        <s:v>12728</s:v>
      </s:c>
      <s:c r="F356" s="6" t="n">
        <s:v>12957</s:v>
      </s:c>
      <s:c r="G356" s="6" t="n">
        <s:v>26641</s:v>
      </s:c>
      <s:c r="H356" s="6" t="n">
        <s:v>24378</s:v>
      </s:c>
      <s:c r="I356" s="6" t="n">
        <s:v>4994</s:v>
      </s:c>
      <s:c r="J356" s="6" t="n">
        <s:f>IF(COUNT(C356:I356)=7,SUM(C356:I356),"")</s:f>
        <s:v>122474</s:v>
      </s:c>
    </s:row>
    <s:row r="357">
      <s:c r="A357" s="5" t="n">
        <s:v>46280</s:v>
      </s:c>
      <s:c r="B357" s="2" t="n">
        <s:v>16</s:v>
      </s:c>
      <s:c r="C357" s="6" t="n">
        <s:v>10802</s:v>
      </s:c>
      <s:c r="D357" s="6" t="n">
        <s:v>29488</s:v>
      </s:c>
      <s:c r="E357" s="6" t="n">
        <s:v>12356</s:v>
      </s:c>
      <s:c r="F357" s="6" t="n">
        <s:v>12760</s:v>
      </s:c>
      <s:c r="G357" s="6" t="n">
        <s:v>26712</s:v>
      </s:c>
      <s:c r="H357" s="6" t="n">
        <s:v>24432</s:v>
      </s:c>
      <s:c r="I357" s="6" t="n">
        <s:v>4813</s:v>
      </s:c>
      <s:c r="J357" s="6" t="n">
        <s:f>IF(COUNT(C357:I357)=7,SUM(C357:I357),"")</s:f>
        <s:v>121363</s:v>
      </s:c>
    </s:row>
    <s:row r="358">
      <s:c r="A358" s="5" t="n">
        <s:v>46280</s:v>
      </s:c>
      <s:c r="B358" s="2" t="n">
        <s:v>17</s:v>
      </s:c>
      <s:c r="C358" s="6" t="n">
        <s:v>10795</s:v>
      </s:c>
      <s:c r="D358" s="6" t="n">
        <s:v>29395</s:v>
      </s:c>
      <s:c r="E358" s="6" t="n">
        <s:v>12265</s:v>
      </s:c>
      <s:c r="F358" s="6" t="n">
        <s:v>12765</s:v>
      </s:c>
      <s:c r="G358" s="6" t="n">
        <s:v>27243</s:v>
      </s:c>
      <s:c r="H358" s="6" t="n">
        <s:v>24360</s:v>
      </s:c>
      <s:c r="I358" s="6" t="n">
        <s:v>4570</s:v>
      </s:c>
      <s:c r="J358" s="6" t="n">
        <s:f>IF(COUNT(C358:I358)=7,SUM(C358:I358),"")</s:f>
        <s:v>121393</s:v>
      </s:c>
    </s:row>
    <s:row r="359">
      <s:c r="A359" s="5" t="n">
        <s:v>46280</s:v>
      </s:c>
      <s:c r="B359" s="2" t="n">
        <s:v>18</s:v>
      </s:c>
      <s:c r="C359" s="6" t="n">
        <s:v>10946</s:v>
      </s:c>
      <s:c r="D359" s="6" t="n">
        <s:v>29756</s:v>
      </s:c>
      <s:c r="E359" s="6" t="n">
        <s:v>12965</s:v>
      </s:c>
      <s:c r="F359" s="6" t="n">
        <s:v>13067</s:v>
      </s:c>
      <s:c r="G359" s="6" t="n">
        <s:v>27236</s:v>
      </s:c>
      <s:c r="H359" s="6" t="n">
        <s:v>23475</s:v>
      </s:c>
      <s:c r="I359" s="6" t="n">
        <s:v>4478</s:v>
      </s:c>
      <s:c r="J359" s="6" t="n">
        <s:f>IF(COUNT(C359:I359)=7,SUM(C359:I359),"")</s:f>
        <s:v>121923</s:v>
      </s:c>
    </s:row>
    <s:row r="360">
      <s:c r="A360" s="5" t="n">
        <s:v>46280</s:v>
      </s:c>
      <s:c r="B360" s="2" t="n">
        <s:v>19</s:v>
      </s:c>
      <s:c r="C360" s="6" t="n">
        <s:v>11155</s:v>
      </s:c>
      <s:c r="D360" s="6" t="n">
        <s:v>30392</s:v>
      </s:c>
      <s:c r="E360" s="6" t="n">
        <s:v>12713</s:v>
      </s:c>
      <s:c r="F360" s="6" t="n">
        <s:v>12831</s:v>
      </s:c>
      <s:c r="G360" s="6" t="n">
        <s:v>26893</s:v>
      </s:c>
      <s:c r="H360" s="6" t="n">
        <s:v>22698</s:v>
      </s:c>
      <s:c r="I360" s="6" t="n">
        <s:v>4370</s:v>
      </s:c>
      <s:c r="J360" s="6" t="n">
        <s:f>IF(COUNT(C360:I360)=7,SUM(C360:I360),"")</s:f>
        <s:v>121052</s:v>
      </s:c>
    </s:row>
    <s:row r="361">
      <s:c r="A361" s="5" t="n">
        <s:v>46280</s:v>
      </s:c>
      <s:c r="B361" s="2" t="n">
        <s:v>20</s:v>
      </s:c>
      <s:c r="C361" s="6" t="n">
        <s:v>11173</s:v>
      </s:c>
      <s:c r="D361" s="6" t="n">
        <s:v>29746</s:v>
      </s:c>
      <s:c r="E361" s="6" t="n">
        <s:v>12358</s:v>
      </s:c>
      <s:c r="F361" s="6" t="n">
        <s:v>12532</s:v>
      </s:c>
      <s:c r="G361" s="6" t="n">
        <s:v>25956</s:v>
      </s:c>
      <s:c r="H361" s="6" t="n">
        <s:v>22437</s:v>
      </s:c>
      <s:c r="I361" s="6" t="n">
        <s:v>4338</s:v>
      </s:c>
      <s:c r="J361" s="6" t="n">
        <s:f>IF(COUNT(C361:I361)=7,SUM(C361:I361),"")</s:f>
        <s:v>118540</s:v>
      </s:c>
    </s:row>
    <s:row r="362">
      <s:c r="A362" s="5" t="n">
        <s:v>46280</s:v>
      </s:c>
      <s:c r="B362" s="2" t="n">
        <s:v>21</s:v>
      </s:c>
      <s:c r="C362" s="6" t="n">
        <s:v>10931</s:v>
      </s:c>
      <s:c r="D362" s="6" t="n">
        <s:v>28608</s:v>
      </s:c>
      <s:c r="E362" s="6" t="n">
        <s:v>11744</s:v>
      </s:c>
      <s:c r="F362" s="6" t="n">
        <s:v>11996</s:v>
      </s:c>
      <s:c r="G362" s="6" t="n">
        <s:v>25028</s:v>
      </s:c>
      <s:c r="H362" s="6" t="n">
        <s:v>22349</s:v>
      </s:c>
      <s:c r="I362" s="6" t="n">
        <s:v>4413</s:v>
      </s:c>
      <s:c r="J362" s="6" t="n">
        <s:f>IF(COUNT(C362:I362)=7,SUM(C362:I362),"")</s:f>
        <s:v>115069</s:v>
      </s:c>
    </s:row>
    <s:row r="363">
      <s:c r="A363" s="5" t="n">
        <s:v>46280</s:v>
      </s:c>
      <s:c r="B363" s="2" t="n">
        <s:v>22</s:v>
      </s:c>
      <s:c r="C363" s="6" t="n">
        <s:v>10421</s:v>
      </s:c>
      <s:c r="D363" s="6" t="n">
        <s:v>27016</s:v>
      </s:c>
      <s:c r="E363" s="6" t="n">
        <s:v>10905</s:v>
      </s:c>
      <s:c r="F363" s="6" t="n">
        <s:v>11462</s:v>
      </s:c>
      <s:c r="G363" s="6" t="n">
        <s:v>24433</s:v>
      </s:c>
      <s:c r="H363" s="6" t="n">
        <s:v>22149</s:v>
      </s:c>
      <s:c r="I363" s="6" t="n">
        <s:v>4486</s:v>
      </s:c>
      <s:c r="J363" s="6" t="n">
        <s:f>IF(COUNT(C363:I363)=7,SUM(C363:I363),"")</s:f>
        <s:v>110872</s:v>
      </s:c>
    </s:row>
    <s:row r="364">
      <s:c r="A364" s="5" t="n">
        <s:v>46280</s:v>
      </s:c>
      <s:c r="B364" s="2" t="n">
        <s:v>23</s:v>
      </s:c>
      <s:c r="C364" s="6" t="n">
        <s:v>9966</s:v>
      </s:c>
      <s:c r="D364" s="6" t="n">
        <s:v>25451</s:v>
      </s:c>
      <s:c r="E364" s="6" t="n">
        <s:v>9969</s:v>
      </s:c>
      <s:c r="F364" s="6" t="n">
        <s:v>10873</s:v>
      </s:c>
      <s:c r="G364" s="6" t="n">
        <s:v>24045</s:v>
      </s:c>
      <s:c r="H364" s="6" t="n">
        <s:v>22023</s:v>
      </s:c>
      <s:c r="I364" s="6" t="n">
        <s:v>4714</s:v>
      </s:c>
      <s:c r="J364" s="6" t="n">
        <s:f>IF(COUNT(C364:I364)=7,SUM(C364:I364),"")</s:f>
        <s:v>107041</s:v>
      </s:c>
    </s:row>
    <s:row r="365">
      <s:c r="A365" s="5" t="n">
        <s:v>46281</s:v>
      </s:c>
      <s:c r="B365" s="2" t="n">
        <s:v>0</s:v>
      </s:c>
      <s:c r="C365" s="6" t="n">
        <s:v>9535</s:v>
      </s:c>
      <s:c r="D365" s="6" t="n">
        <s:v>24258</s:v>
      </s:c>
      <s:c r="E365" s="6" t="n">
        <s:v>9748</s:v>
      </s:c>
      <s:c r="F365" s="6" t="n">
        <s:v>10529</s:v>
      </s:c>
      <s:c r="G365" s="6" t="n">
        <s:v>23813</s:v>
      </s:c>
      <s:c r="H365" s="6" t="n">
        <s:v>22496</s:v>
      </s:c>
      <s:c r="I365" s="6" t="n">
        <s:v>4853</s:v>
      </s:c>
      <s:c r="J365" s="6" t="n">
        <s:f>IF(COUNT(C365:I365)=7,SUM(C365:I365),"")</s:f>
        <s:v>105232</s:v>
      </s:c>
    </s:row>
    <s:row r="366">
      <s:c r="A366" s="5" t="n">
        <s:v>46281</s:v>
      </s:c>
      <s:c r="B366" s="2" t="n">
        <s:v>1</s:v>
      </s:c>
      <s:c r="C366" s="6" t="n">
        <s:v>9301</s:v>
      </s:c>
      <s:c r="D366" s="6" t="n">
        <s:v>23522</s:v>
      </s:c>
      <s:c r="E366" s="6" t="n">
        <s:v>9208</s:v>
      </s:c>
      <s:c r="F366" s="6" t="n">
        <s:v>10594</s:v>
      </s:c>
      <s:c r="G366" s="6" t="n">
        <s:v>23806</s:v>
      </s:c>
      <s:c r="H366" s="6" t="n">
        <s:v>23015</s:v>
      </s:c>
      <s:c r="I366" s="6" t="n">
        <s:v>5100</s:v>
      </s:c>
      <s:c r="J366" s="6" t="n">
        <s:f>IF(COUNT(C366:I366)=7,SUM(C366:I366),"")</s:f>
        <s:v>104546</s:v>
      </s:c>
    </s:row>
    <s:row r="367">
      <s:c r="A367" s="5" t="n">
        <s:v>46281</s:v>
      </s:c>
      <s:c r="B367" s="2" t="n">
        <s:v>2</s:v>
      </s:c>
      <s:c r="C367" s="6" t="n">
        <s:v>9168</s:v>
      </s:c>
      <s:c r="D367" s="6" t="n">
        <s:v>23490</s:v>
      </s:c>
      <s:c r="E367" s="6" t="n">
        <s:v>9155</s:v>
      </s:c>
      <s:c r="F367" s="6" t="n">
        <s:v>10525</s:v>
      </s:c>
      <s:c r="G367" s="6" t="n">
        <s:v>23879</s:v>
      </s:c>
      <s:c r="H367" s="6" t="n">
        <s:v>23505</s:v>
      </s:c>
      <s:c r="I367" s="6" t="n">
        <s:v>5172</s:v>
      </s:c>
      <s:c r="J367" s="6" t="n">
        <s:f>IF(COUNT(C367:I367)=7,SUM(C367:I367),"")</s:f>
        <s:v>104894</s:v>
      </s:c>
    </s:row>
    <s:row r="368">
      <s:c r="A368" s="5" t="n">
        <s:v>46281</s:v>
      </s:c>
      <s:c r="B368" s="2" t="n">
        <s:v>3</s:v>
      </s:c>
      <s:c r="C368" s="6" t="n">
        <s:v>9086</s:v>
      </s:c>
      <s:c r="D368" s="6" t="n">
        <s:v>23436</s:v>
      </s:c>
      <s:c r="E368" s="6" t="n">
        <s:v>9043</s:v>
      </s:c>
      <s:c r="F368" s="6" t="n">
        <s:v>10529</s:v>
      </s:c>
      <s:c r="G368" s="6" t="n">
        <s:v>24405</s:v>
      </s:c>
      <s:c r="H368" s="6" t="n">
        <s:v>23729</s:v>
      </s:c>
      <s:c r="I368" s="6" t="n">
        <s:v>5146</s:v>
      </s:c>
      <s:c r="J368" s="6" t="n">
        <s:f>IF(COUNT(C368:I368)=7,SUM(C368:I368),"")</s:f>
        <s:v>105374</s:v>
      </s:c>
    </s:row>
    <s:row r="369">
      <s:c r="A369" s="5" t="n">
        <s:v>46281</s:v>
      </s:c>
      <s:c r="B369" s="2" t="n">
        <s:v>4</s:v>
      </s:c>
      <s:c r="C369" s="6" t="n">
        <s:v>9188</s:v>
      </s:c>
      <s:c r="D369" s="6" t="n">
        <s:v>23699</s:v>
      </s:c>
      <s:c r="E369" s="6" t="n">
        <s:v>9286</s:v>
      </s:c>
      <s:c r="F369" s="6" t="n">
        <s:v>10790</s:v>
      </s:c>
      <s:c r="G369" s="6" t="n">
        <s:v>25057</s:v>
      </s:c>
      <s:c r="H369" s="6" t="n">
        <s:v>24304</s:v>
      </s:c>
      <s:c r="I369" s="6" t="n">
        <s:v>5101</s:v>
      </s:c>
      <s:c r="J369" s="6" t="n">
        <s:f>IF(COUNT(C369:I369)=7,SUM(C369:I369),"")</s:f>
        <s:v>107425</s:v>
      </s:c>
    </s:row>
    <s:row r="370">
      <s:c r="A370" s="5" t="n">
        <s:v>46281</s:v>
      </s:c>
      <s:c r="B370" s="2" t="n">
        <s:v>5</s:v>
      </s:c>
      <s:c r="C370" s="6" t="n">
        <s:v>9521</s:v>
      </s:c>
      <s:c r="D370" s="6" t="n">
        <s:v>24857</s:v>
      </s:c>
      <s:c r="E370" s="6" t="n">
        <s:v>9706</s:v>
      </s:c>
      <s:c r="F370" s="6" t="n">
        <s:v>11385</s:v>
      </s:c>
      <s:c r="G370" s="6" t="n">
        <s:v>26198</s:v>
      </s:c>
      <s:c r="H370" s="6" t="n">
        <s:v>24677</s:v>
      </s:c>
      <s:c r="I370" s="6" t="n">
        <s:v>5020</s:v>
      </s:c>
      <s:c r="J370" s="6" t="n">
        <s:f>IF(COUNT(C370:I370)=7,SUM(C370:I370),"")</s:f>
        <s:v>111364</s:v>
      </s:c>
    </s:row>
    <s:row r="371">
      <s:c r="A371" s="5" t="n">
        <s:v>46281</s:v>
      </s:c>
      <s:c r="B371" s="2" t="n">
        <s:v>6</s:v>
      </s:c>
      <s:c r="C371" s="6" t="n">
        <s:v>9815</s:v>
      </s:c>
      <s:c r="D371" s="6" t="n">
        <s:v>26527</s:v>
      </s:c>
      <s:c r="E371" s="6" t="n">
        <s:v>10413</s:v>
      </s:c>
      <s:c r="F371" s="6" t="n">
        <s:v>12371</s:v>
      </s:c>
      <s:c r="G371" s="6" t="n">
        <s:v>26872</s:v>
      </s:c>
      <s:c r="H371" s="6" t="n">
        <s:v>24629</s:v>
      </s:c>
      <s:c r="I371" s="6" t="n">
        <s:v>5000</s:v>
      </s:c>
      <s:c r="J371" s="6" t="n">
        <s:f>IF(COUNT(C371:I371)=7,SUM(C371:I371),"")</s:f>
        <s:v>115627</s:v>
      </s:c>
    </s:row>
    <s:row r="372">
      <s:c r="A372" s="5" t="n">
        <s:v>46281</s:v>
      </s:c>
      <s:c r="B372" s="2" t="n">
        <s:v>7</s:v>
      </s:c>
      <s:c r="C372" s="6" t="n">
        <s:v>10337</s:v>
      </s:c>
      <s:c r="D372" s="6" t="n">
        <s:v>28120</s:v>
      </s:c>
      <s:c r="E372" s="6" t="n">
        <s:v>11200</s:v>
      </s:c>
      <s:c r="F372" s="6" t="n">
        <s:v>13092</s:v>
      </s:c>
      <s:c r="G372" s="6" t="n">
        <s:v>27228</s:v>
      </s:c>
      <s:c r="H372" s="6" t="n">
        <s:v>24486</s:v>
      </s:c>
      <s:c r="I372" s="6" t="n">
        <s:v>5061</s:v>
      </s:c>
      <s:c r="J372" s="6" t="n">
        <s:f>IF(COUNT(C372:I372)=7,SUM(C372:I372),"")</s:f>
        <s:v>119524</s:v>
      </s:c>
    </s:row>
    <s:row r="373">
      <s:c r="A373" s="5" t="n">
        <s:v>46281</s:v>
      </s:c>
      <s:c r="B373" s="2" t="n">
        <s:v>8</s:v>
      </s:c>
      <s:c r="C373" s="6" t="n">
        <s:v>10879</s:v>
      </s:c>
      <s:c r="D373" s="6" t="n">
        <s:v>29972</s:v>
      </s:c>
      <s:c r="E373" s="6" t="n">
        <s:v>12086</s:v>
      </s:c>
      <s:c r="F373" s="6" t="n">
        <s:v>13532</s:v>
      </s:c>
      <s:c r="G373" s="6" t="n">
        <s:v>27370</s:v>
      </s:c>
      <s:c r="H373" s="6" t="n">
        <s:v>25045</s:v>
      </s:c>
      <s:c r="I373" s="6" t="n">
        <s:v>5010</s:v>
      </s:c>
      <s:c r="J373" s="6" t="n">
        <s:f>IF(COUNT(C373:I373)=7,SUM(C373:I373),"")</s:f>
        <s:v>123894</s:v>
      </s:c>
    </s:row>
    <s:row r="374">
      <s:c r="A374" s="5" t="n">
        <s:v>46281</s:v>
      </s:c>
      <s:c r="B374" s="2" t="n">
        <s:v>9</s:v>
      </s:c>
      <s:c r="C374" s="6" t="n">
        <s:v>11189</s:v>
      </s:c>
      <s:c r="D374" s="6" t="n">
        <s:v>30395</s:v>
      </s:c>
      <s:c r="E374" s="6" t="n">
        <s:v>12292</s:v>
      </s:c>
      <s:c r="F374" s="6" t="n">
        <s:v>13584</s:v>
      </s:c>
      <s:c r="G374" s="6" t="n">
        <s:v>27446</s:v>
      </s:c>
      <s:c r="H374" s="6" t="n">
        <s:v>24840</s:v>
      </s:c>
      <s:c r="I374" s="6" t="n">
        <s:v>5074</s:v>
      </s:c>
      <s:c r="J374" s="6" t="n">
        <s:f>IF(COUNT(C374:I374)=7,SUM(C374:I374),"")</s:f>
        <s:v>124820</s:v>
      </s:c>
    </s:row>
    <s:row r="375">
      <s:c r="A375" s="5" t="n">
        <s:v>46281</s:v>
      </s:c>
      <s:c r="B375" s="2" t="n">
        <s:v>10</s:v>
      </s:c>
      <s:c r="C375" s="6" t="n">
        <s:v>11232</s:v>
      </s:c>
      <s:c r="D375" s="6" t="n">
        <s:v>30425</s:v>
      </s:c>
      <s:c r="E375" s="6" t="n">
        <s:v>12270</s:v>
      </s:c>
      <s:c r="F375" s="6" t="n">
        <s:v>13377</s:v>
      </s:c>
      <s:c r="G375" s="6" t="n">
        <s:v>27289</s:v>
      </s:c>
      <s:c r="H375" s="6" t="n">
        <s:v>24881</s:v>
      </s:c>
      <s:c r="I375" s="6" t="n">
        <s:v>5136</s:v>
      </s:c>
      <s:c r="J375" s="6" t="n">
        <s:f>IF(COUNT(C375:I375)=7,SUM(C375:I375),"")</s:f>
        <s:v>124610</s:v>
      </s:c>
    </s:row>
    <s:row r="376">
      <s:c r="A376" s="5" t="n">
        <s:v>46281</s:v>
      </s:c>
      <s:c r="B376" s="2" t="n">
        <s:v>11</s:v>
      </s:c>
      <s:c r="C376" s="6" t="n">
        <s:v>11159</s:v>
      </s:c>
      <s:c r="D376" s="6" t="n">
        <s:v>29939</s:v>
      </s:c>
      <s:c r="E376" s="6" t="n">
        <s:v>12329</s:v>
      </s:c>
      <s:c r="F376" s="6" t="n">
        <s:v>13357</s:v>
      </s:c>
      <s:c r="G376" s="6" t="n">
        <s:v>27176</s:v>
      </s:c>
      <s:c r="H376" s="6" t="n">
        <s:v>24489</s:v>
      </s:c>
      <s:c r="I376" s="6" t="n">
        <s:v>5200</s:v>
      </s:c>
      <s:c r="J376" s="6" t="n">
        <s:f>IF(COUNT(C376:I376)=7,SUM(C376:I376),"")</s:f>
        <s:v>123649</s:v>
      </s:c>
    </s:row>
    <s:row r="377">
      <s:c r="A377" s="5" t="n">
        <s:v>46281</s:v>
      </s:c>
      <s:c r="B377" s="2" t="n">
        <s:v>12</s:v>
      </s:c>
      <s:c r="C377" s="6" t="n">
        <s:v>11082</s:v>
      </s:c>
      <s:c r="D377" s="6" t="n">
        <s:v>29808</s:v>
      </s:c>
      <s:c r="E377" s="6" t="n">
        <s:v>12273</s:v>
      </s:c>
      <s:c r="F377" s="6" t="n">
        <s:v>13455</s:v>
      </s:c>
      <s:c r="G377" s="6" t="n">
        <s:v>27163</s:v>
      </s:c>
      <s:c r="H377" s="6" t="n">
        <s:v>24395</s:v>
      </s:c>
      <s:c r="I377" s="6" t="n">
        <s:v>5338</s:v>
      </s:c>
      <s:c r="J377" s="6" t="n">
        <s:f>IF(COUNT(C377:I377)=7,SUM(C377:I377),"")</s:f>
        <s:v>123514</s:v>
      </s:c>
    </s:row>
    <s:row r="378">
      <s:c r="A378" s="5" t="n">
        <s:v>46281</s:v>
      </s:c>
      <s:c r="B378" s="2" t="n">
        <s:v>13</s:v>
      </s:c>
      <s:c r="C378" s="6" t="n">
        <s:v>11006</s:v>
      </s:c>
      <s:c r="D378" s="6" t="n">
        <s:v>29856</s:v>
      </s:c>
      <s:c r="E378" s="6" t="n">
        <s:v>12444</s:v>
      </s:c>
      <s:c r="F378" s="6" t="n">
        <s:v>13398</s:v>
      </s:c>
      <s:c r="G378" s="6" t="n">
        <s:v>27052</s:v>
      </s:c>
      <s:c r="H378" s="6" t="n">
        <s:v>24761</s:v>
      </s:c>
      <s:c r="I378" s="6" t="n">
        <s:v>5430</s:v>
      </s:c>
      <s:c r="J378" s="6" t="n">
        <s:f>IF(COUNT(C378:I378)=7,SUM(C378:I378),"")</s:f>
        <s:v>123947</s:v>
      </s:c>
    </s:row>
    <s:row r="379">
      <s:c r="A379" s="5" t="n">
        <s:v>46281</s:v>
      </s:c>
      <s:c r="B379" s="2" t="n">
        <s:v>14</s:v>
      </s:c>
      <s:c r="C379" s="6" t="n">
        <s:v>10941</s:v>
      </s:c>
      <s:c r="D379" s="6" t="n">
        <s:v>29709</s:v>
      </s:c>
      <s:c r="E379" s="6" t="n">
        <s:v>12352</s:v>
      </s:c>
      <s:c r="F379" s="6" t="n">
        <s:v>13347</s:v>
      </s:c>
      <s:c r="G379" s="6" t="n">
        <s:v>27205</s:v>
      </s:c>
      <s:c r="H379" s="6" t="n">
        <s:v>24956</s:v>
      </s:c>
      <s:c r="I379" s="6" t="n">
        <s:v>5329</s:v>
      </s:c>
      <s:c r="J379" s="6" t="n">
        <s:f>IF(COUNT(C379:I379)=7,SUM(C379:I379),"")</s:f>
        <s:v>123839</s:v>
      </s:c>
    </s:row>
    <s:row r="380">
      <s:c r="A380" s="5" t="n">
        <s:v>46281</s:v>
      </s:c>
      <s:c r="B380" s="2" t="n">
        <s:v>15</s:v>
      </s:c>
      <s:c r="C380" s="6" t="n">
        <s:v>11052</s:v>
      </s:c>
      <s:c r="D380" s="6" t="n">
        <s:v>29597</s:v>
      </s:c>
      <s:c r="E380" s="6" t="n">
        <s:v>12204</s:v>
      </s:c>
      <s:c r="F380" s="6" t="n">
        <s:v>13162</s:v>
      </s:c>
      <s:c r="G380" s="6" t="n">
        <s:v>27160</s:v>
      </s:c>
      <s:c r="H380" s="6" t="n">
        <s:v>24798</s:v>
      </s:c>
      <s:c r="I380" s="6" t="n">
        <s:v>5033</s:v>
      </s:c>
      <s:c r="J380" s="6" t="n">
        <s:f>IF(COUNT(C380:I380)=7,SUM(C380:I380),"")</s:f>
        <s:v>123006</s:v>
      </s:c>
    </s:row>
    <s:row r="381">
      <s:c r="A381" s="5" t="n">
        <s:v>46281</s:v>
      </s:c>
      <s:c r="B381" s="2" t="n">
        <s:v>16</s:v>
      </s:c>
      <s:c r="C381" s="6" t="n">
        <s:v>10795</s:v>
      </s:c>
      <s:c r="D381" s="6" t="n">
        <s:v>29349</s:v>
      </s:c>
      <s:c r="E381" s="6" t="n">
        <s:v>11983</s:v>
      </s:c>
      <s:c r="F381" s="6" t="n">
        <s:v>13018</s:v>
      </s:c>
      <s:c r="G381" s="6" t="n">
        <s:v>27054</s:v>
      </s:c>
      <s:c r="H381" s="6" t="n">
        <s:v>24701</s:v>
      </s:c>
      <s:c r="I381" s="6" t="n">
        <s:v>4758</s:v>
      </s:c>
      <s:c r="J381" s="6" t="n">
        <s:f>IF(COUNT(C381:I381)=7,SUM(C381:I381),"")</s:f>
        <s:v>121658</s:v>
      </s:c>
    </s:row>
    <s:row r="382">
      <s:c r="A382" s="5" t="n">
        <s:v>46281</s:v>
      </s:c>
      <s:c r="B382" s="2" t="n">
        <s:v>17</s:v>
      </s:c>
      <s:c r="C382" s="6" t="n">
        <s:v>10833</s:v>
      </s:c>
      <s:c r="D382" s="6" t="n">
        <s:v>29280</s:v>
      </s:c>
      <s:c r="E382" s="6" t="n">
        <s:v>12052</s:v>
      </s:c>
      <s:c r="F382" s="6" t="n">
        <s:v>12888</s:v>
      </s:c>
      <s:c r="G382" s="6" t="n">
        <s:v>27090</s:v>
      </s:c>
      <s:c r="H382" s="6" t="n">
        <s:v>24628</s:v>
      </s:c>
      <s:c r="I382" s="6" t="n">
        <s:v>4584</s:v>
      </s:c>
      <s:c r="J382" s="6" t="n">
        <s:f>IF(COUNT(C382:I382)=7,SUM(C382:I382),"")</s:f>
        <s:v>121355</s:v>
      </s:c>
    </s:row>
    <s:row r="383">
      <s:c r="A383" s="5" t="n">
        <s:v>46281</s:v>
      </s:c>
      <s:c r="B383" s="2" t="n">
        <s:v>18</s:v>
      </s:c>
      <s:c r="C383" s="6" t="n">
        <s:v>10952</s:v>
      </s:c>
      <s:c r="D383" s="6" t="n">
        <s:v>30097</s:v>
      </s:c>
      <s:c r="E383" s="6" t="n">
        <s:v>12630</s:v>
      </s:c>
      <s:c r="F383" s="6" t="n">
        <s:v>13076</s:v>
      </s:c>
      <s:c r="G383" s="6" t="n">
        <s:v>27240</s:v>
      </s:c>
      <s:c r="H383" s="6" t="n">
        <s:v>23735</s:v>
      </s:c>
      <s:c r="I383" s="6" t="n">
        <s:v>4583</s:v>
      </s:c>
      <s:c r="J383" s="6" t="n">
        <s:f>IF(COUNT(C383:I383)=7,SUM(C383:I383),"")</s:f>
        <s:v>122313</s:v>
      </s:c>
    </s:row>
    <s:row r="384">
      <s:c r="A384" s="5" t="n">
        <s:v>46281</s:v>
      </s:c>
      <s:c r="B384" s="2" t="n">
        <s:v>19</s:v>
      </s:c>
      <s:c r="C384" s="6" t="n">
        <s:v>11237</s:v>
      </s:c>
      <s:c r="D384" s="6" t="n">
        <s:v>30584</s:v>
      </s:c>
      <s:c r="E384" s="6" t="n">
        <s:v>12440</s:v>
      </s:c>
      <s:c r="F384" s="6" t="n">
        <s:v>12924</s:v>
      </s:c>
      <s:c r="G384" s="6" t="n">
        <s:v>26854</s:v>
      </s:c>
      <s:c r="H384" s="6" t="n">
        <s:v>22767</s:v>
      </s:c>
      <s:c r="I384" s="6" t="n">
        <s:v>4369</s:v>
      </s:c>
      <s:c r="J384" s="6" t="n">
        <s:f>IF(COUNT(C384:I384)=7,SUM(C384:I384),"")</s:f>
        <s:v>121175</s:v>
      </s:c>
    </s:row>
    <s:row r="385">
      <s:c r="A385" s="5" t="n">
        <s:v>46281</s:v>
      </s:c>
      <s:c r="B385" s="2" t="n">
        <s:v>20</s:v>
      </s:c>
      <s:c r="C385" s="6" t="n">
        <s:v>11092</s:v>
      </s:c>
      <s:c r="D385" s="6" t="n">
        <s:v>29981</s:v>
      </s:c>
      <s:c r="E385" s="6" t="n">
        <s:v>12109</s:v>
      </s:c>
      <s:c r="F385" s="6" t="n">
        <s:v>12535</s:v>
      </s:c>
      <s:c r="G385" s="6" t="n">
        <s:v>25810</s:v>
      </s:c>
      <s:c r="H385" s="6" t="n">
        <s:v>22623</s:v>
      </s:c>
      <s:c r="I385" s="6" t="n">
        <s:v>4397</s:v>
      </s:c>
      <s:c r="J385" s="6" t="n">
        <s:f>IF(COUNT(C385:I385)=7,SUM(C385:I385),"")</s:f>
        <s:v>118547</s:v>
      </s:c>
    </s:row>
    <s:row r="386">
      <s:c r="A386" s="5" t="n">
        <s:v>46281</s:v>
      </s:c>
      <s:c r="B386" s="2" t="n">
        <s:v>21</s:v>
      </s:c>
      <s:c r="C386" s="6" t="n">
        <s:v>10890</s:v>
      </s:c>
      <s:c r="D386" s="6" t="n">
        <s:v>28891</s:v>
      </s:c>
      <s:c r="E386" s="6" t="n">
        <s:v>11782</s:v>
      </s:c>
      <s:c r="F386" s="6" t="n">
        <s:v>12075</s:v>
      </s:c>
      <s:c r="G386" s="6" t="n">
        <s:v>25132</s:v>
      </s:c>
      <s:c r="H386" s="6" t="n">
        <s:v>22181</s:v>
      </s:c>
      <s:c r="I386" s="6" t="n">
        <s:v>4544</s:v>
      </s:c>
      <s:c r="J386" s="6" t="n">
        <s:f>IF(COUNT(C386:I386)=7,SUM(C386:I386),"")</s:f>
        <s:v>115495</s:v>
      </s:c>
    </s:row>
    <s:row r="387">
      <s:c r="A387" s="5" t="n">
        <s:v>46281</s:v>
      </s:c>
      <s:c r="B387" s="2" t="n">
        <s:v>22</s:v>
      </s:c>
      <s:c r="C387" s="6" t="n">
        <s:v>10405</s:v>
      </s:c>
      <s:c r="D387" s="6" t="n">
        <s:v>26964</s:v>
      </s:c>
      <s:c r="E387" s="6" t="n">
        <s:v>10835</s:v>
      </s:c>
      <s:c r="F387" s="6" t="n">
        <s:v>11263</s:v>
      </s:c>
      <s:c r="G387" s="6" t="n">
        <s:v>24446</s:v>
      </s:c>
      <s:c r="H387" s="6" t="n">
        <s:v>22258</s:v>
      </s:c>
      <s:c r="I387" s="6" t="n">
        <s:v>4598</s:v>
      </s:c>
      <s:c r="J387" s="6" t="n">
        <s:f>IF(COUNT(C387:I387)=7,SUM(C387:I387),"")</s:f>
        <s:v>110769</s:v>
      </s:c>
    </s:row>
    <s:row r="388">
      <s:c r="A388" s="5" t="n">
        <s:v>46281</s:v>
      </s:c>
      <s:c r="B388" s="2" t="n">
        <s:v>23</s:v>
      </s:c>
      <s:c r="C388" s="6" t="n">
        <s:v>9848</s:v>
      </s:c>
      <s:c r="D388" s="6" t="n">
        <s:v>25543</s:v>
      </s:c>
      <s:c r="E388" s="6" t="n">
        <s:v>10080</s:v>
      </s:c>
      <s:c r="F388" s="6" t="n">
        <s:v>10885</s:v>
      </s:c>
      <s:c r="G388" s="6" t="n">
        <s:v>23886</s:v>
      </s:c>
      <s:c r="H388" s="6" t="n">
        <s:v>22228</s:v>
      </s:c>
      <s:c r="I388" s="6" t="n">
        <s:v>4871</s:v>
      </s:c>
      <s:c r="J388" s="6" t="n">
        <s:f>IF(COUNT(C388:I388)=7,SUM(C388:I388),"")</s:f>
        <s:v>107341</s:v>
      </s:c>
    </s:row>
    <s:row r="389">
      <s:c r="A389" s="5" t="n">
        <s:v>46282</s:v>
      </s:c>
      <s:c r="B389" s="2" t="n">
        <s:v>0</s:v>
      </s:c>
      <s:c r="C389" s="6" t="n">
        <s:v>9398</s:v>
      </s:c>
      <s:c r="D389" s="6" t="n">
        <s:v>24531</s:v>
      </s:c>
      <s:c r="E389" s="6" t="n">
        <s:v>9723</s:v>
      </s:c>
      <s:c r="F389" s="6" t="n">
        <s:v>10588</s:v>
      </s:c>
      <s:c r="G389" s="6" t="n">
        <s:v>23764</s:v>
      </s:c>
      <s:c r="H389" s="6" t="n">
        <s:v>22400</s:v>
      </s:c>
      <s:c r="I389" s="6" t="n">
        <s:v>5086</s:v>
      </s:c>
      <s:c r="J389" s="6" t="n">
        <s:f>IF(COUNT(C389:I389)=7,SUM(C389:I389),"")</s:f>
        <s:v>105490</s:v>
      </s:c>
    </s:row>
    <s:row r="390">
      <s:c r="A390" s="5" t="n">
        <s:v>46282</s:v>
      </s:c>
      <s:c r="B390" s="2" t="n">
        <s:v>1</s:v>
      </s:c>
      <s:c r="C390" s="6" t="n">
        <s:v>9149</s:v>
      </s:c>
      <s:c r="D390" s="6" t="n">
        <s:v>23986</s:v>
      </s:c>
      <s:c r="E390" s="6" t="n">
        <s:v>9285</s:v>
      </s:c>
      <s:c r="F390" s="6" t="n">
        <s:v>10470</s:v>
      </s:c>
      <s:c r="G390" s="6" t="n">
        <s:v>23742</s:v>
      </s:c>
      <s:c r="H390" s="6" t="n">
        <s:v>22931</s:v>
      </s:c>
      <s:c r="I390" s="6" t="n">
        <s:v>5205</s:v>
      </s:c>
      <s:c r="J390" s="6" t="n">
        <s:f>IF(COUNT(C390:I390)=7,SUM(C390:I390),"")</s:f>
        <s:v>104768</s:v>
      </s:c>
    </s:row>
    <s:row r="391">
      <s:c r="A391" s="5" t="n">
        <s:v>46282</s:v>
      </s:c>
      <s:c r="B391" s="2" t="n">
        <s:v>2</s:v>
      </s:c>
      <s:c r="C391" s="6" t="n">
        <s:v>9071</s:v>
      </s:c>
      <s:c r="D391" s="6" t="n">
        <s:v>23612</s:v>
      </s:c>
      <s:c r="E391" s="6" t="n">
        <s:v>9099</s:v>
      </s:c>
      <s:c r="F391" s="6" t="n">
        <s:v>10361</s:v>
      </s:c>
      <s:c r="G391" s="6" t="n">
        <s:v>24015</s:v>
      </s:c>
      <s:c r="H391" s="6" t="n">
        <s:v>23686</s:v>
      </s:c>
      <s:c r="I391" s="6" t="n">
        <s:v>5190</s:v>
      </s:c>
      <s:c r="J391" s="6" t="n">
        <s:f>IF(COUNT(C391:I391)=7,SUM(C391:I391),"")</s:f>
        <s:v>105034</s:v>
      </s:c>
    </s:row>
    <s:row r="392">
      <s:c r="A392" s="5" t="n">
        <s:v>46282</s:v>
      </s:c>
      <s:c r="B392" s="2" t="n">
        <s:v>3</s:v>
      </s:c>
      <s:c r="C392" s="6" t="n">
        <s:v>8939</s:v>
      </s:c>
      <s:c r="D392" s="6" t="n">
        <s:v>23565</s:v>
      </s:c>
      <s:c r="E392" s="6" t="n">
        <s:v>9081</s:v>
      </s:c>
      <s:c r="F392" s="6" t="n">
        <s:v>10617</s:v>
      </s:c>
      <s:c r="G392" s="6" t="n">
        <s:v>24060</s:v>
      </s:c>
      <s:c r="H392" s="6" t="n">
        <s:v>23643</s:v>
      </s:c>
      <s:c r="I392" s="6" t="n">
        <s:v>5255</s:v>
      </s:c>
      <s:c r="J392" s="6" t="n">
        <s:f>IF(COUNT(C392:I392)=7,SUM(C392:I392),"")</s:f>
        <s:v>105160</s:v>
      </s:c>
    </s:row>
    <s:row r="393">
      <s:c r="A393" s="5" t="n">
        <s:v>46282</s:v>
      </s:c>
      <s:c r="B393" s="2" t="n">
        <s:v>4</s:v>
      </s:c>
      <s:c r="C393" s="6" t="n">
        <s:v>9054</s:v>
      </s:c>
      <s:c r="D393" s="6" t="n">
        <s:v>23962</s:v>
      </s:c>
      <s:c r="E393" s="6" t="n">
        <s:v>9261</s:v>
      </s:c>
      <s:c r="F393" s="6" t="n">
        <s:v>10902</s:v>
      </s:c>
      <s:c r="G393" s="6" t="n">
        <s:v>25034</s:v>
      </s:c>
      <s:c r="H393" s="6" t="n">
        <s:v>24214</s:v>
      </s:c>
      <s:c r="I393" s="6" t="n">
        <s:v>5190</s:v>
      </s:c>
      <s:c r="J393" s="6" t="n">
        <s:f>IF(COUNT(C393:I393)=7,SUM(C393:I393),"")</s:f>
        <s:v>107617</s:v>
      </s:c>
    </s:row>
    <s:row r="394">
      <s:c r="A394" s="5" t="n">
        <s:v>46282</s:v>
      </s:c>
      <s:c r="B394" s="2" t="n">
        <s:v>5</s:v>
      </s:c>
      <s:c r="C394" s="6" t="n">
        <s:v>9353</s:v>
      </s:c>
      <s:c r="D394" s="6" t="n">
        <s:v>24936</s:v>
      </s:c>
      <s:c r="E394" s="6" t="n">
        <s:v>9661</s:v>
      </s:c>
      <s:c r="F394" s="6" t="n">
        <s:v>11421</s:v>
      </s:c>
      <s:c r="G394" s="6" t="n">
        <s:v>25784</s:v>
      </s:c>
      <s:c r="H394" s="6" t="n">
        <s:v>24586</s:v>
      </s:c>
      <s:c r="I394" s="6" t="n">
        <s:v>5012</s:v>
      </s:c>
      <s:c r="J394" s="6" t="n">
        <s:f>IF(COUNT(C394:I394)=7,SUM(C394:I394),"")</s:f>
        <s:v>110753</s:v>
      </s:c>
    </s:row>
    <s:row r="395">
      <s:c r="A395" s="5" t="n">
        <s:v>46282</s:v>
      </s:c>
      <s:c r="B395" s="2" t="n">
        <s:v>6</s:v>
      </s:c>
      <s:c r="C395" s="6" t="n">
        <s:v>9650</s:v>
      </s:c>
      <s:c r="D395" s="6" t="n">
        <s:v>26503</s:v>
      </s:c>
      <s:c r="E395" s="6" t="n">
        <s:v>10374</s:v>
      </s:c>
      <s:c r="F395" s="6" t="n">
        <s:v>12354</s:v>
      </s:c>
      <s:c r="G395" s="6" t="n">
        <s:v>26882</s:v>
      </s:c>
      <s:c r="H395" s="6" t="n">
        <s:v>24442</s:v>
      </s:c>
      <s:c r="I395" s="6" t="n">
        <s:v>5079</s:v>
      </s:c>
      <s:c r="J395" s="6" t="n">
        <s:f>IF(COUNT(C395:I395)=7,SUM(C395:I395),"")</s:f>
        <s:v>115284</s:v>
      </s:c>
    </s:row>
    <s:row r="396">
      <s:c r="A396" s="5" t="n">
        <s:v>46282</s:v>
      </s:c>
      <s:c r="B396" s="2" t="n">
        <s:v>7</s:v>
      </s:c>
      <s:c r="C396" s="6" t="n">
        <s:v>10229</s:v>
      </s:c>
      <s:c r="D396" s="6" t="n">
        <s:v>28149</s:v>
      </s:c>
      <s:c r="E396" s="6" t="n">
        <s:v>11196</s:v>
      </s:c>
      <s:c r="F396" s="6" t="n">
        <s:v>13159</s:v>
      </s:c>
      <s:c r="G396" s="6" t="n">
        <s:v>27145</s:v>
      </s:c>
      <s:c r="H396" s="6" t="n">
        <s:v>24391</s:v>
      </s:c>
      <s:c r="I396" s="6" t="n">
        <s:v>5058</s:v>
      </s:c>
      <s:c r="J396" s="6" t="n">
        <s:f>IF(COUNT(C396:I396)=7,SUM(C396:I396),"")</s:f>
        <s:v>119327</s:v>
      </s:c>
    </s:row>
    <s:row r="397">
      <s:c r="A397" s="5" t="n">
        <s:v>46282</s:v>
      </s:c>
      <s:c r="B397" s="2" t="n">
        <s:v>8</s:v>
      </s:c>
      <s:c r="C397" s="6" t="n">
        <s:v>10877</s:v>
      </s:c>
      <s:c r="D397" s="6" t="n">
        <s:v>29707</s:v>
      </s:c>
      <s:c r="E397" s="6" t="n">
        <s:v>11744</s:v>
      </s:c>
      <s:c r="F397" s="6" t="n">
        <s:v>13325</s:v>
      </s:c>
      <s:c r="G397" s="6" t="n">
        <s:v>27184</s:v>
      </s:c>
      <s:c r="H397" s="6" t="n">
        <s:v>24849</s:v>
      </s:c>
      <s:c r="I397" s="6" t="n">
        <s:v>5018</s:v>
      </s:c>
      <s:c r="J397" s="6" t="n">
        <s:f>IF(COUNT(C397:I397)=7,SUM(C397:I397),"")</s:f>
        <s:v>122704</s:v>
      </s:c>
    </s:row>
    <s:row r="398">
      <s:c r="A398" s="5" t="n">
        <s:v>46282</s:v>
      </s:c>
      <s:c r="B398" s="2" t="n">
        <s:v>9</s:v>
      </s:c>
      <s:c r="C398" s="6" t="n">
        <s:v>11208</s:v>
      </s:c>
      <s:c r="D398" s="6" t="n">
        <s:v>30138</s:v>
      </s:c>
      <s:c r="E398" s="6" t="n">
        <s:v>12084</s:v>
      </s:c>
      <s:c r="F398" s="6" t="n">
        <s:v>13545</s:v>
      </s:c>
      <s:c r="G398" s="6" t="n">
        <s:v>27034</s:v>
      </s:c>
      <s:c r="H398" s="6" t="n">
        <s:v>24798</s:v>
      </s:c>
      <s:c r="I398" s="6" t="n">
        <s:v>5021</s:v>
      </s:c>
      <s:c r="J398" s="6" t="n">
        <s:f>IF(COUNT(C398:I398)=7,SUM(C398:I398),"")</s:f>
        <s:v>123828</s:v>
      </s:c>
    </s:row>
    <s:row r="399">
      <s:c r="A399" s="5" t="n">
        <s:v>46282</s:v>
      </s:c>
      <s:c r="B399" s="2" t="n">
        <s:v>10</s:v>
      </s:c>
      <s:c r="C399" s="6" t="n">
        <s:v>11248</s:v>
      </s:c>
      <s:c r="D399" s="6" t="n">
        <s:v>30166</s:v>
      </s:c>
      <s:c r="E399" s="6" t="n">
        <s:v>12249</s:v>
      </s:c>
      <s:c r="F399" s="6" t="n">
        <s:v>13216</s:v>
      </s:c>
      <s:c r="G399" s="6" t="n">
        <s:v>27217</s:v>
      </s:c>
      <s:c r="H399" s="6" t="n">
        <s:v>25150</s:v>
      </s:c>
      <s:c r="I399" s="6" t="n">
        <s:v>5025</s:v>
      </s:c>
      <s:c r="J399" s="6" t="n">
        <s:f>IF(COUNT(C399:I399)=7,SUM(C399:I399),"")</s:f>
        <s:v>124271</s:v>
      </s:c>
    </s:row>
    <s:row r="400">
      <s:c r="A400" s="5" t="n">
        <s:v>46282</s:v>
      </s:c>
      <s:c r="B400" s="2" t="n">
        <s:v>11</s:v>
      </s:c>
      <s:c r="C400" s="6" t="n">
        <s:v>11210</s:v>
      </s:c>
      <s:c r="D400" s="6" t="n">
        <s:v>29662</s:v>
      </s:c>
      <s:c r="E400" s="6" t="n">
        <s:v>12150</s:v>
      </s:c>
      <s:c r="F400" s="6" t="n">
        <s:v>13065</s:v>
      </s:c>
      <s:c r="G400" s="6" t="n">
        <s:v>27139</s:v>
      </s:c>
      <s:c r="H400" s="6" t="n">
        <s:v>24340</s:v>
      </s:c>
      <s:c r="I400" s="6" t="n">
        <s:v>5148</s:v>
      </s:c>
      <s:c r="J400" s="6" t="n">
        <s:f>IF(COUNT(C400:I400)=7,SUM(C400:I400),"")</s:f>
        <s:v>122714</s:v>
      </s:c>
    </s:row>
    <s:row r="401">
      <s:c r="A401" s="5" t="n">
        <s:v>46282</s:v>
      </s:c>
      <s:c r="B401" s="2" t="n">
        <s:v>12</s:v>
      </s:c>
      <s:c r="C401" s="6" t="n">
        <s:v>11146</s:v>
      </s:c>
      <s:c r="D401" s="6" t="n">
        <s:v>29671</s:v>
      </s:c>
      <s:c r="E401" s="6" t="n">
        <s:v>12242</s:v>
      </s:c>
      <s:c r="F401" s="6" t="n">
        <s:v>13319</s:v>
      </s:c>
      <s:c r="G401" s="6" t="n">
        <s:v>27248</s:v>
      </s:c>
      <s:c r="H401" s="6" t="n">
        <s:v>24178</s:v>
      </s:c>
      <s:c r="I401" s="6" t="n">
        <s:v>5247</s:v>
      </s:c>
      <s:c r="J401" s="6" t="n">
        <s:f>IF(COUNT(C401:I401)=7,SUM(C401:I401),"")</s:f>
        <s:v>123051</s:v>
      </s:c>
    </s:row>
    <s:row r="402">
      <s:c r="A402" s="5" t="n">
        <s:v>46282</s:v>
      </s:c>
      <s:c r="B402" s="2" t="n">
        <s:v>13</s:v>
      </s:c>
      <s:c r="C402" s="6" t="n">
        <s:v>11109</s:v>
      </s:c>
      <s:c r="D402" s="6" t="n">
        <s:v>29849</s:v>
      </s:c>
      <s:c r="E402" s="6" t="n">
        <s:v>12461</s:v>
      </s:c>
      <s:c r="F402" s="6" t="n">
        <s:v>13176</s:v>
      </s:c>
      <s:c r="G402" s="6" t="n">
        <s:v>27015</s:v>
      </s:c>
      <s:c r="H402" s="6" t="n">
        <s:v>24342</s:v>
      </s:c>
      <s:c r="I402" s="6" t="n">
        <s:v>5337</s:v>
      </s:c>
      <s:c r="J402" s="6" t="n">
        <s:f>IF(COUNT(C402:I402)=7,SUM(C402:I402),"")</s:f>
        <s:v>123289</s:v>
      </s:c>
    </s:row>
    <s:row r="403">
      <s:c r="A403" s="5" t="n">
        <s:v>46282</s:v>
      </s:c>
      <s:c r="B403" s="2" t="n">
        <s:v>14</s:v>
      </s:c>
      <s:c r="C403" s="6" t="n">
        <s:v>11111</s:v>
      </s:c>
      <s:c r="D403" s="6" t="n">
        <s:v>29745</s:v>
      </s:c>
      <s:c r="E403" s="6" t="n">
        <s:v>12354</s:v>
      </s:c>
      <s:c r="F403" s="6" t="n">
        <s:v>12884</s:v>
      </s:c>
      <s:c r="G403" s="6" t="n">
        <s:v>26973</s:v>
      </s:c>
      <s:c r="H403" s="6" t="n">
        <s:v>24863</s:v>
      </s:c>
      <s:c r="I403" s="6" t="n">
        <s:v>5172</s:v>
      </s:c>
      <s:c r="J403" s="6" t="n">
        <s:f>IF(COUNT(C403:I403)=7,SUM(C403:I403),"")</s:f>
        <s:v>123102</s:v>
      </s:c>
    </s:row>
    <s:row r="404">
      <s:c r="A404" s="5" t="n">
        <s:v>46282</s:v>
      </s:c>
      <s:c r="B404" s="2" t="n">
        <s:v>15</s:v>
      </s:c>
      <s:c r="C404" s="6" t="n">
        <s:v>11153</s:v>
      </s:c>
      <s:c r="D404" s="6" t="n">
        <s:v>29504</s:v>
      </s:c>
      <s:c r="E404" s="6" t="n">
        <s:v>12241</s:v>
      </s:c>
      <s:c r="F404" s="6" t="n">
        <s:v>12692</s:v>
      </s:c>
      <s:c r="G404" s="6" t="n">
        <s:v>27031</s:v>
      </s:c>
      <s:c r="H404" s="6" t="n">
        <s:v>24734</s:v>
      </s:c>
      <s:c r="I404" s="6" t="n">
        <s:v>4936</s:v>
      </s:c>
      <s:c r="J404" s="6" t="n">
        <s:f>IF(COUNT(C404:I404)=7,SUM(C404:I404),"")</s:f>
        <s:v>122291</s:v>
      </s:c>
    </s:row>
    <s:row r="405">
      <s:c r="A405" s="5" t="n">
        <s:v>46282</s:v>
      </s:c>
      <s:c r="B405" s="2" t="n">
        <s:v>16</s:v>
      </s:c>
      <s:c r="C405" s="6" t="n">
        <s:v>10853</s:v>
      </s:c>
      <s:c r="D405" s="6" t="n">
        <s:v>29216</s:v>
      </s:c>
      <s:c r="E405" s="6" t="n">
        <s:v>12177</s:v>
      </s:c>
      <s:c r="F405" s="6" t="n">
        <s:v>12546</s:v>
      </s:c>
      <s:c r="G405" s="6" t="n">
        <s:v>27093</s:v>
      </s:c>
      <s:c r="H405" s="6" t="n">
        <s:v>24560</s:v>
      </s:c>
      <s:c r="I405" s="6" t="n">
        <s:v>4826</s:v>
      </s:c>
      <s:c r="J405" s="6" t="n">
        <s:f>IF(COUNT(C405:I405)=7,SUM(C405:I405),"")</s:f>
        <s:v>121271</s:v>
      </s:c>
    </s:row>
    <s:row r="406">
      <s:c r="A406" s="5" t="n">
        <s:v>46282</s:v>
      </s:c>
      <s:c r="B406" s="2" t="n">
        <s:v>17</s:v>
      </s:c>
      <s:c r="C406" s="6" t="n">
        <s:v>10846</s:v>
      </s:c>
      <s:c r="D406" s="6" t="n">
        <s:v>29331</s:v>
      </s:c>
      <s:c r="E406" s="6" t="n">
        <s:v>12185</s:v>
      </s:c>
      <s:c r="F406" s="6" t="n">
        <s:v>12801</s:v>
      </s:c>
      <s:c r="G406" s="6" t="n">
        <s:v>27227</s:v>
      </s:c>
      <s:c r="H406" s="6" t="n">
        <s:v>24754</s:v>
      </s:c>
      <s:c r="I406" s="6" t="n">
        <s:v>4473</s:v>
      </s:c>
      <s:c r="J406" s="6" t="n">
        <s:f>IF(COUNT(C406:I406)=7,SUM(C406:I406),"")</s:f>
        <s:v>121617</s:v>
      </s:c>
    </s:row>
    <s:row r="407">
      <s:c r="A407" s="5" t="n">
        <s:v>46282</s:v>
      </s:c>
      <s:c r="B407" s="2" t="n">
        <s:v>18</s:v>
      </s:c>
      <s:c r="C407" s="6" t="n">
        <s:v>10994</s:v>
      </s:c>
      <s:c r="D407" s="6" t="n">
        <s:v>30322</s:v>
      </s:c>
      <s:c r="E407" s="6" t="n">
        <s:v>12771</s:v>
      </s:c>
      <s:c r="F407" s="6" t="n">
        <s:v>13142</s:v>
      </s:c>
      <s:c r="G407" s="6" t="n">
        <s:v>27250</s:v>
      </s:c>
      <s:c r="H407" s="6" t="n">
        <s:v>24081</s:v>
      </s:c>
      <s:c r="I407" s="6" t="n">
        <s:v>4524</s:v>
      </s:c>
      <s:c r="J407" s="6" t="n">
        <s:f>IF(COUNT(C407:I407)=7,SUM(C407:I407),"")</s:f>
        <s:v>123084</s:v>
      </s:c>
    </s:row>
    <s:row r="408">
      <s:c r="A408" s="5" t="n">
        <s:v>46282</s:v>
      </s:c>
      <s:c r="B408" s="2" t="n">
        <s:v>19</s:v>
      </s:c>
      <s:c r="C408" s="6" t="n">
        <s:v>11172</s:v>
      </s:c>
      <s:c r="D408" s="6" t="n">
        <s:v>30238</s:v>
      </s:c>
      <s:c r="E408" s="6" t="n">
        <s:v>12585</s:v>
      </s:c>
      <s:c r="F408" s="6" t="n">
        <s:v>13019</s:v>
      </s:c>
      <s:c r="G408" s="6" t="n">
        <s:v>26687</s:v>
      </s:c>
      <s:c r="H408" s="6" t="n">
        <s:v>23172</s:v>
      </s:c>
      <s:c r="I408" s="6" t="n">
        <s:v>4402</s:v>
      </s:c>
      <s:c r="J408" s="6" t="n">
        <s:f>IF(COUNT(C408:I408)=7,SUM(C408:I408),"")</s:f>
        <s:v>121275</s:v>
      </s:c>
    </s:row>
    <s:row r="409">
      <s:c r="A409" s="5" t="n">
        <s:v>46282</s:v>
      </s:c>
      <s:c r="B409" s="2" t="n">
        <s:v>20</s:v>
      </s:c>
      <s:c r="C409" s="6" t="n">
        <s:v>11106</s:v>
      </s:c>
      <s:c r="D409" s="6" t="n">
        <s:v>29697</s:v>
      </s:c>
      <s:c r="E409" s="6" t="n">
        <s:v>12193</s:v>
      </s:c>
      <s:c r="F409" s="6" t="n">
        <s:v>12560</s:v>
      </s:c>
      <s:c r="G409" s="6" t="n">
        <s:v>25709</s:v>
      </s:c>
      <s:c r="H409" s="6" t="n">
        <s:v>22730</s:v>
      </s:c>
      <s:c r="I409" s="6" t="n">
        <s:v>4360</s:v>
      </s:c>
      <s:c r="J409" s="6" t="n">
        <s:f>IF(COUNT(C409:I409)=7,SUM(C409:I409),"")</s:f>
        <s:v>118355</s:v>
      </s:c>
    </s:row>
    <s:row r="410">
      <s:c r="A410" s="5" t="n">
        <s:v>46282</s:v>
      </s:c>
      <s:c r="B410" s="2" t="n">
        <s:v>21</s:v>
      </s:c>
      <s:c r="C410" s="6" t="n">
        <s:v>10911</s:v>
      </s:c>
      <s:c r="D410" s="6" t="n">
        <s:v>28817</s:v>
      </s:c>
      <s:c r="E410" s="6" t="n">
        <s:v>11609</s:v>
      </s:c>
      <s:c r="F410" s="6" t="n">
        <s:v>12007</s:v>
      </s:c>
      <s:c r="G410" s="6" t="n">
        <s:v>24864</s:v>
      </s:c>
      <s:c r="H410" s="6" t="n">
        <s:v>22567</s:v>
      </s:c>
      <s:c r="I410" s="6" t="n">
        <s:v>4496</s:v>
      </s:c>
      <s:c r="J410" s="6" t="n">
        <s:f>IF(COUNT(C410:I410)=7,SUM(C410:I410),"")</s:f>
        <s:v>115271</s:v>
      </s:c>
    </s:row>
    <s:row r="411">
      <s:c r="A411" s="5" t="n">
        <s:v>46282</s:v>
      </s:c>
      <s:c r="B411" s="2" t="n">
        <s:v>22</s:v>
      </s:c>
      <s:c r="C411" s="6" t="n">
        <s:v>10352</s:v>
      </s:c>
      <s:c r="D411" s="6" t="n">
        <s:v>26921</s:v>
      </s:c>
      <s:c r="E411" s="6" t="n">
        <s:v>10936</s:v>
      </s:c>
      <s:c r="F411" s="6" t="n">
        <s:v>11386</s:v>
      </s:c>
      <s:c r="G411" s="6" t="n">
        <s:v>24168</s:v>
      </s:c>
      <s:c r="H411" s="6" t="n">
        <s:v>22140</s:v>
      </s:c>
      <s:c r="I411" s="6" t="n">
        <s:v>4434</s:v>
      </s:c>
      <s:c r="J411" s="6" t="n">
        <s:f>IF(COUNT(C411:I411)=7,SUM(C411:I411),"")</s:f>
        <s:v>110337</s:v>
      </s:c>
    </s:row>
    <s:row r="412">
      <s:c r="A412" s="5" t="n">
        <s:v>46282</s:v>
      </s:c>
      <s:c r="B412" s="2" t="n">
        <s:v>23</s:v>
      </s:c>
      <s:c r="C412" s="6" t="n">
        <s:v>9883</s:v>
      </s:c>
      <s:c r="D412" s="6" t="n">
        <s:v>25446</s:v>
      </s:c>
      <s:c r="E412" s="6" t="n">
        <s:v>9893</s:v>
      </s:c>
      <s:c r="F412" s="6" t="n">
        <s:v>10853</s:v>
      </s:c>
      <s:c r="G412" s="6" t="n">
        <s:v>23914</s:v>
      </s:c>
      <s:c r="H412" s="6" t="n">
        <s:v>22049</s:v>
      </s:c>
      <s:c r="I412" s="6" t="n">
        <s:v>4713</s:v>
      </s:c>
      <s:c r="J412" s="6" t="n">
        <s:f>IF(COUNT(C412:I412)=7,SUM(C412:I412),"")</s:f>
        <s:v>106751</s:v>
      </s:c>
    </s:row>
    <s:row r="413">
      <s:c r="A413" s="5" t="n">
        <s:v>46283</s:v>
      </s:c>
      <s:c r="B413" s="2" t="n">
        <s:v>0</s:v>
      </s:c>
      <s:c r="C413" s="6" t="n">
        <s:v>9532</s:v>
      </s:c>
      <s:c r="D413" s="6" t="n">
        <s:v>24416</s:v>
      </s:c>
      <s:c r="E413" s="6" t="n">
        <s:v>9670</s:v>
      </s:c>
      <s:c r="F413" s="6" t="n">
        <s:v>10621</s:v>
      </s:c>
      <s:c r="G413" s="6" t="n">
        <s:v>23830</s:v>
      </s:c>
      <s:c r="H413" s="6" t="n">
        <s:v>22493</s:v>
      </s:c>
      <s:c r="I413" s="6" t="n">
        <s:v>4907</s:v>
      </s:c>
      <s:c r="J413" s="6" t="n">
        <s:f>IF(COUNT(C413:I413)=7,SUM(C413:I413),"")</s:f>
        <s:v>105469</s:v>
      </s:c>
    </s:row>
    <s:row r="414">
      <s:c r="A414" s="5" t="n">
        <s:v>46283</s:v>
      </s:c>
      <s:c r="B414" s="2" t="n">
        <s:v>1</s:v>
      </s:c>
      <s:c r="C414" s="6" t="n">
        <s:v>9241</s:v>
      </s:c>
      <s:c r="D414" s="6" t="n">
        <s:v>23830</s:v>
      </s:c>
      <s:c r="E414" s="6" t="n">
        <s:v>9351</s:v>
      </s:c>
      <s:c r="F414" s="6" t="n">
        <s:v>10499</s:v>
      </s:c>
      <s:c r="G414" s="6" t="n">
        <s:v>23803</s:v>
      </s:c>
      <s:c r="H414" s="6" t="n">
        <s:v>22928</s:v>
      </s:c>
      <s:c r="I414" s="6" t="n">
        <s:v>4980</s:v>
      </s:c>
      <s:c r="J414" s="6" t="n">
        <s:f>IF(COUNT(C414:I414)=7,SUM(C414:I414),"")</s:f>
        <s:v>104632</s:v>
      </s:c>
    </s:row>
    <s:row r="415">
      <s:c r="A415" s="5" t="n">
        <s:v>46283</s:v>
      </s:c>
      <s:c r="B415" s="2" t="n">
        <s:v>2</s:v>
      </s:c>
      <s:c r="C415" s="6" t="n">
        <s:v>9159</s:v>
      </s:c>
      <s:c r="D415" s="6" t="n">
        <s:v>23711</s:v>
      </s:c>
      <s:c r="E415" s="6" t="n">
        <s:v>9006</s:v>
      </s:c>
      <s:c r="F415" s="6" t="n">
        <s:v>10438</s:v>
      </s:c>
      <s:c r="G415" s="6" t="n">
        <s:v>23528</s:v>
      </s:c>
      <s:c r="H415" s="6" t="n">
        <s:v>23433</s:v>
      </s:c>
      <s:c r="I415" s="6" t="n">
        <s:v>5166</s:v>
      </s:c>
      <s:c r="J415" s="6" t="n">
        <s:f>IF(COUNT(C415:I415)=7,SUM(C415:I415),"")</s:f>
        <s:v>104441</s:v>
      </s:c>
    </s:row>
    <s:row r="416">
      <s:c r="A416" s="5" t="n">
        <s:v>46283</s:v>
      </s:c>
      <s:c r="B416" s="2" t="n">
        <s:v>3</s:v>
      </s:c>
      <s:c r="C416" s="6" t="n">
        <s:v>9076</s:v>
      </s:c>
      <s:c r="D416" s="6" t="n">
        <s:v>23517</s:v>
      </s:c>
      <s:c r="E416" s="6" t="n">
        <s:v>8995</s:v>
      </s:c>
      <s:c r="F416" s="6" t="n">
        <s:v>10446</s:v>
      </s:c>
      <s:c r="G416" s="6" t="n">
        <s:v>24198</s:v>
      </s:c>
      <s:c r="H416" s="6" t="n">
        <s:v>23749</s:v>
      </s:c>
      <s:c r="I416" s="6" t="n">
        <s:v>5166</s:v>
      </s:c>
      <s:c r="J416" s="6" t="n">
        <s:f>IF(COUNT(C416:I416)=7,SUM(C416:I416),"")</s:f>
        <s:v>105147</s:v>
      </s:c>
    </s:row>
    <s:row r="417">
      <s:c r="A417" s="5" t="n">
        <s:v>46283</s:v>
      </s:c>
      <s:c r="B417" s="2" t="n">
        <s:v>4</s:v>
      </s:c>
      <s:c r="C417" s="6" t="n">
        <s:v>9095</s:v>
      </s:c>
      <s:c r="D417" s="6" t="n">
        <s:v>23764</s:v>
      </s:c>
      <s:c r="E417" s="6" t="n">
        <s:v>9156</s:v>
      </s:c>
      <s:c r="F417" s="6" t="n">
        <s:v>10772</s:v>
      </s:c>
      <s:c r="G417" s="6" t="n">
        <s:v>24775</s:v>
      </s:c>
      <s:c r="H417" s="6" t="n">
        <s:v>24189</s:v>
      </s:c>
      <s:c r="I417" s="6" t="n">
        <s:v>5030</s:v>
      </s:c>
      <s:c r="J417" s="6" t="n">
        <s:f>IF(COUNT(C417:I417)=7,SUM(C417:I417),"")</s:f>
        <s:v>106781</s:v>
      </s:c>
    </s:row>
    <s:row r="418">
      <s:c r="A418" s="5" t="n">
        <s:v>46283</s:v>
      </s:c>
      <s:c r="B418" s="2" t="n">
        <s:v>5</s:v>
      </s:c>
      <s:c r="C418" s="6" t="n">
        <s:v>9360</s:v>
      </s:c>
      <s:c r="D418" s="6" t="n">
        <s:v>24814</s:v>
      </s:c>
      <s:c r="E418" s="6" t="n">
        <s:v>9613</s:v>
      </s:c>
      <s:c r="F418" s="6" t="n">
        <s:v>11164</s:v>
      </s:c>
      <s:c r="G418" s="6" t="n">
        <s:v>25753</s:v>
      </s:c>
      <s:c r="H418" s="6" t="n">
        <s:v>24663</s:v>
      </s:c>
      <s:c r="I418" s="6" t="n">
        <s:v>5023</s:v>
      </s:c>
      <s:c r="J418" s="6" t="n">
        <s:f>IF(COUNT(C418:I418)=7,SUM(C418:I418),"")</s:f>
        <s:v>110390</s:v>
      </s:c>
    </s:row>
    <s:row r="419">
      <s:c r="A419" s="5" t="n">
        <s:v>46283</s:v>
      </s:c>
      <s:c r="B419" s="2" t="n">
        <s:v>6</s:v>
      </s:c>
      <s:c r="C419" s="6" t="n">
        <s:v>9627</s:v>
      </s:c>
      <s:c r="D419" s="6" t="n">
        <s:v>26039</s:v>
      </s:c>
      <s:c r="E419" s="6" t="n">
        <s:v>10257</s:v>
      </s:c>
      <s:c r="F419" s="6" t="n">
        <s:v>11992</s:v>
      </s:c>
      <s:c r="G419" s="6" t="n">
        <s:v>26591</s:v>
      </s:c>
      <s:c r="H419" s="6" t="n">
        <s:v>24545</s:v>
      </s:c>
      <s:c r="I419" s="6" t="n">
        <s:v>4969</s:v>
      </s:c>
      <s:c r="J419" s="6" t="n">
        <s:f>IF(COUNT(C419:I419)=7,SUM(C419:I419),"")</s:f>
        <s:v>114020</s:v>
      </s:c>
    </s:row>
    <s:row r="420">
      <s:c r="A420" s="5" t="n">
        <s:v>46283</s:v>
      </s:c>
      <s:c r="B420" s="2" t="n">
        <s:v>7</s:v>
      </s:c>
      <s:c r="C420" s="6" t="n">
        <s:v>10166</s:v>
      </s:c>
      <s:c r="D420" s="6" t="n">
        <s:v>27660</s:v>
      </s:c>
      <s:c r="E420" s="6" t="n">
        <s:v>11019</s:v>
      </s:c>
      <s:c r="F420" s="6" t="n">
        <s:v>12838</s:v>
      </s:c>
      <s:c r="G420" s="6" t="n">
        <s:v>27108</s:v>
      </s:c>
      <s:c r="H420" s="6" t="n">
        <s:v>24346</s:v>
      </s:c>
      <s:c r="I420" s="6" t="n">
        <s:v>4950</s:v>
      </s:c>
      <s:c r="J420" s="6" t="n">
        <s:f>IF(COUNT(C420:I420)=7,SUM(C420:I420),"")</s:f>
        <s:v>118087</s:v>
      </s:c>
    </s:row>
    <s:row r="421">
      <s:c r="A421" s="5" t="n">
        <s:v>46283</s:v>
      </s:c>
      <s:c r="B421" s="2" t="n">
        <s:v>8</s:v>
      </s:c>
      <s:c r="C421" s="6" t="n">
        <s:v>10828</s:v>
      </s:c>
      <s:c r="D421" s="6" t="n">
        <s:v>29646</s:v>
      </s:c>
      <s:c r="E421" s="6" t="n">
        <s:v>11770</s:v>
      </s:c>
      <s:c r="F421" s="6" t="n">
        <s:v>13157</s:v>
      </s:c>
      <s:c r="G421" s="6" t="n">
        <s:v>27315</s:v>
      </s:c>
      <s:c r="H421" s="6" t="n">
        <s:v>24759</s:v>
      </s:c>
      <s:c r="I421" s="6" t="n">
        <s:v>4995</s:v>
      </s:c>
      <s:c r="J421" s="6" t="n">
        <s:f>IF(COUNT(C421:I421)=7,SUM(C421:I421),"")</s:f>
        <s:v>122470</s:v>
      </s:c>
    </s:row>
    <s:row r="422">
      <s:c r="A422" s="5" t="n">
        <s:v>46283</s:v>
      </s:c>
      <s:c r="B422" s="2" t="n">
        <s:v>9</s:v>
      </s:c>
      <s:c r="C422" s="6" t="n">
        <s:v>11015</s:v>
      </s:c>
      <s:c r="D422" s="6" t="n">
        <s:v>30311</s:v>
      </s:c>
      <s:c r="E422" s="6" t="n">
        <s:v>12176</s:v>
      </s:c>
      <s:c r="F422" s="6" t="n">
        <s:v>13249</s:v>
      </s:c>
      <s:c r="G422" s="6" t="n">
        <s:v>27092</s:v>
      </s:c>
      <s:c r="H422" s="6" t="n">
        <s:v>25223</s:v>
      </s:c>
      <s:c r="I422" s="6" t="n">
        <s:v>4986</s:v>
      </s:c>
      <s:c r="J422" s="6" t="n">
        <s:f>IF(COUNT(C422:I422)=7,SUM(C422:I422),"")</s:f>
        <s:v>124052</s:v>
      </s:c>
    </s:row>
    <s:row r="423">
      <s:c r="A423" s="5" t="n">
        <s:v>46283</s:v>
      </s:c>
      <s:c r="B423" s="2" t="n">
        <s:v>10</s:v>
      </s:c>
      <s:c r="C423" s="6" t="n">
        <s:v>11137</s:v>
      </s:c>
      <s:c r="D423" s="6" t="n">
        <s:v>30575</s:v>
      </s:c>
      <s:c r="E423" s="6" t="n">
        <s:v>12347</s:v>
      </s:c>
      <s:c r="F423" s="6" t="n">
        <s:v>13085</s:v>
      </s:c>
      <s:c r="G423" s="6" t="n">
        <s:v>26871</s:v>
      </s:c>
      <s:c r="H423" s="6" t="n">
        <s:v>24930</s:v>
      </s:c>
      <s:c r="I423" s="6" t="n">
        <s:v>5021</s:v>
      </s:c>
      <s:c r="J423" s="6" t="n">
        <s:f>IF(COUNT(C423:I423)=7,SUM(C423:I423),"")</s:f>
        <s:v>123966</s:v>
      </s:c>
    </s:row>
    <s:row r="424">
      <s:c r="A424" s="5" t="n">
        <s:v>46283</s:v>
      </s:c>
      <s:c r="B424" s="2" t="n">
        <s:v>11</s:v>
      </s:c>
      <s:c r="C424" s="6" t="n">
        <s:v>11050</s:v>
      </s:c>
      <s:c r="D424" s="6" t="n">
        <s:v>30099</s:v>
      </s:c>
      <s:c r="E424" s="6" t="n">
        <s:v>12299</s:v>
      </s:c>
      <s:c r="F424" s="6" t="n">
        <s:v>13087</s:v>
      </s:c>
      <s:c r="G424" s="6" t="n">
        <s:v>26880</s:v>
      </s:c>
      <s:c r="H424" s="6" t="n">
        <s:v>24374</s:v>
      </s:c>
      <s:c r="I424" s="6" t="n">
        <s:v>4923</s:v>
      </s:c>
      <s:c r="J424" s="6" t="n">
        <s:f>IF(COUNT(C424:I424)=7,SUM(C424:I424),"")</s:f>
        <s:v>122712</s:v>
      </s:c>
    </s:row>
    <s:row r="425">
      <s:c r="A425" s="5" t="n">
        <s:v>46283</s:v>
      </s:c>
      <s:c r="B425" s="2" t="n">
        <s:v>12</s:v>
      </s:c>
      <s:c r="C425" s="6" t="n">
        <s:v>10996</s:v>
      </s:c>
      <s:c r="D425" s="6" t="n">
        <s:v>30409</s:v>
      </s:c>
      <s:c r="E425" s="6" t="n">
        <s:v>12190</s:v>
      </s:c>
      <s:c r="F425" s="6" t="n">
        <s:v>13082</s:v>
      </s:c>
      <s:c r="G425" s="6" t="n">
        <s:v>26788</s:v>
      </s:c>
      <s:c r="H425" s="6" t="n">
        <s:v>24325</s:v>
      </s:c>
      <s:c r="I425" s="6" t="n">
        <s:v>5074</s:v>
      </s:c>
      <s:c r="J425" s="6" t="n">
        <s:f>IF(COUNT(C425:I425)=7,SUM(C425:I425),"")</s:f>
        <s:v>122864</s:v>
      </s:c>
    </s:row>
    <s:row r="426">
      <s:c r="A426" s="5" t="n">
        <s:v>46283</s:v>
      </s:c>
      <s:c r="B426" s="2" t="n">
        <s:v>13</s:v>
      </s:c>
      <s:c r="C426" s="6" t="n">
        <s:v>10980</s:v>
      </s:c>
      <s:c r="D426" s="6" t="n">
        <s:v>30295</s:v>
      </s:c>
      <s:c r="E426" s="6" t="n">
        <s:v>12276</s:v>
      </s:c>
      <s:c r="F426" s="6" t="n">
        <s:v>12860</s:v>
      </s:c>
      <s:c r="G426" s="6" t="n">
        <s:v>26657</s:v>
      </s:c>
      <s:c r="H426" s="6" t="n">
        <s:v>24755</s:v>
      </s:c>
      <s:c r="I426" s="6" t="n">
        <s:v>5082</s:v>
      </s:c>
      <s:c r="J426" s="6" t="n">
        <s:f>IF(COUNT(C426:I426)=7,SUM(C426:I426),"")</s:f>
        <s:v>122905</s:v>
      </s:c>
    </s:row>
    <s:row r="427">
      <s:c r="A427" s="5" t="n">
        <s:v>46283</s:v>
      </s:c>
      <s:c r="B427" s="2" t="n">
        <s:v>14</s:v>
      </s:c>
      <s:c r="C427" s="6" t="n">
        <s:v>10957</s:v>
      </s:c>
      <s:c r="D427" s="6" t="n">
        <s:v>30108</s:v>
      </s:c>
      <s:c r="E427" s="6" t="n">
        <s:v>12223</s:v>
      </s:c>
      <s:c r="F427" s="6" t="n">
        <s:v>12938</s:v>
      </s:c>
      <s:c r="G427" s="6" t="n">
        <s:v>26614</s:v>
      </s:c>
      <s:c r="H427" s="6" t="n">
        <s:v>24818</s:v>
      </s:c>
      <s:c r="I427" s="6" t="n">
        <s:v>5034</s:v>
      </s:c>
      <s:c r="J427" s="6" t="n">
        <s:f>IF(COUNT(C427:I427)=7,SUM(C427:I427),"")</s:f>
        <s:v>122692</s:v>
      </s:c>
    </s:row>
    <s:row r="428">
      <s:c r="A428" s="5" t="n">
        <s:v>46283</s:v>
      </s:c>
      <s:c r="B428" s="2" t="n">
        <s:v>15</s:v>
      </s:c>
      <s:c r="C428" s="6" t="n">
        <s:v>11042</s:v>
      </s:c>
      <s:c r="D428" s="6" t="n">
        <s:v>29970</s:v>
      </s:c>
      <s:c r="E428" s="6" t="n">
        <s:v>12318</s:v>
      </s:c>
      <s:c r="F428" s="6" t="n">
        <s:v>12741</s:v>
      </s:c>
      <s:c r="G428" s="6" t="n">
        <s:v>26604</s:v>
      </s:c>
      <s:c r="H428" s="6" t="n">
        <s:v>24957</s:v>
      </s:c>
      <s:c r="I428" s="6" t="n">
        <s:v>4799</s:v>
      </s:c>
      <s:c r="J428" s="6" t="n">
        <s:f>IF(COUNT(C428:I428)=7,SUM(C428:I428),"")</s:f>
        <s:v>122431</s:v>
      </s:c>
    </s:row>
    <s:row r="429">
      <s:c r="A429" s="5" t="n">
        <s:v>46283</s:v>
      </s:c>
      <s:c r="B429" s="2" t="n">
        <s:v>16</s:v>
      </s:c>
      <s:c r="C429" s="6" t="n">
        <s:v>10893</s:v>
      </s:c>
      <s:c r="D429" s="6" t="n">
        <s:v>29755</s:v>
      </s:c>
      <s:c r="E429" s="6" t="n">
        <s:v>12185</s:v>
      </s:c>
      <s:c r="F429" s="6" t="n">
        <s:v>12624</s:v>
      </s:c>
      <s:c r="G429" s="6" t="n">
        <s:v>26631</s:v>
      </s:c>
      <s:c r="H429" s="6" t="n">
        <s:v>24725</s:v>
      </s:c>
      <s:c r="I429" s="6" t="n">
        <s:v>4647</s:v>
      </s:c>
      <s:c r="J429" s="6" t="n">
        <s:f>IF(COUNT(C429:I429)=7,SUM(C429:I429),"")</s:f>
        <s:v>121460</s:v>
      </s:c>
    </s:row>
    <s:row r="430">
      <s:c r="A430" s="5" t="n">
        <s:v>46283</s:v>
      </s:c>
      <s:c r="B430" s="2" t="n">
        <s:v>17</s:v>
      </s:c>
      <s:c r="C430" s="6" t="n">
        <s:v>10901</s:v>
      </s:c>
      <s:c r="D430" s="6" t="n">
        <s:v>29616</s:v>
      </s:c>
      <s:c r="E430" s="6" t="n">
        <s:v>12163</s:v>
      </s:c>
      <s:c r="F430" s="6" t="n">
        <s:v>12591</s:v>
      </s:c>
      <s:c r="G430" s="6" t="n">
        <s:v>27317</s:v>
      </s:c>
      <s:c r="H430" s="6" t="n">
        <s:v>24765</s:v>
      </s:c>
      <s:c r="I430" s="6" t="n">
        <s:v>4390</s:v>
      </s:c>
      <s:c r="J430" s="6" t="n">
        <s:f>IF(COUNT(C430:I430)=7,SUM(C430:I430),"")</s:f>
        <s:v>121743</s:v>
      </s:c>
    </s:row>
    <s:row r="431">
      <s:c r="A431" s="5" t="n">
        <s:v>46283</s:v>
      </s:c>
      <s:c r="B431" s="2" t="n">
        <s:v>18</s:v>
      </s:c>
      <s:c r="C431" s="6" t="n">
        <s:v>11046</s:v>
      </s:c>
      <s:c r="D431" s="6" t="n">
        <s:v>30519</s:v>
      </s:c>
      <s:c r="E431" s="6" t="n">
        <s:v>12645</s:v>
      </s:c>
      <s:c r="F431" s="6" t="n">
        <s:v>12903</s:v>
      </s:c>
      <s:c r="G431" s="6" t="n">
        <s:v>27390</s:v>
      </s:c>
      <s:c r="H431" s="6" t="n">
        <s:v>23929</s:v>
      </s:c>
      <s:c r="I431" s="6" t="n">
        <s:v>4288</s:v>
      </s:c>
      <s:c r="J431" s="6" t="n">
        <s:f>IF(COUNT(C431:I431)=7,SUM(C431:I431),"")</s:f>
        <s:v>122720</s:v>
      </s:c>
    </s:row>
    <s:row r="432">
      <s:c r="A432" s="5" t="n">
        <s:v>46283</s:v>
      </s:c>
      <s:c r="B432" s="2" t="n">
        <s:v>19</s:v>
      </s:c>
      <s:c r="C432" s="6" t="n">
        <s:v>11169</s:v>
      </s:c>
      <s:c r="D432" s="6" t="n">
        <s:v>30666</s:v>
      </s:c>
      <s:c r="E432" s="6" t="n">
        <s:v>12503</s:v>
      </s:c>
      <s:c r="F432" s="6" t="n">
        <s:v>12752</s:v>
      </s:c>
      <s:c r="G432" s="6" t="n">
        <s:v>26804</s:v>
      </s:c>
      <s:c r="H432" s="6" t="n">
        <s:v>23113</s:v>
      </s:c>
      <s:c r="I432" s="6" t="n">
        <s:v>4318</s:v>
      </s:c>
      <s:c r="J432" s="6" t="n">
        <s:f>IF(COUNT(C432:I432)=7,SUM(C432:I432),"")</s:f>
        <s:v>121325</s:v>
      </s:c>
    </s:row>
    <s:row r="433">
      <s:c r="A433" s="5" t="n">
        <s:v>46283</s:v>
      </s:c>
      <s:c r="B433" s="2" t="n">
        <s:v>20</s:v>
      </s:c>
      <s:c r="C433" s="6" t="n">
        <s:v>11123</s:v>
      </s:c>
      <s:c r="D433" s="6" t="n">
        <s:v>29948</s:v>
      </s:c>
      <s:c r="E433" s="6" t="n">
        <s:v>12054</s:v>
      </s:c>
      <s:c r="F433" s="6" t="n">
        <s:v>12504</s:v>
      </s:c>
      <s:c r="G433" s="6" t="n">
        <s:v>26172</s:v>
      </s:c>
      <s:c r="H433" s="6" t="n">
        <s:v>22682</s:v>
      </s:c>
      <s:c r="I433" s="6" t="n">
        <s:v>4289</s:v>
      </s:c>
      <s:c r="J433" s="6" t="n">
        <s:f>IF(COUNT(C433:I433)=7,SUM(C433:I433),"")</s:f>
        <s:v>118772</s:v>
      </s:c>
    </s:row>
    <s:row r="434">
      <s:c r="A434" s="5" t="n">
        <s:v>46283</s:v>
      </s:c>
      <s:c r="B434" s="2" t="n">
        <s:v>21</s:v>
      </s:c>
      <s:c r="C434" s="6" t="n">
        <s:v>10894</s:v>
      </s:c>
      <s:c r="D434" s="6" t="n">
        <s:v>29058</s:v>
      </s:c>
      <s:c r="E434" s="6" t="n">
        <s:v>11600</s:v>
      </s:c>
      <s:c r="F434" s="6" t="n">
        <s:v>12103</s:v>
      </s:c>
      <s:c r="G434" s="6" t="n">
        <s:v>25396</s:v>
      </s:c>
      <s:c r="H434" s="6" t="n">
        <s:v>22683</s:v>
      </s:c>
      <s:c r="I434" s="6" t="n">
        <s:v>4343</s:v>
      </s:c>
      <s:c r="J434" s="6" t="n">
        <s:f>IF(COUNT(C434:I434)=7,SUM(C434:I434),"")</s:f>
        <s:v>116077</s:v>
      </s:c>
    </s:row>
    <s:row r="435">
      <s:c r="A435" s="5" t="n">
        <s:v>46283</s:v>
      </s:c>
      <s:c r="B435" s="2" t="n">
        <s:v>22</s:v>
      </s:c>
      <s:c r="C435" s="6" t="n">
        <s:v>10424</s:v>
      </s:c>
      <s:c r="D435" s="6" t="n">
        <s:v>27464</s:v>
      </s:c>
      <s:c r="E435" s="6" t="n">
        <s:v>10918</s:v>
      </s:c>
      <s:c r="F435" s="6" t="n">
        <s:v>11271</s:v>
      </s:c>
      <s:c r="G435" s="6" t="n">
        <s:v>24601</s:v>
      </s:c>
      <s:c r="H435" s="6" t="n">
        <s:v>22462</s:v>
      </s:c>
      <s:c r="I435" s="6" t="n">
        <s:v>4319</s:v>
      </s:c>
      <s:c r="J435" s="6" t="n">
        <s:f>IF(COUNT(C435:I435)=7,SUM(C435:I435),"")</s:f>
        <s:v>111459</s:v>
      </s:c>
    </s:row>
    <s:row r="436">
      <s:c r="A436" s="5" t="n">
        <s:v>46283</s:v>
      </s:c>
      <s:c r="B436" s="2" t="n">
        <s:v>23</s:v>
      </s:c>
      <s:c r="C436" s="6" t="n">
        <s:v>10028</s:v>
      </s:c>
      <s:c r="D436" s="6" t="n">
        <s:v>26287</s:v>
      </s:c>
      <s:c r="E436" s="6" t="n">
        <s:v>10203</s:v>
      </s:c>
      <s:c r="F436" s="6" t="n">
        <s:v>11070</s:v>
      </s:c>
      <s:c r="G436" s="6" t="n">
        <s:v>24425</s:v>
      </s:c>
      <s:c r="H436" s="6" t="n">
        <s:v>22401</s:v>
      </s:c>
      <s:c r="I436" s="6" t="n">
        <s:v>4514</s:v>
      </s:c>
      <s:c r="J436" s="6" t="n">
        <s:f>IF(COUNT(C436:I436)=7,SUM(C436:I436),"")</s:f>
        <s:v>108928</s:v>
      </s:c>
    </s:row>
    <s:row r="437">
      <s:c r="A437" s="5" t="n">
        <s:v>46284</s:v>
      </s:c>
      <s:c r="B437" s="2" t="n">
        <s:v>0</s:v>
      </s:c>
      <s:c r="C437" s="6" t="n">
        <s:v>9563</s:v>
      </s:c>
      <s:c r="D437" s="6" t="n">
        <s:v>25121</s:v>
      </s:c>
      <s:c r="E437" s="6" t="n">
        <s:v>9668</s:v>
      </s:c>
      <s:c r="F437" s="6" t="n">
        <s:v>10633</s:v>
      </s:c>
      <s:c r="G437" s="6" t="n">
        <s:v>24151</s:v>
      </s:c>
      <s:c r="H437" s="6" t="n">
        <s:v>22584</s:v>
      </s:c>
      <s:c r="I437" s="6" t="n">
        <s:v>4723</s:v>
      </s:c>
      <s:c r="J437" s="6" t="n">
        <s:f>IF(COUNT(C437:I437)=7,SUM(C437:I437),"")</s:f>
        <s:v>106443</s:v>
      </s:c>
    </s:row>
    <s:row r="438">
      <s:c r="A438" s="5" t="n">
        <s:v>46284</s:v>
      </s:c>
      <s:c r="B438" s="2" t="n">
        <s:v>1</s:v>
      </s:c>
      <s:c r="C438" s="6" t="n">
        <s:v>9291</s:v>
      </s:c>
      <s:c r="D438" s="6" t="n">
        <s:v>24311</s:v>
      </s:c>
      <s:c r="E438" s="6" t="n">
        <s:v>9361</s:v>
      </s:c>
      <s:c r="F438" s="6" t="n">
        <s:v>10523</s:v>
      </s:c>
      <s:c r="G438" s="6" t="n">
        <s:v>24163</s:v>
      </s:c>
      <s:c r="H438" s="6" t="n">
        <s:v>22778</s:v>
      </s:c>
      <s:c r="I438" s="6" t="n">
        <s:v>5050</s:v>
      </s:c>
      <s:c r="J438" s="6" t="n">
        <s:f>IF(COUNT(C438:I438)=7,SUM(C438:I438),"")</s:f>
        <s:v>105477</s:v>
      </s:c>
    </s:row>
    <s:row r="439">
      <s:c r="A439" s="5" t="n">
        <s:v>46284</s:v>
      </s:c>
      <s:c r="B439" s="2" t="n">
        <s:v>2</s:v>
      </s:c>
      <s:c r="C439" s="6" t="n">
        <s:v>9193</s:v>
      </s:c>
      <s:c r="D439" s="6" t="n">
        <s:v>24021</s:v>
      </s:c>
      <s:c r="E439" s="6" t="n">
        <s:v>9273</s:v>
      </s:c>
      <s:c r="F439" s="6" t="n">
        <s:v>10514</s:v>
      </s:c>
      <s:c r="G439" s="6" t="n">
        <s:v>24228</s:v>
      </s:c>
      <s:c r="H439" s="6" t="n">
        <s:v>23207</s:v>
      </s:c>
      <s:c r="I439" s="6" t="n">
        <s:v>5200</s:v>
      </s:c>
      <s:c r="J439" s="6" t="n">
        <s:f>IF(COUNT(C439:I439)=7,SUM(C439:I439),"")</s:f>
        <s:v>105636</s:v>
      </s:c>
    </s:row>
    <s:row r="440">
      <s:c r="A440" s="5" t="n">
        <s:v>46284</s:v>
      </s:c>
      <s:c r="B440" s="2" t="n">
        <s:v>3</s:v>
      </s:c>
      <s:c r="C440" s="6" t="n">
        <s:v>9078</s:v>
      </s:c>
      <s:c r="D440" s="6" t="n">
        <s:v>23624</s:v>
      </s:c>
      <s:c r="E440" s="6" t="n">
        <s:v>9247</s:v>
      </s:c>
      <s:c r="F440" s="6" t="n">
        <s:v>10499</s:v>
      </s:c>
      <s:c r="G440" s="6" t="n">
        <s:v>24104</s:v>
      </s:c>
      <s:c r="H440" s="6" t="n">
        <s:v>23453</s:v>
      </s:c>
      <s:c r="I440" s="6" t="n">
        <s:v>5227</s:v>
      </s:c>
      <s:c r="J440" s="6" t="n">
        <s:f>IF(COUNT(C440:I440)=7,SUM(C440:I440),"")</s:f>
        <s:v>105232</s:v>
      </s:c>
    </s:row>
    <s:row r="441">
      <s:c r="A441" s="5" t="n">
        <s:v>46284</s:v>
      </s:c>
      <s:c r="B441" s="2" t="n">
        <s:v>4</s:v>
      </s:c>
      <s:c r="C441" s="6" t="n">
        <s:v>9118</s:v>
      </s:c>
      <s:c r="D441" s="6" t="n">
        <s:v>24095</s:v>
      </s:c>
      <s:c r="E441" s="6" t="n">
        <s:v>9306</s:v>
      </s:c>
      <s:c r="F441" s="6" t="n">
        <s:v>10594</s:v>
      </s:c>
      <s:c r="G441" s="6" t="n">
        <s:v>24480</s:v>
      </s:c>
      <s:c r="H441" s="6" t="n">
        <s:v>24445</s:v>
      </s:c>
      <s:c r="I441" s="6" t="n">
        <s:v>5110</s:v>
      </s:c>
      <s:c r="J441" s="6" t="n">
        <s:f>IF(COUNT(C441:I441)=7,SUM(C441:I441),"")</s:f>
        <s:v>107148</s:v>
      </s:c>
    </s:row>
    <s:row r="442">
      <s:c r="A442" s="5" t="n">
        <s:v>46284</s:v>
      </s:c>
      <s:c r="B442" s="2" t="n">
        <s:v>5</s:v>
      </s:c>
      <s:c r="C442" s="6" t="n">
        <s:v>9243</s:v>
      </s:c>
      <s:c r="D442" s="6" t="n">
        <s:v>24535</s:v>
      </s:c>
      <s:c r="E442" s="6" t="n">
        <s:v>9311</s:v>
      </s:c>
      <s:c r="F442" s="6" t="n">
        <s:v>10657</s:v>
      </s:c>
      <s:c r="G442" s="6" t="n">
        <s:v>24970</s:v>
      </s:c>
      <s:c r="H442" s="6" t="n">
        <s:v>24802</s:v>
      </s:c>
      <s:c r="I442" s="6" t="n">
        <s:v>5121</s:v>
      </s:c>
      <s:c r="J442" s="6" t="n">
        <s:f>IF(COUNT(C442:I442)=7,SUM(C442:I442),"")</s:f>
        <s:v>108639</s:v>
      </s:c>
    </s:row>
    <s:row r="443">
      <s:c r="A443" s="5" t="n">
        <s:v>46284</s:v>
      </s:c>
      <s:c r="B443" s="2" t="n">
        <s:v>6</s:v>
      </s:c>
      <s:c r="C443" s="6" t="n">
        <s:v>9333</s:v>
      </s:c>
      <s:c r="D443" s="6" t="n">
        <s:v>24987</s:v>
      </s:c>
      <s:c r="E443" s="6" t="n">
        <s:v>9800</s:v>
      </s:c>
      <s:c r="F443" s="6" t="n">
        <s:v>11265</s:v>
      </s:c>
      <s:c r="G443" s="6" t="n">
        <s:v>26123</s:v>
      </s:c>
      <s:c r="H443" s="6" t="n">
        <s:v>25032</s:v>
      </s:c>
      <s:c r="I443" s="6" t="n">
        <s:v>5118</s:v>
      </s:c>
      <s:c r="J443" s="6" t="n">
        <s:f>IF(COUNT(C443:I443)=7,SUM(C443:I443),"")</s:f>
        <s:v>111658</s:v>
      </s:c>
    </s:row>
    <s:row r="444">
      <s:c r="A444" s="5" t="n">
        <s:v>46284</s:v>
      </s:c>
      <s:c r="B444" s="2" t="n">
        <s:v>7</s:v>
      </s:c>
      <s:c r="C444" s="6" t="n">
        <s:v>9664</s:v>
      </s:c>
      <s:c r="D444" s="6" t="n">
        <s:v>26237</s:v>
      </s:c>
      <s:c r="E444" s="6" t="n">
        <s:v>10480</s:v>
      </s:c>
      <s:c r="F444" s="6" t="n">
        <s:v>11769</s:v>
      </s:c>
      <s:c r="G444" s="6" t="n">
        <s:v>26801</s:v>
      </s:c>
      <s:c r="H444" s="6" t="n">
        <s:v>25107</s:v>
      </s:c>
      <s:c r="I444" s="6" t="n">
        <s:v>5166</s:v>
      </s:c>
      <s:c r="J444" s="6" t="n">
        <s:f>IF(COUNT(C444:I444)=7,SUM(C444:I444),"")</s:f>
        <s:v>115224</s:v>
      </s:c>
    </s:row>
    <s:row r="445">
      <s:c r="A445" s="5" t="n">
        <s:v>46284</s:v>
      </s:c>
      <s:c r="B445" s="2" t="n">
        <s:v>8</s:v>
      </s:c>
      <s:c r="C445" s="6" t="n">
        <s:v>10343</s:v>
      </s:c>
      <s:c r="D445" s="6" t="n">
        <s:v>28243</s:v>
      </s:c>
      <s:c r="E445" s="6" t="n">
        <s:v>11304</s:v>
      </s:c>
      <s:c r="F445" s="6" t="n">
        <s:v>12383</s:v>
      </s:c>
      <s:c r="G445" s="6" t="n">
        <s:v>26951</s:v>
      </s:c>
      <s:c r="H445" s="6" t="n">
        <s:v>24977</s:v>
      </s:c>
      <s:c r="I445" s="6" t="n">
        <s:v>5129</s:v>
      </s:c>
      <s:c r="J445" s="6" t="n">
        <s:f>IF(COUNT(C445:I445)=7,SUM(C445:I445),"")</s:f>
        <s:v>119330</s:v>
      </s:c>
    </s:row>
    <s:row r="446">
      <s:c r="A446" s="5" t="n">
        <s:v>46284</s:v>
      </s:c>
      <s:c r="B446" s="2" t="n">
        <s:v>9</s:v>
      </s:c>
      <s:c r="C446" s="6" t="n">
        <s:v>10809</s:v>
      </s:c>
      <s:c r="D446" s="6" t="n">
        <s:v>28852</s:v>
      </s:c>
      <s:c r="E446" s="6" t="n">
        <s:v>12041</s:v>
      </s:c>
      <s:c r="F446" s="6" t="n">
        <s:v>12417</s:v>
      </s:c>
      <s:c r="G446" s="6" t="n">
        <s:v>26831</s:v>
      </s:c>
      <s:c r="H446" s="6" t="n">
        <s:v>24839</s:v>
      </s:c>
      <s:c r="I446" s="6" t="n">
        <s:v>5119</s:v>
      </s:c>
      <s:c r="J446" s="6" t="n">
        <s:f>IF(COUNT(C446:I446)=7,SUM(C446:I446),"")</s:f>
        <s:v>120908</s:v>
      </s:c>
    </s:row>
    <s:row r="447">
      <s:c r="A447" s="5" t="n">
        <s:v>46284</s:v>
      </s:c>
      <s:c r="B447" s="2" t="n">
        <s:v>10</s:v>
      </s:c>
      <s:c r="C447" s="6" t="n">
        <s:v>10989</s:v>
      </s:c>
      <s:c r="D447" s="6" t="n">
        <s:v>28978</s:v>
      </s:c>
      <s:c r="E447" s="6" t="n">
        <s:v>12251</s:v>
      </s:c>
      <s:c r="F447" s="6" t="n">
        <s:v>12371</s:v>
      </s:c>
      <s:c r="G447" s="6" t="n">
        <s:v>26773</s:v>
      </s:c>
      <s:c r="H447" s="6" t="n">
        <s:v>24910</s:v>
      </s:c>
      <s:c r="I447" s="6" t="n">
        <s:v>5271</s:v>
      </s:c>
      <s:c r="J447" s="6" t="n">
        <s:f>IF(COUNT(C447:I447)=7,SUM(C447:I447),"")</s:f>
        <s:v>121543</s:v>
      </s:c>
    </s:row>
    <s:row r="448">
      <s:c r="A448" s="5" t="n">
        <s:v>46284</s:v>
      </s:c>
      <s:c r="B448" s="2" t="n">
        <s:v>11</s:v>
      </s:c>
      <s:c r="C448" s="6" t="n">
        <s:v>11013</s:v>
      </s:c>
      <s:c r="D448" s="6" t="n">
        <s:v>29367</s:v>
      </s:c>
      <s:c r="E448" s="6" t="n">
        <s:v>12357</s:v>
      </s:c>
      <s:c r="F448" s="6" t="n">
        <s:v>12483</s:v>
      </s:c>
      <s:c r="G448" s="6" t="n">
        <s:v>26738</s:v>
      </s:c>
      <s:c r="H448" s="6" t="n">
        <s:v>24829</s:v>
      </s:c>
      <s:c r="I448" s="6" t="n">
        <s:v>5368</s:v>
      </s:c>
      <s:c r="J448" s="6" t="n">
        <s:f>IF(COUNT(C448:I448)=7,SUM(C448:I448),"")</s:f>
        <s:v>122155</s:v>
      </s:c>
    </s:row>
    <s:row r="449">
      <s:c r="A449" s="5" t="n">
        <s:v>46284</s:v>
      </s:c>
      <s:c r="B449" s="2" t="n">
        <s:v>12</s:v>
      </s:c>
      <s:c r="C449" s="6" t="n">
        <s:v>10927</s:v>
      </s:c>
      <s:c r="D449" s="6" t="n">
        <s:v>29286</s:v>
      </s:c>
      <s:c r="E449" s="6" t="n">
        <s:v>12361</s:v>
      </s:c>
      <s:c r="F449" s="6" t="n">
        <s:v>12255</s:v>
      </s:c>
      <s:c r="G449" s="6" t="n">
        <s:v>26485</s:v>
      </s:c>
      <s:c r="H449" s="6" t="n">
        <s:v>24967</s:v>
      </s:c>
      <s:c r="I449" s="6" t="n">
        <s:v>5503</s:v>
      </s:c>
      <s:c r="J449" s="6" t="n">
        <s:f>IF(COUNT(C449:I449)=7,SUM(C449:I449),"")</s:f>
        <s:v>121784</s:v>
      </s:c>
    </s:row>
    <s:row r="450">
      <s:c r="A450" s="5" t="n">
        <s:v>46284</s:v>
      </s:c>
      <s:c r="B450" s="2" t="n">
        <s:v>13</s:v>
      </s:c>
      <s:c r="C450" s="6" t="n">
        <s:v>10922</s:v>
      </s:c>
      <s:c r="D450" s="6" t="n">
        <s:v>28914</s:v>
      </s:c>
      <s:c r="E450" s="6" t="n">
        <s:v>12354</s:v>
      </s:c>
      <s:c r="F450" s="6" t="n">
        <s:v>12254</s:v>
      </s:c>
      <s:c r="G450" s="6" t="n">
        <s:v>26524</s:v>
      </s:c>
      <s:c r="H450" s="6" t="n">
        <s:v>25057</s:v>
      </s:c>
      <s:c r="I450" s="6" t="n">
        <s:v>5379</s:v>
      </s:c>
      <s:c r="J450" s="6" t="n">
        <s:f>IF(COUNT(C450:I450)=7,SUM(C450:I450),"")</s:f>
        <s:v>121404</s:v>
      </s:c>
    </s:row>
    <s:row r="451">
      <s:c r="A451" s="5" t="n">
        <s:v>46284</s:v>
      </s:c>
      <s:c r="B451" s="2" t="n">
        <s:v>14</s:v>
      </s:c>
      <s:c r="C451" s="6" t="n">
        <s:v>10914</s:v>
      </s:c>
      <s:c r="D451" s="6" t="n">
        <s:v>29096</s:v>
      </s:c>
      <s:c r="E451" s="6" t="n">
        <s:v>12433</s:v>
      </s:c>
      <s:c r="F451" s="6" t="n">
        <s:v>12200</s:v>
      </s:c>
      <s:c r="G451" s="6" t="n">
        <s:v>26426</s:v>
      </s:c>
      <s:c r="H451" s="6" t="n">
        <s:v>25211</s:v>
      </s:c>
      <s:c r="I451" s="6" t="n">
        <s:v>5285</s:v>
      </s:c>
      <s:c r="J451" s="6" t="n">
        <s:f>IF(COUNT(C451:I451)=7,SUM(C451:I451),"")</s:f>
        <s:v>121565</s:v>
      </s:c>
    </s:row>
    <s:row r="452">
      <s:c r="A452" s="5" t="n">
        <s:v>46284</s:v>
      </s:c>
      <s:c r="B452" s="2" t="n">
        <s:v>15</s:v>
      </s:c>
      <s:c r="C452" s="6" t="n">
        <s:v>10850</s:v>
      </s:c>
      <s:c r="D452" s="6" t="n">
        <s:v>28933</s:v>
      </s:c>
      <s:c r="E452" s="6" t="n">
        <s:v>12208</s:v>
      </s:c>
      <s:c r="F452" s="6" t="n">
        <s:v>12242</s:v>
      </s:c>
      <s:c r="G452" s="6" t="n">
        <s:v>26444</s:v>
      </s:c>
      <s:c r="H452" s="6" t="n">
        <s:v>25281</s:v>
      </s:c>
      <s:c r="I452" s="6" t="n">
        <s:v>5168</s:v>
      </s:c>
      <s:c r="J452" s="6" t="n">
        <s:f>IF(COUNT(C452:I452)=7,SUM(C452:I452),"")</s:f>
        <s:v>121126</s:v>
      </s:c>
    </s:row>
    <s:row r="453">
      <s:c r="A453" s="5" t="n">
        <s:v>46284</s:v>
      </s:c>
      <s:c r="B453" s="2" t="n">
        <s:v>16</s:v>
      </s:c>
      <s:c r="C453" s="6" t="n">
        <s:v>10817</s:v>
      </s:c>
      <s:c r="D453" s="6" t="n">
        <s:v>28637</s:v>
      </s:c>
      <s:c r="E453" s="6" t="n">
        <s:v>12335</s:v>
      </s:c>
      <s:c r="F453" s="6" t="n">
        <s:v>12197</s:v>
      </s:c>
      <s:c r="G453" s="6" t="n">
        <s:v>26532</s:v>
      </s:c>
      <s:c r="H453" s="6" t="n">
        <s:v>24967</s:v>
      </s:c>
      <s:c r="I453" s="6" t="n">
        <s:v>4832</s:v>
      </s:c>
      <s:c r="J453" s="6" t="n">
        <s:f>IF(COUNT(C453:I453)=7,SUM(C453:I453),"")</s:f>
        <s:v>120317</s:v>
      </s:c>
    </s:row>
    <s:row r="454">
      <s:c r="A454" s="5" t="n">
        <s:v>46284</s:v>
      </s:c>
      <s:c r="B454" s="2" t="n">
        <s:v>17</s:v>
      </s:c>
      <s:c r="C454" s="6" t="n">
        <s:v>10941</s:v>
      </s:c>
      <s:c r="D454" s="6" t="n">
        <s:v>28864</s:v>
      </s:c>
      <s:c r="E454" s="6" t="n">
        <s:v>12375</s:v>
      </s:c>
      <s:c r="F454" s="6" t="n">
        <s:v>12297</s:v>
      </s:c>
      <s:c r="G454" s="6" t="n">
        <s:v>27043</s:v>
      </s:c>
      <s:c r="H454" s="6" t="n">
        <s:v>24796</s:v>
      </s:c>
      <s:c r="I454" s="6" t="n">
        <s:v>4718</s:v>
      </s:c>
      <s:c r="J454" s="6" t="n">
        <s:f>IF(COUNT(C454:I454)=7,SUM(C454:I454),"")</s:f>
        <s:v>121034</s:v>
      </s:c>
    </s:row>
    <s:row r="455">
      <s:c r="A455" s="5" t="n">
        <s:v>46284</s:v>
      </s:c>
      <s:c r="B455" s="2" t="n">
        <s:v>18</s:v>
      </s:c>
      <s:c r="C455" s="6" t="n">
        <s:v>11005</s:v>
      </s:c>
      <s:c r="D455" s="6" t="n">
        <s:v>29998</s:v>
      </s:c>
      <s:c r="E455" s="6" t="n">
        <s:v>12854</s:v>
      </s:c>
      <s:c r="F455" s="6" t="n">
        <s:v>12642</s:v>
      </s:c>
      <s:c r="G455" s="6" t="n">
        <s:v>27046</s:v>
      </s:c>
      <s:c r="H455" s="6" t="n">
        <s:v>23805</s:v>
      </s:c>
      <s:c r="I455" s="6" t="n">
        <s:v>4647</s:v>
      </s:c>
      <s:c r="J455" s="6" t="n">
        <s:f>IF(COUNT(C455:I455)=7,SUM(C455:I455),"")</s:f>
        <s:v>121997</s:v>
      </s:c>
    </s:row>
    <s:row r="456">
      <s:c r="A456" s="5" t="n">
        <s:v>46284</s:v>
      </s:c>
      <s:c r="B456" s="2" t="n">
        <s:v>19</s:v>
      </s:c>
      <s:c r="C456" s="6" t="n">
        <s:v>11211</s:v>
      </s:c>
      <s:c r="D456" s="6" t="n">
        <s:v>29933</s:v>
      </s:c>
      <s:c r="E456" s="6" t="n">
        <s:v>12605</s:v>
      </s:c>
      <s:c r="F456" s="6" t="n">
        <s:v>12586</s:v>
      </s:c>
      <s:c r="G456" s="6" t="n">
        <s:v>26530</s:v>
      </s:c>
      <s:c r="H456" s="6" t="n">
        <s:v>23200</s:v>
      </s:c>
      <s:c r="I456" s="6" t="n">
        <s:v>4575</s:v>
      </s:c>
      <s:c r="J456" s="6" t="n">
        <s:f>IF(COUNT(C456:I456)=7,SUM(C456:I456),"")</s:f>
        <s:v>120640</s:v>
      </s:c>
    </s:row>
    <s:row r="457">
      <s:c r="A457" s="5" t="n">
        <s:v>46284</s:v>
      </s:c>
      <s:c r="B457" s="2" t="n">
        <s:v>20</s:v>
      </s:c>
      <s:c r="C457" s="6" t="n">
        <s:v>11217</s:v>
      </s:c>
      <s:c r="D457" s="6" t="n">
        <s:v>29602</s:v>
      </s:c>
      <s:c r="E457" s="6" t="n">
        <s:v>12196</s:v>
      </s:c>
      <s:c r="F457" s="6" t="n">
        <s:v>12244</s:v>
      </s:c>
      <s:c r="G457" s="6" t="n">
        <s:v>25938</s:v>
      </s:c>
      <s:c r="H457" s="6" t="n">
        <s:v>22904</s:v>
      </s:c>
      <s:c r="I457" s="6" t="n">
        <s:v>4468</s:v>
      </s:c>
      <s:c r="J457" s="6" t="n">
        <s:f>IF(COUNT(C457:I457)=7,SUM(C457:I457),"")</s:f>
        <s:v>118569</s:v>
      </s:c>
    </s:row>
    <s:row r="458">
      <s:c r="A458" s="5" t="n">
        <s:v>46284</s:v>
      </s:c>
      <s:c r="B458" s="2" t="n">
        <s:v>21</s:v>
      </s:c>
      <s:c r="C458" s="6" t="n">
        <s:v>10860</s:v>
      </s:c>
      <s:c r="D458" s="6" t="n">
        <s:v>28571</s:v>
      </s:c>
      <s:c r="E458" s="6" t="n">
        <s:v>11732</s:v>
      </s:c>
      <s:c r="F458" s="6" t="n">
        <s:v>11776</s:v>
      </s:c>
      <s:c r="G458" s="6" t="n">
        <s:v>25161</s:v>
      </s:c>
      <s:c r="H458" s="6" t="n">
        <s:v>22762</s:v>
      </s:c>
      <s:c r="I458" s="6" t="n">
        <s:v>4488</s:v>
      </s:c>
      <s:c r="J458" s="6" t="n">
        <s:f>IF(COUNT(C458:I458)=7,SUM(C458:I458),"")</s:f>
        <s:v>115350</s:v>
      </s:c>
    </s:row>
    <s:row r="459">
      <s:c r="A459" s="5" t="n">
        <s:v>46284</s:v>
      </s:c>
      <s:c r="B459" s="2" t="n">
        <s:v>22</s:v>
      </s:c>
      <s:c r="C459" s="6" t="n">
        <s:v>10437</s:v>
      </s:c>
      <s:c r="D459" s="6" t="n">
        <s:v>26884</s:v>
      </s:c>
      <s:c r="E459" s="6" t="n">
        <s:v>10962</s:v>
      </s:c>
      <s:c r="F459" s="6" t="n">
        <s:v>11045</s:v>
      </s:c>
      <s:c r="G459" s="6" t="n">
        <s:v>24522</s:v>
      </s:c>
      <s:c r="H459" s="6" t="n">
        <s:v>22739</s:v>
      </s:c>
      <s:c r="I459" s="6" t="n">
        <s:v>4622</s:v>
      </s:c>
      <s:c r="J459" s="6" t="n">
        <s:f>IF(COUNT(C459:I459)=7,SUM(C459:I459),"")</s:f>
        <s:v>111211</s:v>
      </s:c>
    </s:row>
    <s:row r="460">
      <s:c r="A460" s="5" t="n">
        <s:v>46284</s:v>
      </s:c>
      <s:c r="B460" s="2" t="n">
        <s:v>23</s:v>
      </s:c>
      <s:c r="C460" s="6" t="n">
        <s:v>9980</s:v>
      </s:c>
      <s:c r="D460" s="6" t="n">
        <s:v>25697</s:v>
      </s:c>
      <s:c r="E460" s="6" t="n">
        <s:v>10290</s:v>
      </s:c>
      <s:c r="F460" s="6" t="n">
        <s:v>10578</s:v>
      </s:c>
      <s:c r="G460" s="6" t="n">
        <s:v>23835</s:v>
      </s:c>
      <s:c r="H460" s="6" t="n">
        <s:v>22350</s:v>
      </s:c>
      <s:c r="I460" s="6" t="n">
        <s:v>4581</s:v>
      </s:c>
      <s:c r="J460" s="6" t="n">
        <s:f>IF(COUNT(C460:I460)=7,SUM(C460:I460),"")</s:f>
        <s:v>107311</s:v>
      </s:c>
    </s:row>
    <s:row r="461">
      <s:c r="A461" s="5" t="n">
        <s:v>46285</s:v>
      </s:c>
      <s:c r="B461" s="2" t="n">
        <s:v>0</s:v>
      </s:c>
      <s:c r="C461" s="6" t="n">
        <s:v>9557</s:v>
      </s:c>
      <s:c r="D461" s="6" t="n">
        <s:v>24674</s:v>
      </s:c>
      <s:c r="E461" s="6" t="n">
        <s:v>9826</s:v>
      </s:c>
      <s:c r="F461" s="6" t="n">
        <s:v>10240</s:v>
      </s:c>
      <s:c r="G461" s="6" t="n">
        <s:v>23929</s:v>
      </s:c>
      <s:c r="H461" s="6" t="n">
        <s:v>22393</s:v>
      </s:c>
      <s:c r="I461" s="6" t="n">
        <s:v>4586</s:v>
      </s:c>
      <s:c r="J461" s="6" t="n">
        <s:f>IF(COUNT(C461:I461)=7,SUM(C461:I461),"")</s:f>
        <s:v>105205</s:v>
      </s:c>
    </s:row>
    <s:row r="462">
      <s:c r="A462" s="5" t="n">
        <s:v>46285</s:v>
      </s:c>
      <s:c r="B462" s="2" t="n">
        <s:v>1</s:v>
      </s:c>
      <s:c r="C462" s="6" t="n">
        <s:v>9360</s:v>
      </s:c>
      <s:c r="D462" s="6" t="n">
        <s:v>23879</s:v>
      </s:c>
      <s:c r="E462" s="6" t="n">
        <s:v>9544</s:v>
      </s:c>
      <s:c r="F462" s="6" t="n">
        <s:v>10263</s:v>
      </s:c>
      <s:c r="G462" s="6" t="n">
        <s:v>23819</s:v>
      </s:c>
      <s:c r="H462" s="6" t="n">
        <s:v>22630</s:v>
      </s:c>
      <s:c r="I462" s="6" t="n">
        <s:v>5009</s:v>
      </s:c>
      <s:c r="J462" s="6" t="n">
        <s:f>IF(COUNT(C462:I462)=7,SUM(C462:I462),"")</s:f>
        <s:v>104504</s:v>
      </s:c>
    </s:row>
    <s:row r="463">
      <s:c r="A463" s="5" t="n">
        <s:v>46285</s:v>
      </s:c>
      <s:c r="B463" s="2" t="n">
        <s:v>2</s:v>
      </s:c>
      <s:c r="C463" s="6" t="n">
        <s:v>9126</s:v>
      </s:c>
      <s:c r="D463" s="6" t="n">
        <s:v>23580</s:v>
      </s:c>
      <s:c r="E463" s="6" t="n">
        <s:v>9289</s:v>
      </s:c>
      <s:c r="F463" s="6" t="n">
        <s:v>10136</s:v>
      </s:c>
      <s:c r="G463" s="6" t="n">
        <s:v>23857</s:v>
      </s:c>
      <s:c r="H463" s="6" t="n">
        <s:v>22821</s:v>
      </s:c>
      <s:c r="I463" s="6" t="n">
        <s:v>5193</s:v>
      </s:c>
      <s:c r="J463" s="6" t="n">
        <s:f>IF(COUNT(C463:I463)=7,SUM(C463:I463),"")</s:f>
        <s:v>104002</s:v>
      </s:c>
    </s:row>
    <s:row r="464">
      <s:c r="A464" s="5" t="n">
        <s:v>46285</s:v>
      </s:c>
      <s:c r="B464" s="2" t="n">
        <s:v>3</s:v>
      </s:c>
      <s:c r="C464" s="6" t="n">
        <s:v>9073</s:v>
      </s:c>
      <s:c r="D464" s="6" t="n">
        <s:v>23376</s:v>
      </s:c>
      <s:c r="E464" s="6" t="n">
        <s:v>9199</s:v>
      </s:c>
      <s:c r="F464" s="6" t="n">
        <s:v>10241</s:v>
      </s:c>
      <s:c r="G464" s="6" t="n">
        <s:v>24021</s:v>
      </s:c>
      <s:c r="H464" s="6" t="n">
        <s:v>23270</s:v>
      </s:c>
      <s:c r="I464" s="6" t="n">
        <s:v>5132</s:v>
      </s:c>
      <s:c r="J464" s="6" t="n">
        <s:f>IF(COUNT(C464:I464)=7,SUM(C464:I464),"")</s:f>
        <s:v>104312</s:v>
      </s:c>
    </s:row>
    <s:row r="465">
      <s:c r="A465" s="5" t="n">
        <s:v>46285</s:v>
      </s:c>
      <s:c r="B465" s="2" t="n">
        <s:v>4</s:v>
      </s:c>
      <s:c r="C465" s="6" t="n">
        <s:v>9053</s:v>
      </s:c>
      <s:c r="D465" s="6" t="n">
        <s:v>23459</s:v>
      </s:c>
      <s:c r="E465" s="6" t="n">
        <s:v>9175</s:v>
      </s:c>
      <s:c r="F465" s="6" t="n">
        <s:v>10339</s:v>
      </s:c>
      <s:c r="G465" s="6" t="n">
        <s:v>24001</s:v>
      </s:c>
      <s:c r="H465" s="6" t="n">
        <s:v>24198</s:v>
      </s:c>
      <s:c r="I465" s="6" t="n">
        <s:v>5180</s:v>
      </s:c>
      <s:c r="J465" s="6" t="n">
        <s:f>IF(COUNT(C465:I465)=7,SUM(C465:I465),"")</s:f>
        <s:v>105405</s:v>
      </s:c>
    </s:row>
    <s:row r="466">
      <s:c r="A466" s="5" t="n">
        <s:v>46285</s:v>
      </s:c>
      <s:c r="B466" s="2" t="n">
        <s:v>5</s:v>
      </s:c>
      <s:c r="C466" s="6" t="n">
        <s:v>9177</s:v>
      </s:c>
      <s:c r="D466" s="6" t="n">
        <s:v>23662</s:v>
      </s:c>
      <s:c r="E466" s="6" t="n">
        <s:v>9192</s:v>
      </s:c>
      <s:c r="F466" s="6" t="n">
        <s:v>10246</s:v>
      </s:c>
      <s:c r="G466" s="6" t="n">
        <s:v>24483</s:v>
      </s:c>
      <s:c r="H466" s="6" t="n">
        <s:v>24803</s:v>
      </s:c>
      <s:c r="I466" s="6" t="n">
        <s:v>5323</s:v>
      </s:c>
      <s:c r="J466" s="6" t="n">
        <s:f>IF(COUNT(C466:I466)=7,SUM(C466:I466),"")</s:f>
        <s:v>106886</s:v>
      </s:c>
    </s:row>
    <s:row r="467">
      <s:c r="A467" s="5" t="n">
        <s:v>46285</s:v>
      </s:c>
      <s:c r="B467" s="2" t="n">
        <s:v>6</s:v>
      </s:c>
      <s:c r="C467" s="6" t="n">
        <s:v>9269</s:v>
      </s:c>
      <s:c r="D467" s="6" t="n">
        <s:v>24216</s:v>
      </s:c>
      <s:c r="E467" s="6" t="n">
        <s:v>9537</s:v>
      </s:c>
      <s:c r="F467" s="6" t="n">
        <s:v>10757</s:v>
      </s:c>
      <s:c r="G467" s="6" t="n">
        <s:v>25721</s:v>
      </s:c>
      <s:c r="H467" s="6" t="n">
        <s:v>25046</s:v>
      </s:c>
      <s:c r="I467" s="6" t="n">
        <s:v>5131</s:v>
      </s:c>
      <s:c r="J467" s="6" t="n">
        <s:f>IF(COUNT(C467:I467)=7,SUM(C467:I467),"")</s:f>
        <s:v>109677</s:v>
      </s:c>
    </s:row>
    <s:row r="468">
      <s:c r="A468" s="5" t="n">
        <s:v>46285</s:v>
      </s:c>
      <s:c r="B468" s="2" t="n">
        <s:v>7</s:v>
      </s:c>
      <s:c r="C468" s="6" t="n">
        <s:v>9486</s:v>
      </s:c>
      <s:c r="D468" s="6" t="n">
        <s:v>25207</s:v>
      </s:c>
      <s:c r="E468" s="6" t="n">
        <s:v>10243</s:v>
      </s:c>
      <s:c r="F468" s="6" t="n">
        <s:v>11376</s:v>
      </s:c>
      <s:c r="G468" s="6" t="n">
        <s:v>26324</s:v>
      </s:c>
      <s:c r="H468" s="6" t="n">
        <s:v>24954</s:v>
      </s:c>
      <s:c r="I468" s="6" t="n">
        <s:v>5024</s:v>
      </s:c>
      <s:c r="J468" s="6" t="n">
        <s:f>IF(COUNT(C468:I468)=7,SUM(C468:I468),"")</s:f>
        <s:v>112614</s:v>
      </s:c>
    </s:row>
    <s:row r="469">
      <s:c r="A469" s="5" t="n">
        <s:v>46285</s:v>
      </s:c>
      <s:c r="B469" s="2" t="n">
        <s:v>8</s:v>
      </s:c>
      <s:c r="C469" s="6" t="n">
        <s:v>10139</s:v>
      </s:c>
      <s:c r="D469" s="6" t="n">
        <s:v>26997</s:v>
      </s:c>
      <s:c r="E469" s="6" t="n">
        <s:v>11021</s:v>
      </s:c>
      <s:c r="F469" s="6" t="n">
        <s:v>11835</s:v>
      </s:c>
      <s:c r="G469" s="6" t="n">
        <s:v>26719</s:v>
      </s:c>
      <s:c r="H469" s="6" t="n">
        <s:v>24864</s:v>
      </s:c>
      <s:c r="I469" s="6" t="n">
        <s:v>5118</s:v>
      </s:c>
      <s:c r="J469" s="6" t="n">
        <s:f>IF(COUNT(C469:I469)=7,SUM(C469:I469),"")</s:f>
        <s:v>116693</s:v>
      </s:c>
    </s:row>
    <s:row r="470">
      <s:c r="A470" s="5" t="n">
        <s:v>46285</s:v>
      </s:c>
      <s:c r="B470" s="2" t="n">
        <s:v>9</s:v>
      </s:c>
      <s:c r="C470" s="6" t="n">
        <s:v>10623</s:v>
      </s:c>
      <s:c r="D470" s="6" t="n">
        <s:v>27920</s:v>
      </s:c>
      <s:c r="E470" s="6" t="n">
        <s:v>11750</s:v>
      </s:c>
      <s:c r="F470" s="6" t="n">
        <s:v>12067</s:v>
      </s:c>
      <s:c r="G470" s="6" t="n">
        <s:v>26670</s:v>
      </s:c>
      <s:c r="H470" s="6" t="n">
        <s:v>24869</s:v>
      </s:c>
      <s:c r="I470" s="6" t="n">
        <s:v>5210</s:v>
      </s:c>
      <s:c r="J470" s="6" t="n">
        <s:f>IF(COUNT(C470:I470)=7,SUM(C470:I470),"")</s:f>
        <s:v>119109</s:v>
      </s:c>
    </s:row>
    <s:row r="471">
      <s:c r="A471" s="5" t="n">
        <s:v>46285</s:v>
      </s:c>
      <s:c r="B471" s="2" t="n">
        <s:v>10</s:v>
      </s:c>
      <s:c r="C471" s="6" t="n">
        <s:v>10810</s:v>
      </s:c>
      <s:c r="D471" s="6" t="n">
        <s:v>28276</s:v>
      </s:c>
      <s:c r="E471" s="6" t="n">
        <s:v>12031</s:v>
      </s:c>
      <s:c r="F471" s="6" t="n">
        <s:v>12057</s:v>
      </s:c>
      <s:c r="G471" s="6" t="n">
        <s:v>26707</s:v>
      </s:c>
      <s:c r="H471" s="6" t="n">
        <s:v>24913</s:v>
      </s:c>
      <s:c r="I471" s="6" t="n">
        <s:v>5161</s:v>
      </s:c>
      <s:c r="J471" s="6" t="n">
        <s:f>IF(COUNT(C471:I471)=7,SUM(C471:I471),"")</s:f>
        <s:v>119955</s:v>
      </s:c>
    </s:row>
    <s:row r="472">
      <s:c r="A472" s="5" t="n">
        <s:v>46285</s:v>
      </s:c>
      <s:c r="B472" s="2" t="n">
        <s:v>11</s:v>
      </s:c>
      <s:c r="C472" s="6" t="n">
        <s:v>10987</s:v>
      </s:c>
      <s:c r="D472" s="6" t="n">
        <s:v>28168</s:v>
      </s:c>
      <s:c r="E472" s="6" t="n">
        <s:v>12236</s:v>
      </s:c>
      <s:c r="F472" s="6" t="n">
        <s:v>12148</s:v>
      </s:c>
      <s:c r="G472" s="6" t="n">
        <s:v>26546</s:v>
      </s:c>
      <s:c r="H472" s="6" t="n">
        <s:v>25038</s:v>
      </s:c>
      <s:c r="I472" s="6" t="n">
        <s:v>5228</s:v>
      </s:c>
      <s:c r="J472" s="6" t="n">
        <s:f>IF(COUNT(C472:I472)=7,SUM(C472:I472),"")</s:f>
        <s:v>120351</s:v>
      </s:c>
    </s:row>
    <s:row r="473">
      <s:c r="A473" s="5" t="n">
        <s:v>46285</s:v>
      </s:c>
      <s:c r="B473" s="2" t="n">
        <s:v>12</s:v>
      </s:c>
      <s:c r="C473" s="6" t="n">
        <s:v>10901</s:v>
      </s:c>
      <s:c r="D473" s="6" t="n">
        <s:v>28033</s:v>
      </s:c>
      <s:c r="E473" s="6" t="n">
        <s:v>12291</s:v>
      </s:c>
      <s:c r="F473" s="6" t="n">
        <s:v>12172</s:v>
      </s:c>
      <s:c r="G473" s="6" t="n">
        <s:v>26488</s:v>
      </s:c>
      <s:c r="H473" s="6" t="n">
        <s:v>25179</s:v>
      </s:c>
      <s:c r="I473" s="6" t="n">
        <s:v>5365</s:v>
      </s:c>
      <s:c r="J473" s="6" t="n">
        <s:f>IF(COUNT(C473:I473)=7,SUM(C473:I473),"")</s:f>
        <s:v>120429</s:v>
      </s:c>
    </s:row>
    <s:row r="474">
      <s:c r="A474" s="5" t="n">
        <s:v>46285</s:v>
      </s:c>
      <s:c r="B474" s="2" t="n">
        <s:v>13</s:v>
      </s:c>
      <s:c r="C474" s="6" t="n">
        <s:v>10942</s:v>
      </s:c>
      <s:c r="D474" s="6" t="n">
        <s:v>28091</s:v>
      </s:c>
      <s:c r="E474" s="6" t="n">
        <s:v>12126</s:v>
      </s:c>
      <s:c r="F474" s="6" t="n">
        <s:v>12074</s:v>
      </s:c>
      <s:c r="G474" s="6" t="n">
        <s:v>26624</s:v>
      </s:c>
      <s:c r="H474" s="6" t="n">
        <s:v>25227</s:v>
      </s:c>
      <s:c r="I474" s="6" t="n">
        <s:v>5371</s:v>
      </s:c>
      <s:c r="J474" s="6" t="n">
        <s:f>IF(COUNT(C474:I474)=7,SUM(C474:I474),"")</s:f>
        <s:v>120455</s:v>
      </s:c>
    </s:row>
    <s:row r="475">
      <s:c r="A475" s="5" t="n">
        <s:v>46285</s:v>
      </s:c>
      <s:c r="B475" s="2" t="n">
        <s:v>14</s:v>
      </s:c>
      <s:c r="C475" s="6" t="n">
        <s:v>10908</s:v>
      </s:c>
      <s:c r="D475" s="6" t="n">
        <s:v>28025</s:v>
      </s:c>
      <s:c r="E475" s="6" t="n">
        <s:v>12203</s:v>
      </s:c>
      <s:c r="F475" s="6" t="n">
        <s:v>12003</s:v>
      </s:c>
      <s:c r="G475" s="6" t="n">
        <s:v>26469</s:v>
      </s:c>
      <s:c r="H475" s="6" t="n">
        <s:v>25613</s:v>
      </s:c>
      <s:c r="I475" s="6" t="n">
        <s:v>5230</s:v>
      </s:c>
      <s:c r="J475" s="6" t="n">
        <s:f>IF(COUNT(C475:I475)=7,SUM(C475:I475),"")</s:f>
        <s:v>120451</s:v>
      </s:c>
    </s:row>
    <s:row r="476">
      <s:c r="A476" s="5" t="n">
        <s:v>46285</s:v>
      </s:c>
      <s:c r="B476" s="2" t="n">
        <s:v>15</s:v>
      </s:c>
      <s:c r="C476" s="6" t="n">
        <s:v>10846</s:v>
      </s:c>
      <s:c r="D476" s="6" t="n">
        <s:v>27966</s:v>
      </s:c>
      <s:c r="E476" s="6" t="n">
        <s:v>12393</s:v>
      </s:c>
      <s:c r="F476" s="6" t="n">
        <s:v>12099</s:v>
      </s:c>
      <s:c r="G476" s="6" t="n">
        <s:v>26812</s:v>
      </s:c>
      <s:c r="H476" s="6" t="n">
        <s:v>25506</s:v>
      </s:c>
      <s:c r="I476" s="6" t="n">
        <s:v>5123</s:v>
      </s:c>
      <s:c r="J476" s="6" t="n">
        <s:f>IF(COUNT(C476:I476)=7,SUM(C476:I476),"")</s:f>
        <s:v>120745</s:v>
      </s:c>
    </s:row>
    <s:row r="477">
      <s:c r="A477" s="5" t="n">
        <s:v>46285</s:v>
      </s:c>
      <s:c r="B477" s="2" t="n">
        <s:v>16</s:v>
      </s:c>
      <s:c r="C477" s="6" t="n">
        <s:v>10890</s:v>
      </s:c>
      <s:c r="D477" s="6" t="n">
        <s:v>28063</s:v>
      </s:c>
      <s:c r="E477" s="6" t="n">
        <s:v>12297</s:v>
      </s:c>
      <s:c r="F477" s="6" t="n">
        <s:v>12202</s:v>
      </s:c>
      <s:c r="G477" s="6" t="n">
        <s:v>26932</s:v>
      </s:c>
      <s:c r="H477" s="6" t="n">
        <s:v>25558</s:v>
      </s:c>
      <s:c r="I477" s="6" t="n">
        <s:v>4720</s:v>
      </s:c>
      <s:c r="J477" s="6" t="n">
        <s:f>IF(COUNT(C477:I477)=7,SUM(C477:I477),"")</s:f>
        <s:v>120662</s:v>
      </s:c>
    </s:row>
    <s:row r="478">
      <s:c r="A478" s="5" t="n">
        <s:v>46285</s:v>
      </s:c>
      <s:c r="B478" s="2" t="n">
        <s:v>17</s:v>
      </s:c>
      <s:c r="C478" s="6" t="n">
        <s:v>10956</s:v>
      </s:c>
      <s:c r="D478" s="6" t="n">
        <s:v>28177</s:v>
      </s:c>
      <s:c r="E478" s="6" t="n">
        <s:v>12275</s:v>
      </s:c>
      <s:c r="F478" s="6" t="n">
        <s:v>12398</s:v>
      </s:c>
      <s:c r="G478" s="6" t="n">
        <s:v>27265</s:v>
      </s:c>
      <s:c r="H478" s="6" t="n">
        <s:v>24871</s:v>
      </s:c>
      <s:c r="I478" s="6" t="n">
        <s:v>4579</s:v>
      </s:c>
      <s:c r="J478" s="6" t="n">
        <s:f>IF(COUNT(C478:I478)=7,SUM(C478:I478),"")</s:f>
        <s:v>120521</s:v>
      </s:c>
    </s:row>
    <s:row r="479">
      <s:c r="A479" s="5" t="n">
        <s:v>46285</s:v>
      </s:c>
      <s:c r="B479" s="2" t="n">
        <s:v>18</s:v>
      </s:c>
      <s:c r="C479" s="6" t="n">
        <s:v>11110</s:v>
      </s:c>
      <s:c r="D479" s="6" t="n">
        <s:v>29553</s:v>
      </s:c>
      <s:c r="E479" s="6" t="n">
        <s:v>12864</s:v>
      </s:c>
      <s:c r="F479" s="6" t="n">
        <s:v>12613</s:v>
      </s:c>
      <s:c r="G479" s="6" t="n">
        <s:v>27442</s:v>
      </s:c>
      <s:c r="H479" s="6" t="n">
        <s:v>23906</s:v>
      </s:c>
      <s:c r="I479" s="6" t="n">
        <s:v>4562</s:v>
      </s:c>
      <s:c r="J479" s="6" t="n">
        <s:f>IF(COUNT(C479:I479)=7,SUM(C479:I479),"")</s:f>
        <s:v>122050</s:v>
      </s:c>
    </s:row>
    <s:row r="480">
      <s:c r="A480" s="5" t="n">
        <s:v>46285</s:v>
      </s:c>
      <s:c r="B480" s="2" t="n">
        <s:v>19</s:v>
      </s:c>
      <s:c r="C480" s="6" t="n">
        <s:v>11264</s:v>
      </s:c>
      <s:c r="D480" s="6" t="n">
        <s:v>29581</s:v>
      </s:c>
      <s:c r="E480" s="6" t="n">
        <s:v>12681</s:v>
      </s:c>
      <s:c r="F480" s="6" t="n">
        <s:v>12525</s:v>
      </s:c>
      <s:c r="G480" s="6" t="n">
        <s:v>26784</s:v>
      </s:c>
      <s:c r="H480" s="6" t="n">
        <s:v>23137</s:v>
      </s:c>
      <s:c r="I480" s="6" t="n">
        <s:v>4306</s:v>
      </s:c>
      <s:c r="J480" s="6" t="n">
        <s:f>IF(COUNT(C480:I480)=7,SUM(C480:I480),"")</s:f>
        <s:v>120278</s:v>
      </s:c>
    </s:row>
    <s:row r="481">
      <s:c r="A481" s="5" t="n">
        <s:v>46285</s:v>
      </s:c>
      <s:c r="B481" s="2" t="n">
        <s:v>20</s:v>
      </s:c>
      <s:c r="C481" s="6" t="n">
        <s:v>11228</s:v>
      </s:c>
      <s:c r="D481" s="6" t="n">
        <s:v>29063</s:v>
      </s:c>
      <s:c r="E481" s="6" t="n">
        <s:v>12365</s:v>
      </s:c>
      <s:c r="F481" s="6" t="n">
        <s:v>12015</s:v>
      </s:c>
      <s:c r="G481" s="6" t="n">
        <s:v>25838</s:v>
      </s:c>
      <s:c r="H481" s="6" t="n">
        <s:v>22703</s:v>
      </s:c>
      <s:c r="I481" s="6" t="n">
        <s:v>4409</s:v>
      </s:c>
      <s:c r="J481" s="6" t="n">
        <s:f>IF(COUNT(C481:I481)=7,SUM(C481:I481),"")</s:f>
        <s:v>117621</s:v>
      </s:c>
    </s:row>
    <s:row r="482">
      <s:c r="A482" s="5" t="n">
        <s:v>46285</s:v>
      </s:c>
      <s:c r="B482" s="2" t="n">
        <s:v>21</s:v>
      </s:c>
      <s:c r="C482" s="6" t="n">
        <s:v>10831</s:v>
      </s:c>
      <s:c r="D482" s="6" t="n">
        <s:v>27820</s:v>
      </s:c>
      <s:c r="E482" s="6" t="n">
        <s:v>11478</s:v>
      </s:c>
      <s:c r="F482" s="6" t="n">
        <s:v>11463</s:v>
      </s:c>
      <s:c r="G482" s="6" t="n">
        <s:v>24816</s:v>
      </s:c>
      <s:c r="H482" s="6" t="n">
        <s:v>22219</s:v>
      </s:c>
      <s:c r="I482" s="6" t="n">
        <s:v>4472</s:v>
      </s:c>
      <s:c r="J482" s="6" t="n">
        <s:f>IF(COUNT(C482:I482)=7,SUM(C482:I482),"")</s:f>
        <s:v>113099</s:v>
      </s:c>
    </s:row>
    <s:row r="483">
      <s:c r="A483" s="5" t="n">
        <s:v>46285</s:v>
      </s:c>
      <s:c r="B483" s="2" t="n">
        <s:v>22</s:v>
      </s:c>
      <s:c r="C483" s="6" t="n">
        <s:v>10281</s:v>
      </s:c>
      <s:c r="D483" s="6" t="n">
        <s:v>26035</s:v>
      </s:c>
      <s:c r="E483" s="6" t="n">
        <s:v>10959</s:v>
      </s:c>
      <s:c r="F483" s="6" t="n">
        <s:v>10970</s:v>
      </s:c>
      <s:c r="G483" s="6" t="n">
        <s:v>24275</s:v>
      </s:c>
      <s:c r="H483" s="6" t="n">
        <s:v>22197</s:v>
      </s:c>
      <s:c r="I483" s="6" t="n">
        <s:v>4587</s:v>
      </s:c>
      <s:c r="J483" s="6" t="n">
        <s:f>IF(COUNT(C483:I483)=7,SUM(C483:I483),"")</s:f>
        <s:v>109304</s:v>
      </s:c>
    </s:row>
    <s:row r="484">
      <s:c r="A484" s="5" t="n">
        <s:v>46285</s:v>
      </s:c>
      <s:c r="B484" s="2" t="n">
        <s:v>23</s:v>
      </s:c>
      <s:c r="C484" s="6" t="n">
        <s:v>9878</s:v>
      </s:c>
      <s:c r="D484" s="6" t="n">
        <s:v>24963</s:v>
      </s:c>
      <s:c r="E484" s="6" t="n">
        <s:v>10070</s:v>
      </s:c>
      <s:c r="F484" s="6" t="n">
        <s:v>10513</s:v>
      </s:c>
      <s:c r="G484" s="6" t="n">
        <s:v>23915</s:v>
      </s:c>
      <s:c r="H484" s="6" t="n">
        <s:v>22340</s:v>
      </s:c>
      <s:c r="I484" s="6" t="n">
        <s:v>4782</s:v>
      </s:c>
      <s:c r="J484" s="6" t="n">
        <s:f>IF(COUNT(C484:I484)=7,SUM(C484:I484),"")</s:f>
        <s:v>106461</s:v>
      </s:c>
    </s:row>
    <s:row r="485">
      <s:c r="A485" s="5" t="n">
        <s:v>46286</s:v>
      </s:c>
      <s:c r="B485" s="2" t="n">
        <s:v>0</s:v>
      </s:c>
      <s:c r="C485" s="6" t="n">
        <s:v>9393</s:v>
      </s:c>
      <s:c r="D485" s="6" t="n">
        <s:v>23786</s:v>
      </s:c>
      <s:c r="E485" s="6" t="n">
        <s:v>9766</s:v>
      </s:c>
      <s:c r="F485" s="6" t="n">
        <s:v>10425</s:v>
      </s:c>
      <s:c r="G485" s="6" t="n">
        <s:v>23750</s:v>
      </s:c>
      <s:c r="H485" s="6" t="n">
        <s:v>22725</s:v>
      </s:c>
      <s:c r="I485" s="6" t="n">
        <s:v>5000</s:v>
      </s:c>
      <s:c r="J485" s="6" t="n">
        <s:f>IF(COUNT(C485:I485)=7,SUM(C485:I485),"")</s:f>
        <s:v>104845</s:v>
      </s:c>
    </s:row>
    <s:row r="486">
      <s:c r="A486" s="5" t="n">
        <s:v>46286</s:v>
      </s:c>
      <s:c r="B486" s="2" t="n">
        <s:v>1</s:v>
      </s:c>
      <s:c r="C486" s="6" t="n">
        <s:v>9153</s:v>
      </s:c>
      <s:c r="D486" s="6" t="n">
        <s:v>22966</s:v>
      </s:c>
      <s:c r="E486" s="6" t="n">
        <s:v>9215</s:v>
      </s:c>
      <s:c r="F486" s="6" t="n">
        <s:v>10308</s:v>
      </s:c>
      <s:c r="G486" s="6" t="n">
        <s:v>23568</s:v>
      </s:c>
      <s:c r="H486" s="6" t="n">
        <s:v>22922</s:v>
      </s:c>
      <s:c r="I486" s="6" t="n">
        <s:v>5155</s:v>
      </s:c>
      <s:c r="J486" s="6" t="n">
        <s:f>IF(COUNT(C486:I486)=7,SUM(C486:I486),"")</s:f>
        <s:v>103287</s:v>
      </s:c>
    </s:row>
    <s:row r="487">
      <s:c r="A487" s="5" t="n">
        <s:v>46286</s:v>
      </s:c>
      <s:c r="B487" s="2" t="n">
        <s:v>2</s:v>
      </s:c>
      <s:c r="C487" s="6" t="n">
        <s:v>9046</s:v>
      </s:c>
      <s:c r="D487" s="6" t="n">
        <s:v>22938</s:v>
      </s:c>
      <s:c r="E487" s="6" t="n">
        <s:v>9109</s:v>
      </s:c>
      <s:c r="F487" s="6" t="n">
        <s:v>10183</s:v>
      </s:c>
      <s:c r="G487" s="6" t="n">
        <s:v>23646</s:v>
      </s:c>
      <s:c r="H487" s="6" t="n">
        <s:v>23747</s:v>
      </s:c>
      <s:c r="I487" s="6" t="n">
        <s:v>5096</s:v>
      </s:c>
      <s:c r="J487" s="6" t="n">
        <s:f>IF(COUNT(C487:I487)=7,SUM(C487:I487),"")</s:f>
        <s:v>103765</s:v>
      </s:c>
    </s:row>
    <s:row r="488">
      <s:c r="A488" s="5" t="n">
        <s:v>46286</s:v>
      </s:c>
      <s:c r="B488" s="2" t="n">
        <s:v>3</s:v>
      </s:c>
      <s:c r="C488" s="6" t="n">
        <s:v>8981</s:v>
      </s:c>
      <s:c r="D488" s="6" t="n">
        <s:v>22986</s:v>
      </s:c>
      <s:c r="E488" s="6" t="n">
        <s:v>9117</s:v>
      </s:c>
      <s:c r="F488" s="6" t="n">
        <s:v>10425</s:v>
      </s:c>
      <s:c r="G488" s="6" t="n">
        <s:v>24025</s:v>
      </s:c>
      <s:c r="H488" s="6" t="n">
        <s:v>24089</s:v>
      </s:c>
      <s:c r="I488" s="6" t="n">
        <s:v>5174</s:v>
      </s:c>
      <s:c r="J488" s="6" t="n">
        <s:f>IF(COUNT(C488:I488)=7,SUM(C488:I488),"")</s:f>
        <s:v>104797</s:v>
      </s:c>
    </s:row>
    <s:row r="489">
      <s:c r="A489" s="5" t="n">
        <s:v>46286</s:v>
      </s:c>
      <s:c r="B489" s="2" t="n">
        <s:v>4</s:v>
      </s:c>
      <s:c r="C489" s="6" t="n">
        <s:v>9036</s:v>
      </s:c>
      <s:c r="D489" s="6" t="n">
        <s:v>23300</s:v>
      </s:c>
      <s:c r="E489" s="6" t="n">
        <s:v>9356</s:v>
      </s:c>
      <s:c r="F489" s="6" t="n">
        <s:v>10725</s:v>
      </s:c>
      <s:c r="G489" s="6" t="n">
        <s:v>24923</s:v>
      </s:c>
      <s:c r="H489" s="6" t="n">
        <s:v>24472</s:v>
      </s:c>
      <s:c r="I489" s="6" t="n">
        <s:v>5123</s:v>
      </s:c>
      <s:c r="J489" s="6" t="n">
        <s:f>IF(COUNT(C489:I489)=7,SUM(C489:I489),"")</s:f>
        <s:v>106935</s:v>
      </s:c>
    </s:row>
    <s:row r="490">
      <s:c r="A490" s="5" t="n">
        <s:v>46286</s:v>
      </s:c>
      <s:c r="B490" s="2" t="n">
        <s:v>5</s:v>
      </s:c>
      <s:c r="C490" s="6" t="n">
        <s:v>9384</s:v>
      </s:c>
      <s:c r="D490" s="6" t="n">
        <s:v>24305</s:v>
      </s:c>
      <s:c r="E490" s="6" t="n">
        <s:v>9712</s:v>
      </s:c>
      <s:c r="F490" s="6" t="n">
        <s:v>11125</s:v>
      </s:c>
      <s:c r="G490" s="6" t="n">
        <s:v>25850</s:v>
      </s:c>
      <s:c r="H490" s="6" t="n">
        <s:v>24601</s:v>
      </s:c>
      <s:c r="I490" s="6" t="n">
        <s:v>5112</s:v>
      </s:c>
      <s:c r="J490" s="6" t="n">
        <s:f>IF(COUNT(C490:I490)=7,SUM(C490:I490),"")</s:f>
        <s:v>110089</s:v>
      </s:c>
    </s:row>
    <s:row r="491">
      <s:c r="A491" s="5" t="n">
        <s:v>46286</s:v>
      </s:c>
      <s:c r="B491" s="2" t="n">
        <s:v>6</s:v>
      </s:c>
      <s:c r="C491" s="6" t="n">
        <s:v>9803</s:v>
      </s:c>
      <s:c r="D491" s="6" t="n">
        <s:v>26083</s:v>
      </s:c>
      <s:c r="E491" s="6" t="n">
        <s:v>10169</s:v>
      </s:c>
      <s:c r="F491" s="6" t="n">
        <s:v>12048</s:v>
      </s:c>
      <s:c r="G491" s="6" t="n">
        <s:v>26884</s:v>
      </s:c>
      <s:c r="H491" s="6" t="n">
        <s:v>24683</s:v>
      </s:c>
      <s:c r="I491" s="6" t="n">
        <s:v>5022</s:v>
      </s:c>
      <s:c r="J491" s="6" t="n">
        <s:f>IF(COUNT(C491:I491)=7,SUM(C491:I491),"")</s:f>
        <s:v>114692</s:v>
      </s:c>
    </s:row>
    <s:row r="492">
      <s:c r="A492" s="5" t="n">
        <s:v>46286</s:v>
      </s:c>
      <s:c r="B492" s="2" t="n">
        <s:v>7</s:v>
      </s:c>
      <s:c r="C492" s="6" t="n">
        <s:v>10318</s:v>
      </s:c>
      <s:c r="D492" s="6" t="n">
        <s:v>27476</s:v>
      </s:c>
      <s:c r="E492" s="6" t="n">
        <s:v>10899</s:v>
      </s:c>
      <s:c r="F492" s="6" t="n">
        <s:v>12955</s:v>
      </s:c>
      <s:c r="G492" s="6" t="n">
        <s:v>27058</s:v>
      </s:c>
      <s:c r="H492" s="6" t="n">
        <s:v>24722</s:v>
      </s:c>
      <s:c r="I492" s="6" t="n">
        <s:v>5139</s:v>
      </s:c>
      <s:c r="J492" s="6" t="n">
        <s:f>IF(COUNT(C492:I492)=7,SUM(C492:I492),"")</s:f>
        <s:v>118567</s:v>
      </s:c>
    </s:row>
    <s:row r="493">
      <s:c r="A493" s="5" t="n">
        <s:v>46286</s:v>
      </s:c>
      <s:c r="B493" s="2" t="n">
        <s:v>8</s:v>
      </s:c>
      <s:c r="C493" s="6" t="n">
        <s:v>11007</s:v>
      </s:c>
      <s:c r="D493" s="6" t="n">
        <s:v>29571</s:v>
      </s:c>
      <s:c r="E493" s="6" t="n">
        <s:v>11704</s:v>
      </s:c>
      <s:c r="F493" s="6" t="n">
        <s:v>13366</s:v>
      </s:c>
      <s:c r="G493" s="6" t="n">
        <s:v>27110</s:v>
      </s:c>
      <s:c r="H493" s="6" t="n">
        <s:v>25164</s:v>
      </s:c>
      <s:c r="I493" s="6" t="n">
        <s:v>5034</s:v>
      </s:c>
      <s:c r="J493" s="6" t="n">
        <s:f>IF(COUNT(C493:I493)=7,SUM(C493:I493),"")</s:f>
        <s:v>122956</s:v>
      </s:c>
    </s:row>
    <s:row r="494">
      <s:c r="A494" s="5" t="n">
        <s:v>46286</s:v>
      </s:c>
      <s:c r="B494" s="2" t="n">
        <s:v>9</s:v>
      </s:c>
      <s:c r="C494" s="6" t="n">
        <s:v>11332</s:v>
      </s:c>
      <s:c r="D494" s="6" t="n">
        <s:v>29969</s:v>
      </s:c>
      <s:c r="E494" s="6" t="n">
        <s:v>12161</s:v>
      </s:c>
      <s:c r="F494" s="6" t="n">
        <s:v>13380</s:v>
      </s:c>
      <s:c r="G494" s="6" t="n">
        <s:v>26906</s:v>
      </s:c>
      <s:c r="H494" s="6" t="n">
        <s:v>25174</s:v>
      </s:c>
      <s:c r="I494" s="6" t="n">
        <s:v>5095</s:v>
      </s:c>
      <s:c r="J494" s="6" t="n">
        <s:f>IF(COUNT(C494:I494)=7,SUM(C494:I494),"")</s:f>
        <s:v>124017</s:v>
      </s:c>
    </s:row>
    <s:row r="495">
      <s:c r="A495" s="5" t="n">
        <s:v>46286</s:v>
      </s:c>
      <s:c r="B495" s="2" t="n">
        <s:v>10</s:v>
      </s:c>
      <s:c r="C495" s="6" t="n">
        <s:v>11430</s:v>
      </s:c>
      <s:c r="D495" s="6" t="n">
        <s:v>30220</s:v>
      </s:c>
      <s:c r="E495" s="6" t="n">
        <s:v>12368</s:v>
      </s:c>
      <s:c r="F495" s="6" t="n">
        <s:v>13082</s:v>
      </s:c>
      <s:c r="G495" s="6" t="n">
        <s:v>26747</s:v>
      </s:c>
      <s:c r="H495" s="6" t="n">
        <s:v>25194</s:v>
      </s:c>
      <s:c r="I495" s="6" t="n">
        <s:v>5220</s:v>
      </s:c>
      <s:c r="J495" s="6" t="n">
        <s:f>IF(COUNT(C495:I495)=7,SUM(C495:I495),"")</s:f>
        <s:v>124261</s:v>
      </s:c>
    </s:row>
    <s:row r="496">
      <s:c r="A496" s="5" t="n">
        <s:v>46286</s:v>
      </s:c>
      <s:c r="B496" s="2" t="n">
        <s:v>11</s:v>
      </s:c>
      <s:c r="C496" s="6" t="n">
        <s:v>11362</s:v>
      </s:c>
      <s:c r="D496" s="6" t="n">
        <s:v>30171</s:v>
      </s:c>
      <s:c r="E496" s="6" t="n">
        <s:v>12413</s:v>
      </s:c>
      <s:c r="F496" s="6" t="n">
        <s:v>13317</s:v>
      </s:c>
      <s:c r="G496" s="6" t="n">
        <s:v>26850</s:v>
      </s:c>
      <s:c r="H496" s="6" t="n">
        <s:v>24694</s:v>
      </s:c>
      <s:c r="I496" s="6" t="n">
        <s:v>5373</s:v>
      </s:c>
      <s:c r="J496" s="6" t="n">
        <s:f>IF(COUNT(C496:I496)=7,SUM(C496:I496),"")</s:f>
        <s:v>124180</s:v>
      </s:c>
    </s:row>
    <s:row r="497">
      <s:c r="A497" s="5" t="n">
        <s:v>46286</s:v>
      </s:c>
      <s:c r="B497" s="2" t="n">
        <s:v>12</s:v>
      </s:c>
      <s:c r="C497" s="6" t="n">
        <s:v>11426</s:v>
      </s:c>
      <s:c r="D497" s="6" t="n">
        <s:v>29817</s:v>
      </s:c>
      <s:c r="E497" s="6" t="n">
        <s:v>12667</s:v>
      </s:c>
      <s:c r="F497" s="6" t="n">
        <s:v>13073</s:v>
      </s:c>
      <s:c r="G497" s="6" t="n">
        <s:v>26587</s:v>
      </s:c>
      <s:c r="H497" s="6" t="n">
        <s:v>24701</s:v>
      </s:c>
      <s:c r="I497" s="6" t="n">
        <s:v>5333</s:v>
      </s:c>
      <s:c r="J497" s="6" t="n">
        <s:f>IF(COUNT(C497:I497)=7,SUM(C497:I497),"")</s:f>
        <s:v>123604</s:v>
      </s:c>
    </s:row>
    <s:row r="498">
      <s:c r="A498" s="5" t="n">
        <s:v>46286</s:v>
      </s:c>
      <s:c r="B498" s="2" t="n">
        <s:v>13</s:v>
      </s:c>
      <s:c r="C498" s="6" t="n">
        <s:v>11411</s:v>
      </s:c>
      <s:c r="D498" s="6" t="n">
        <s:v>30186</s:v>
      </s:c>
      <s:c r="E498" s="6" t="n">
        <s:v>12634</s:v>
      </s:c>
      <s:c r="F498" s="6" t="n">
        <s:v>13069</s:v>
      </s:c>
      <s:c r="G498" s="6" t="n">
        <s:v>26718</s:v>
      </s:c>
      <s:c r="H498" s="6" t="n">
        <s:v>25003</s:v>
      </s:c>
      <s:c r="I498" s="6" t="n">
        <s:v>5427</s:v>
      </s:c>
      <s:c r="J498" s="6" t="n">
        <s:f>IF(COUNT(C498:I498)=7,SUM(C498:I498),"")</s:f>
        <s:v>124448</s:v>
      </s:c>
    </s:row>
    <s:row r="499">
      <s:c r="A499" s="5" t="n">
        <s:v>46286</s:v>
      </s:c>
      <s:c r="B499" s="2" t="n">
        <s:v>14</s:v>
      </s:c>
      <s:c r="C499" s="6" t="n">
        <s:v>11308</s:v>
      </s:c>
      <s:c r="D499" s="6" t="n">
        <s:v>30087</s:v>
      </s:c>
      <s:c r="E499" s="6" t="n">
        <s:v>12620</s:v>
      </s:c>
      <s:c r="F499" s="6" t="n">
        <s:v>13012</s:v>
      </s:c>
      <s:c r="G499" s="6" t="n">
        <s:v>26538</s:v>
      </s:c>
      <s:c r="H499" s="6" t="n">
        <s:v>25161</s:v>
      </s:c>
      <s:c r="I499" s="6" t="n">
        <s:v>5275</s:v>
      </s:c>
      <s:c r="J499" s="6" t="n">
        <s:f>IF(COUNT(C499:I499)=7,SUM(C499:I499),"")</s:f>
        <s:v>124001</s:v>
      </s:c>
    </s:row>
    <s:row r="500">
      <s:c r="A500" s="5" t="n">
        <s:v>46286</s:v>
      </s:c>
      <s:c r="B500" s="2" t="n">
        <s:v>15</s:v>
      </s:c>
      <s:c r="C500" s="6" t="n">
        <s:v>11438</s:v>
      </s:c>
      <s:c r="D500" s="6" t="n">
        <s:v>29783</s:v>
      </s:c>
      <s:c r="E500" s="6" t="n">
        <s:v>12655</s:v>
      </s:c>
      <s:c r="F500" s="6" t="n">
        <s:v>12761</s:v>
      </s:c>
      <s:c r="G500" s="6" t="n">
        <s:v>26661</s:v>
      </s:c>
      <s:c r="H500" s="6" t="n">
        <s:v>25244</s:v>
      </s:c>
      <s:c r="I500" s="6" t="n">
        <s:v>4985</s:v>
      </s:c>
      <s:c r="J500" s="6" t="n">
        <s:f>IF(COUNT(C500:I500)=7,SUM(C500:I500),"")</s:f>
        <s:v>123527</s:v>
      </s:c>
    </s:row>
    <s:row r="501">
      <s:c r="A501" s="5" t="n">
        <s:v>46286</s:v>
      </s:c>
      <s:c r="B501" s="2" t="n">
        <s:v>16</s:v>
      </s:c>
      <s:c r="C501" s="6" t="n">
        <s:v>11211</s:v>
      </s:c>
      <s:c r="D501" s="6" t="n">
        <s:v>29604</s:v>
      </s:c>
      <s:c r="E501" s="6" t="n">
        <s:v>12386</s:v>
      </s:c>
      <s:c r="F501" s="6" t="n">
        <s:v>12694</s:v>
      </s:c>
      <s:c r="G501" s="6" t="n">
        <s:v>26734</s:v>
      </s:c>
      <s:c r="H501" s="6" t="n">
        <s:v>25072</s:v>
      </s:c>
      <s:c r="I501" s="6" t="n">
        <s:v>4909</s:v>
      </s:c>
      <s:c r="J501" s="6" t="n">
        <s:f>IF(COUNT(C501:I501)=7,SUM(C501:I501),"")</s:f>
        <s:v>122610</s:v>
      </s:c>
    </s:row>
    <s:row r="502">
      <s:c r="A502" s="5" t="n">
        <s:v>46286</s:v>
      </s:c>
      <s:c r="B502" s="2" t="n">
        <s:v>17</s:v>
      </s:c>
      <s:c r="C502" s="6" t="n">
        <s:v>11115</s:v>
      </s:c>
      <s:c r="D502" s="6" t="n">
        <s:v>29486</s:v>
      </s:c>
      <s:c r="E502" s="6" t="n">
        <s:v>12354</s:v>
      </s:c>
      <s:c r="F502" s="6" t="n">
        <s:v>12802</s:v>
      </s:c>
      <s:c r="G502" s="6" t="n">
        <s:v>27032</s:v>
      </s:c>
      <s:c r="H502" s="6" t="n">
        <s:v>24904</s:v>
      </s:c>
      <s:c r="I502" s="6" t="n">
        <s:v>4618</s:v>
      </s:c>
      <s:c r="J502" s="6" t="n">
        <s:f>IF(COUNT(C502:I502)=7,SUM(C502:I502),"")</s:f>
        <s:v>122311</s:v>
      </s:c>
    </s:row>
    <s:row r="503">
      <s:c r="A503" s="5" t="n">
        <s:v>46286</s:v>
      </s:c>
      <s:c r="B503" s="2" t="n">
        <s:v>18</s:v>
      </s:c>
      <s:c r="C503" s="6" t="n">
        <s:v>11326</s:v>
      </s:c>
      <s:c r="D503" s="6" t="n">
        <s:v>30439</s:v>
      </s:c>
      <s:c r="E503" s="6" t="n">
        <s:v>12895</s:v>
      </s:c>
      <s:c r="F503" s="6" t="n">
        <s:v>12950</s:v>
      </s:c>
      <s:c r="G503" s="6" t="n">
        <s:v>27026</s:v>
      </s:c>
      <s:c r="H503" s="6" t="n">
        <s:v>24165</s:v>
      </s:c>
      <s:c r="I503" s="6" t="n">
        <s:v>4590</s:v>
      </s:c>
      <s:c r="J503" s="6" t="n">
        <s:f>IF(COUNT(C503:I503)=7,SUM(C503:I503),"")</s:f>
        <s:v>123391</s:v>
      </s:c>
    </s:row>
    <s:row r="504">
      <s:c r="A504" s="5" t="n">
        <s:v>46286</s:v>
      </s:c>
      <s:c r="B504" s="2" t="n">
        <s:v>19</s:v>
      </s:c>
      <s:c r="C504" s="6" t="n">
        <s:v>11483</s:v>
      </s:c>
      <s:c r="D504" s="6" t="n">
        <s:v>30200</s:v>
      </s:c>
      <s:c r="E504" s="6" t="n">
        <s:v>12571</s:v>
      </s:c>
      <s:c r="F504" s="6" t="n">
        <s:v>12891</s:v>
      </s:c>
      <s:c r="G504" s="6" t="n">
        <s:v>26329</s:v>
      </s:c>
      <s:c r="H504" s="6" t="n">
        <s:v>23378</s:v>
      </s:c>
      <s:c r="I504" s="6" t="n">
        <s:v>4481</s:v>
      </s:c>
      <s:c r="J504" s="6" t="n">
        <s:f>IF(COUNT(C504:I504)=7,SUM(C504:I504),"")</s:f>
        <s:v>121333</s:v>
      </s:c>
    </s:row>
    <s:row r="505">
      <s:c r="A505" s="5" t="n">
        <s:v>46286</s:v>
      </s:c>
      <s:c r="B505" s="2" t="n">
        <s:v>20</s:v>
      </s:c>
      <s:c r="C505" s="6" t="n">
        <s:v>11378</s:v>
      </s:c>
      <s:c r="D505" s="6" t="n">
        <s:v>29365</s:v>
      </s:c>
      <s:c r="E505" s="6" t="n">
        <s:v>12217</s:v>
      </s:c>
      <s:c r="F505" s="6" t="n">
        <s:v>12415</s:v>
      </s:c>
      <s:c r="G505" s="6" t="n">
        <s:v>25656</s:v>
      </s:c>
      <s:c r="H505" s="6" t="n">
        <s:v>23022</s:v>
      </s:c>
      <s:c r="I505" s="6" t="n">
        <s:v>4597</s:v>
      </s:c>
      <s:c r="J505" s="6" t="n">
        <s:f>IF(COUNT(C505:I505)=7,SUM(C505:I505),"")</s:f>
        <s:v>118650</s:v>
      </s:c>
    </s:row>
    <s:row r="506">
      <s:c r="A506" s="5" t="n">
        <s:v>46286</s:v>
      </s:c>
      <s:c r="B506" s="2" t="n">
        <s:v>21</s:v>
      </s:c>
      <s:c r="C506" s="6" t="n">
        <s:v>11085</s:v>
      </s:c>
      <s:c r="D506" s="6" t="n">
        <s:v>28049</s:v>
      </s:c>
      <s:c r="E506" s="6" t="n">
        <s:v>11718</s:v>
      </s:c>
      <s:c r="F506" s="6" t="n">
        <s:v>11920</s:v>
      </s:c>
      <s:c r="G506" s="6" t="n">
        <s:v>24853</s:v>
      </s:c>
      <s:c r="H506" s="6" t="n">
        <s:v>22846</s:v>
      </s:c>
      <s:c r="I506" s="6" t="n">
        <s:v>4605</s:v>
      </s:c>
      <s:c r="J506" s="6" t="n">
        <s:f>IF(COUNT(C506:I506)=7,SUM(C506:I506),"")</s:f>
        <s:v>115076</s:v>
      </s:c>
    </s:row>
    <s:row r="507">
      <s:c r="A507" s="5" t="n">
        <s:v>46286</s:v>
      </s:c>
      <s:c r="B507" s="2" t="n">
        <s:v>22</s:v>
      </s:c>
      <s:c r="C507" s="6" t="n">
        <s:v>10541</s:v>
      </s:c>
      <s:c r="D507" s="6" t="n">
        <s:v>26478</s:v>
      </s:c>
      <s:c r="E507" s="6" t="n">
        <s:v>10968</s:v>
      </s:c>
      <s:c r="F507" s="6" t="n">
        <s:v>11195</s:v>
      </s:c>
      <s:c r="G507" s="6" t="n">
        <s:v>23931</s:v>
      </s:c>
      <s:c r="H507" s="6" t="n">
        <s:v>22773</s:v>
      </s:c>
      <s:c r="I507" s="6" t="n">
        <s:v>4645</s:v>
      </s:c>
      <s:c r="J507" s="6" t="n">
        <s:f>IF(COUNT(C507:I507)=7,SUM(C507:I507),"")</s:f>
        <s:v>110531</s:v>
      </s:c>
    </s:row>
    <s:row r="508">
      <s:c r="A508" s="5" t="n">
        <s:v>46286</s:v>
      </s:c>
      <s:c r="B508" s="2" t="n">
        <s:v>23</s:v>
      </s:c>
      <s:c r="C508" s="6" t="n">
        <s:v>10064</s:v>
      </s:c>
      <s:c r="D508" s="6" t="n">
        <s:v>24788</s:v>
      </s:c>
      <s:c r="E508" s="6" t="n">
        <s:v>9985</s:v>
      </s:c>
      <s:c r="F508" s="6" t="n">
        <s:v>10805</s:v>
      </s:c>
      <s:c r="G508" s="6" t="n">
        <s:v>23748</s:v>
      </s:c>
      <s:c r="H508" s="6" t="n">
        <s:v>22556</s:v>
      </s:c>
      <s:c r="I508" s="6" t="n">
        <s:v>4944</s:v>
      </s:c>
      <s:c r="J508" s="6" t="n">
        <s:f>IF(COUNT(C508:I508)=7,SUM(C508:I508),"")</s:f>
        <s:v>106890</s:v>
      </s:c>
    </s:row>
    <s:row r="509">
      <s:c r="A509" s="5" t="n">
        <s:v>46287</s:v>
      </s:c>
      <s:c r="B509" s="2" t="n">
        <s:v>0</s:v>
      </s:c>
      <s:c r="C509" s="6" t="n">
        <s:v>9648</s:v>
      </s:c>
      <s:c r="D509" s="6" t="n">
        <s:v>23913</s:v>
      </s:c>
      <s:c r="E509" s="6" t="n">
        <s:v>9694</s:v>
      </s:c>
      <s:c r="F509" s="6" t="n">
        <s:v>10613</s:v>
      </s:c>
      <s:c r="G509" s="6" t="n">
        <s:v>23722</s:v>
      </s:c>
      <s:c r="H509" s="6" t="n">
        <s:v>22934</s:v>
      </s:c>
      <s:c r="I509" s="6" t="n">
        <s:v>5198</s:v>
      </s:c>
      <s:c r="J509" s="6" t="n">
        <s:f>IF(COUNT(C509:I509)=7,SUM(C509:I509),"")</s:f>
        <s:v>105722</s:v>
      </s:c>
    </s:row>
    <s:row r="510">
      <s:c r="A510" s="5" t="n">
        <s:v>46287</s:v>
      </s:c>
      <s:c r="B510" s="2" t="n">
        <s:v>1</s:v>
      </s:c>
      <s:c r="C510" s="6" t="n">
        <s:v>9365</s:v>
      </s:c>
      <s:c r="D510" s="6" t="n">
        <s:v>23404</s:v>
      </s:c>
      <s:c r="E510" s="6" t="n">
        <s:v>9378</s:v>
      </s:c>
      <s:c r="F510" s="6" t="n">
        <s:v>10463</s:v>
      </s:c>
      <s:c r="G510" s="6" t="n">
        <s:v>23561</s:v>
      </s:c>
      <s:c r="H510" s="6" t="n">
        <s:v>23395</s:v>
      </s:c>
      <s:c r="I510" s="6" t="n">
        <s:v>4584</s:v>
      </s:c>
      <s:c r="J510" s="6" t="n">
        <s:f>IF(COUNT(C510:I510)=7,SUM(C510:I510),"")</s:f>
        <s:v>104150</s:v>
      </s:c>
    </s:row>
    <s:row r="511">
      <s:c r="A511" s="5" t="n">
        <s:v>46287</s:v>
      </s:c>
      <s:c r="B511" s="2" t="n">
        <s:v>2</s:v>
      </s:c>
      <s:c r="C511" s="6" t="n">
        <s:v>9293</s:v>
      </s:c>
      <s:c r="D511" s="6" t="n">
        <s:v>23114</s:v>
      </s:c>
      <s:c r="E511" s="6" t="n">
        <s:v>9179</s:v>
      </s:c>
      <s:c r="F511" s="6" t="n">
        <s:v>10420</s:v>
      </s:c>
      <s:c r="G511" s="6" t="n">
        <s:v>23713</s:v>
      </s:c>
      <s:c r="H511" s="6" t="n">
        <s:v>24227</s:v>
      </s:c>
      <s:c r="I511" s="6" t="n">
        <s:v>4964</s:v>
      </s:c>
      <s:c r="J511" s="6" t="n">
        <s:f>IF(COUNT(C511:I511)=7,SUM(C511:I511),"")</s:f>
        <s:v>104910</s:v>
      </s:c>
    </s:row>
    <s:row r="512">
      <s:c r="A512" s="5" t="n">
        <s:v>46287</s:v>
      </s:c>
      <s:c r="B512" s="2" t="n">
        <s:v>3</s:v>
      </s:c>
      <s:c r="C512" s="6" t="n">
        <s:v>9248</s:v>
      </s:c>
      <s:c r="D512" s="6" t="n">
        <s:v>23089</s:v>
      </s:c>
      <s:c r="E512" s="6" t="n">
        <s:v>9229</s:v>
      </s:c>
      <s:c r="F512" s="6" t="n">
        <s:v>10489</s:v>
      </s:c>
      <s:c r="G512" s="6" t="n">
        <s:v>24127</s:v>
      </s:c>
      <s:c r="H512" s="6" t="n">
        <s:v>24244</s:v>
      </s:c>
      <s:c r="I512" s="6" t="n">
        <s:v>5041</s:v>
      </s:c>
      <s:c r="J512" s="6" t="n">
        <s:f>IF(COUNT(C512:I512)=7,SUM(C512:I512),"")</s:f>
        <s:v>105467</s:v>
      </s:c>
    </s:row>
    <s:row r="513">
      <s:c r="A513" s="5" t="n">
        <s:v>46287</s:v>
      </s:c>
      <s:c r="B513" s="2" t="n">
        <s:v>4</s:v>
      </s:c>
      <s:c r="C513" s="6" t="n">
        <s:v>9309</s:v>
      </s:c>
      <s:c r="D513" s="6" t="n">
        <s:v>23357</s:v>
      </s:c>
      <s:c r="E513" s="6" t="n">
        <s:v>9329</s:v>
      </s:c>
      <s:c r="F513" s="6" t="n">
        <s:v>10669</s:v>
      </s:c>
      <s:c r="G513" s="6" t="n">
        <s:v>25136</s:v>
      </s:c>
      <s:c r="H513" s="6" t="n">
        <s:v>24699</s:v>
      </s:c>
      <s:c r="I513" s="6" t="n">
        <s:v>5257</s:v>
      </s:c>
      <s:c r="J513" s="6" t="n">
        <s:f>IF(COUNT(C513:I513)=7,SUM(C513:I513),"")</s:f>
        <s:v>107756</s:v>
      </s:c>
    </s:row>
    <s:row r="514">
      <s:c r="A514" s="5" t="n">
        <s:v>46287</s:v>
      </s:c>
      <s:c r="B514" s="2" t="n">
        <s:v>5</s:v>
      </s:c>
      <s:c r="C514" s="6" t="n">
        <s:v>9659</s:v>
      </s:c>
      <s:c r="D514" s="6" t="n">
        <s:v>24630</s:v>
      </s:c>
      <s:c r="E514" s="6" t="n">
        <s:v>9802</s:v>
      </s:c>
      <s:c r="F514" s="6" t="n">
        <s:v>11207</s:v>
      </s:c>
      <s:c r="G514" s="6" t="n">
        <s:v>26004</s:v>
      </s:c>
      <s:c r="H514" s="6" t="n">
        <s:v>24943</s:v>
      </s:c>
      <s:c r="I514" s="6" t="n">
        <s:v>5204</s:v>
      </s:c>
      <s:c r="J514" s="6" t="n">
        <s:f>IF(COUNT(C514:I514)=7,SUM(C514:I514),"")</s:f>
        <s:v>111449</s:v>
      </s:c>
    </s:row>
    <s:row r="515">
      <s:c r="A515" s="5" t="n">
        <s:v>46287</s:v>
      </s:c>
      <s:c r="B515" s="2" t="n">
        <s:v>6</s:v>
      </s:c>
      <s:c r="C515" s="6" t="n">
        <s:v>9936</s:v>
      </s:c>
      <s:c r="D515" s="6" t="n">
        <s:v>25995</s:v>
      </s:c>
      <s:c r="E515" s="6" t="n">
        <s:v>10522</s:v>
      </s:c>
      <s:c r="F515" s="6" t="n">
        <s:v>12038</s:v>
      </s:c>
      <s:c r="G515" s="6" t="n">
        <s:v>26833</s:v>
      </s:c>
      <s:c r="H515" s="6" t="n">
        <s:v>25051</s:v>
      </s:c>
      <s:c r="I515" s="6" t="n">
        <s:v>5109</s:v>
      </s:c>
      <s:c r="J515" s="6" t="n">
        <s:f>IF(COUNT(C515:I515)=7,SUM(C515:I515),"")</s:f>
        <s:v>115484</s:v>
      </s:c>
    </s:row>
    <s:row r="516">
      <s:c r="A516" s="5" t="n">
        <s:v>46287</s:v>
      </s:c>
      <s:c r="B516" s="2" t="n">
        <s:v>7</s:v>
      </s:c>
      <s:c r="C516" s="6" t="n">
        <s:v>10486</s:v>
      </s:c>
      <s:c r="D516" s="6" t="n">
        <s:v>27784</s:v>
      </s:c>
      <s:c r="E516" s="6" t="n">
        <s:v>11136</s:v>
      </s:c>
      <s:c r="F516" s="6" t="n">
        <s:v>12886</s:v>
      </s:c>
      <s:c r="G516" s="6" t="n">
        <s:v>27014</s:v>
      </s:c>
      <s:c r="H516" s="6" t="n">
        <s:v>24751</s:v>
      </s:c>
      <s:c r="I516" s="6" t="n">
        <s:v>5076</s:v>
      </s:c>
      <s:c r="J516" s="6" t="n">
        <s:f>IF(COUNT(C516:I516)=7,SUM(C516:I516),"")</s:f>
        <s:v>119133</s:v>
      </s:c>
    </s:row>
    <s:row r="517">
      <s:c r="A517" s="5" t="n">
        <s:v>46287</s:v>
      </s:c>
      <s:c r="B517" s="2" t="n">
        <s:v>8</s:v>
      </s:c>
      <s:c r="C517" s="6" t="n">
        <s:v>11105</s:v>
      </s:c>
      <s:c r="D517" s="6" t="n">
        <s:v>29545</s:v>
      </s:c>
      <s:c r="E517" s="6" t="n">
        <s:v>11912</s:v>
      </s:c>
      <s:c r="F517" s="6" t="n">
        <s:v>13178</s:v>
      </s:c>
      <s:c r="G517" s="6" t="n">
        <s:v>26976</s:v>
      </s:c>
      <s:c r="H517" s="6" t="n">
        <s:v>25073</s:v>
      </s:c>
      <s:c r="I517" s="6" t="n">
        <s:v>4983</s:v>
      </s:c>
      <s:c r="J517" s="6" t="n">
        <s:f>IF(COUNT(C517:I517)=7,SUM(C517:I517),"")</s:f>
        <s:v>122772</s:v>
      </s:c>
    </s:row>
    <s:row r="518">
      <s:c r="A518" s="5" t="n">
        <s:v>46287</s:v>
      </s:c>
      <s:c r="B518" s="2" t="n">
        <s:v>9</s:v>
      </s:c>
      <s:c r="C518" s="6" t="n">
        <s:v>11431</s:v>
      </s:c>
      <s:c r="D518" s="6" t="n">
        <s:v>30153</s:v>
      </s:c>
      <s:c r="E518" s="6" t="n">
        <s:v>12373</s:v>
      </s:c>
      <s:c r="F518" s="6" t="n">
        <s:v>13288</s:v>
      </s:c>
      <s:c r="G518" s="6" t="n">
        <s:v>26621</s:v>
      </s:c>
      <s:c r="H518" s="6" t="n">
        <s:v>25139</s:v>
      </s:c>
      <s:c r="I518" s="6" t="n">
        <s:v>4977</s:v>
      </s:c>
      <s:c r="J518" s="6" t="n">
        <s:f>IF(COUNT(C518:I518)=7,SUM(C518:I518),"")</s:f>
        <s:v>123982</s:v>
      </s:c>
    </s:row>
    <s:row r="519">
      <s:c r="A519" s="5" t="n">
        <s:v>46287</s:v>
      </s:c>
      <s:c r="B519" s="2" t="n">
        <s:v>10</s:v>
      </s:c>
      <s:c r="C519" s="6" t="n">
        <s:v>11471</s:v>
      </s:c>
      <s:c r="D519" s="6" t="n">
        <s:v>30272</s:v>
      </s:c>
      <s:c r="E519" s="6" t="n">
        <s:v>12477</s:v>
      </s:c>
      <s:c r="F519" s="6" t="n">
        <s:v>13229</s:v>
      </s:c>
      <s:c r="G519" s="6" t="n">
        <s:v>26628</s:v>
      </s:c>
      <s:c r="H519" s="6" t="n">
        <s:v>25202</s:v>
      </s:c>
      <s:c r="I519" s="6" t="n">
        <s:v>5194</s:v>
      </s:c>
      <s:c r="J519" s="6" t="n">
        <s:f>IF(COUNT(C519:I519)=7,SUM(C519:I519),"")</s:f>
        <s:v>124473</s:v>
      </s:c>
    </s:row>
    <s:row r="520">
      <s:c r="A520" s="5" t="n">
        <s:v>46287</s:v>
      </s:c>
      <s:c r="B520" s="2" t="n">
        <s:v>11</s:v>
      </s:c>
      <s:c r="C520" s="6" t="n">
        <s:v>11296</s:v>
      </s:c>
      <s:c r="D520" s="6" t="n">
        <s:v>30164</s:v>
      </s:c>
      <s:c r="E520" s="6" t="n">
        <s:v>12566</s:v>
      </s:c>
      <s:c r="F520" s="6" t="n">
        <s:v>13072</s:v>
      </s:c>
      <s:c r="G520" s="6" t="n">
        <s:v>26552</s:v>
      </s:c>
      <s:c r="H520" s="6" t="n">
        <s:v>24596</s:v>
      </s:c>
      <s:c r="I520" s="6" t="n">
        <s:v>4971</s:v>
      </s:c>
      <s:c r="J520" s="6" t="n">
        <s:f>IF(COUNT(C520:I520)=7,SUM(C520:I520),"")</s:f>
        <s:v>123217</s:v>
      </s:c>
    </s:row>
    <s:row r="521">
      <s:c r="A521" s="5" t="n">
        <s:v>46287</s:v>
      </s:c>
      <s:c r="B521" s="2" t="n">
        <s:v>12</s:v>
      </s:c>
      <s:c r="C521" s="6" t="n">
        <s:v>11279</s:v>
      </s:c>
      <s:c r="D521" s="6" t="n">
        <s:v>29974</s:v>
      </s:c>
      <s:c r="E521" s="6" t="n">
        <s:v>12542</s:v>
      </s:c>
      <s:c r="F521" s="6" t="n">
        <s:v>13159</s:v>
      </s:c>
      <s:c r="G521" s="6" t="n">
        <s:v>26389</s:v>
      </s:c>
      <s:c r="H521" s="6" t="n">
        <s:v>24683</s:v>
      </s:c>
      <s:c r="I521" s="6" t="n">
        <s:v>5288</s:v>
      </s:c>
      <s:c r="J521" s="6" t="n">
        <s:f>IF(COUNT(C521:I521)=7,SUM(C521:I521),"")</s:f>
        <s:v>123314</s:v>
      </s:c>
    </s:row>
    <s:row r="522">
      <s:c r="A522" s="5" t="n">
        <s:v>46287</s:v>
      </s:c>
      <s:c r="B522" s="2" t="n">
        <s:v>13</s:v>
      </s:c>
      <s:c r="C522" s="6" t="n">
        <s:v>11304</s:v>
      </s:c>
      <s:c r="D522" s="6" t="n">
        <s:v>30328</s:v>
      </s:c>
      <s:c r="E522" s="6" t="n">
        <s:v>12658</s:v>
      </s:c>
      <s:c r="F522" s="6" t="n">
        <s:v>12955</s:v>
      </s:c>
      <s:c r="G522" s="6" t="n">
        <s:v>26456</s:v>
      </s:c>
      <s:c r="H522" s="6" t="n">
        <s:v>24921</s:v>
      </s:c>
      <s:c r="I522" s="6" t="n">
        <s:v>5505</s:v>
      </s:c>
      <s:c r="J522" s="6" t="n">
        <s:f>IF(COUNT(C522:I522)=7,SUM(C522:I522),"")</s:f>
        <s:v>124127</s:v>
      </s:c>
    </s:row>
    <s:row r="523">
      <s:c r="A523" s="5" t="n">
        <s:v>46287</s:v>
      </s:c>
      <s:c r="B523" s="2" t="n">
        <s:v>14</s:v>
      </s:c>
      <s:c r="C523" s="6" t="n">
        <s:v>11241</s:v>
      </s:c>
      <s:c r="D523" s="6" t="n">
        <s:v>30238</s:v>
      </s:c>
      <s:c r="E523" s="6" t="n">
        <s:v>12818</s:v>
      </s:c>
      <s:c r="F523" s="6" t="n">
        <s:v>12881</s:v>
      </s:c>
      <s:c r="G523" s="6" t="n">
        <s:v>26283</s:v>
      </s:c>
      <s:c r="H523" s="6" t="n">
        <s:v>25193</s:v>
      </s:c>
      <s:c r="I523" s="6" t="n">
        <s:v>5465</s:v>
      </s:c>
      <s:c r="J523" s="6" t="n">
        <s:f>IF(COUNT(C523:I523)=7,SUM(C523:I523),"")</s:f>
        <s:v>124119</s:v>
      </s:c>
    </s:row>
    <s:row r="524">
      <s:c r="A524" s="5" t="n">
        <s:v>46287</s:v>
      </s:c>
      <s:c r="B524" s="2" t="n">
        <s:v>15</s:v>
      </s:c>
      <s:c r="C524" s="6" t="n">
        <s:v>11362</s:v>
      </s:c>
      <s:c r="D524" s="6" t="n">
        <s:v>29964</s:v>
      </s:c>
      <s:c r="E524" s="6" t="n">
        <s:v>12935</s:v>
      </s:c>
      <s:c r="F524" s="6" t="n">
        <s:v>12803</s:v>
      </s:c>
      <s:c r="G524" s="6" t="n">
        <s:v>26253</s:v>
      </s:c>
      <s:c r="H524" s="6" t="n">
        <s:v>25263</s:v>
      </s:c>
      <s:c r="I524" s="6" t="n">
        <s:v>5196</s:v>
      </s:c>
      <s:c r="J524" s="6" t="n">
        <s:f>IF(COUNT(C524:I524)=7,SUM(C524:I524),"")</s:f>
        <s:v>123776</s:v>
      </s:c>
    </s:row>
    <s:row r="525">
      <s:c r="A525" s="5" t="n">
        <s:v>46287</s:v>
      </s:c>
      <s:c r="B525" s="2" t="n">
        <s:v>16</s:v>
      </s:c>
      <s:c r="C525" s="6" t="n">
        <s:v>11075</s:v>
      </s:c>
      <s:c r="D525" s="6" t="n">
        <s:v>29706</s:v>
      </s:c>
      <s:c r="E525" s="6" t="n">
        <s:v>12574</s:v>
      </s:c>
      <s:c r="F525" s="6" t="n">
        <s:v>12621</s:v>
      </s:c>
      <s:c r="G525" s="6" t="n">
        <s:v>26488</s:v>
      </s:c>
      <s:c r="H525" s="6" t="n">
        <s:v>25168</s:v>
      </s:c>
      <s:c r="I525" s="6" t="n">
        <s:v>5048</s:v>
      </s:c>
      <s:c r="J525" s="6" t="n">
        <s:f>IF(COUNT(C525:I525)=7,SUM(C525:I525),"")</s:f>
        <s:v>122680</s:v>
      </s:c>
    </s:row>
    <s:row r="526">
      <s:c r="A526" s="5" t="n">
        <s:v>46287</s:v>
      </s:c>
      <s:c r="B526" s="2" t="n">
        <s:v>17</s:v>
      </s:c>
      <s:c r="C526" s="6" t="n">
        <s:v>11113</s:v>
      </s:c>
      <s:c r="D526" s="6" t="n">
        <s:v>29816</s:v>
      </s:c>
      <s:c r="E526" s="6" t="n">
        <s:v>12536</s:v>
      </s:c>
      <s:c r="F526" s="6" t="n">
        <s:v>12893</s:v>
      </s:c>
      <s:c r="G526" s="6" t="n">
        <s:v>26876</s:v>
      </s:c>
      <s:c r="H526" s="6" t="n">
        <s:v>25386</s:v>
      </s:c>
      <s:c r="I526" s="6" t="n">
        <s:v>4706</s:v>
      </s:c>
      <s:c r="J526" s="6" t="n">
        <s:f>IF(COUNT(C526:I526)=7,SUM(C526:I526),"")</s:f>
        <s:v>123326</s:v>
      </s:c>
    </s:row>
    <s:row r="527">
      <s:c r="A527" s="5" t="n">
        <s:v>46287</s:v>
      </s:c>
      <s:c r="B527" s="2" t="n">
        <s:v>18</s:v>
      </s:c>
      <s:c r="C527" s="6" t="n">
        <s:v>11262</s:v>
      </s:c>
      <s:c r="D527" s="6" t="n">
        <s:v>31020</s:v>
      </s:c>
      <s:c r="E527" s="6" t="n">
        <s:v>13055</s:v>
      </s:c>
      <s:c r="F527" s="6" t="n">
        <s:v>13126</s:v>
      </s:c>
      <s:c r="G527" s="6" t="n">
        <s:v>26565</s:v>
      </s:c>
      <s:c r="H527" s="6" t="n">
        <s:v>24342</s:v>
      </s:c>
      <s:c r="I527" s="6" t="n">
        <s:v>4637</s:v>
      </s:c>
      <s:c r="J527" s="6" t="n">
        <s:f>IF(COUNT(C527:I527)=7,SUM(C527:I527),"")</s:f>
        <s:v>124007</s:v>
      </s:c>
    </s:row>
    <s:row r="528">
      <s:c r="A528" s="5" t="n">
        <s:v>46287</s:v>
      </s:c>
      <s:c r="B528" s="2" t="n">
        <s:v>19</s:v>
      </s:c>
      <s:c r="C528" s="6" t="n">
        <s:v>11485</s:v>
      </s:c>
      <s:c r="D528" s="6" t="n">
        <s:v>30428</s:v>
      </s:c>
      <s:c r="E528" s="6" t="n">
        <s:v>12811</s:v>
      </s:c>
      <s:c r="F528" s="6" t="n">
        <s:v>12836</s:v>
      </s:c>
      <s:c r="G528" s="6" t="n">
        <s:v>26039</s:v>
      </s:c>
      <s:c r="H528" s="6" t="n">
        <s:v>23565</s:v>
      </s:c>
      <s:c r="I528" s="6" t="n">
        <s:v>4500</s:v>
      </s:c>
      <s:c r="J528" s="6" t="n">
        <s:f>IF(COUNT(C528:I528)=7,SUM(C528:I528),"")</s:f>
        <s:v>121664</s:v>
      </s:c>
    </s:row>
    <s:row r="529">
      <s:c r="A529" s="5" t="n">
        <s:v>46287</s:v>
      </s:c>
      <s:c r="B529" s="2" t="n">
        <s:v>20</s:v>
      </s:c>
      <s:c r="C529" s="6" t="n">
        <s:v>11440</s:v>
      </s:c>
      <s:c r="D529" s="6" t="n">
        <s:v>29648</s:v>
      </s:c>
      <s:c r="E529" s="6" t="n">
        <s:v>12354</s:v>
      </s:c>
      <s:c r="F529" s="6" t="n">
        <s:v>12423</s:v>
      </s:c>
      <s:c r="G529" s="6" t="n">
        <s:v>25194</s:v>
      </s:c>
      <s:c r="H529" s="6" t="n">
        <s:v>23139</s:v>
      </s:c>
      <s:c r="I529" s="6" t="n">
        <s:v>4555</s:v>
      </s:c>
      <s:c r="J529" s="6" t="n">
        <s:f>IF(COUNT(C529:I529)=7,SUM(C529:I529),"")</s:f>
        <s:v>118753</s:v>
      </s:c>
    </s:row>
    <s:row r="530">
      <s:c r="A530" s="5" t="n">
        <s:v>46287</s:v>
      </s:c>
      <s:c r="B530" s="2" t="n">
        <s:v>21</s:v>
      </s:c>
      <s:c r="C530" s="6" t="n">
        <s:v>11182</s:v>
      </s:c>
      <s:c r="D530" s="6" t="n">
        <s:v>28288</s:v>
      </s:c>
      <s:c r="E530" s="6" t="n">
        <s:v>11826</s:v>
      </s:c>
      <s:c r="F530" s="6" t="n">
        <s:v>11812</s:v>
      </s:c>
      <s:c r="G530" s="6" t="n">
        <s:v>24386</s:v>
      </s:c>
      <s:c r="H530" s="6" t="n">
        <s:v>22908</s:v>
      </s:c>
      <s:c r="I530" s="6" t="n">
        <s:v>4563</s:v>
      </s:c>
      <s:c r="J530" s="6" t="n">
        <s:f>IF(COUNT(C530:I530)=7,SUM(C530:I530),"")</s:f>
        <s:v>114965</s:v>
      </s:c>
    </s:row>
    <s:row r="531">
      <s:c r="A531" s="5" t="n">
        <s:v>46287</s:v>
      </s:c>
      <s:c r="B531" s="2" t="n">
        <s:v>22</s:v>
      </s:c>
      <s:c r="C531" s="6" t="n">
        <s:v>10684</s:v>
      </s:c>
      <s:c r="D531" s="6" t="n">
        <s:v>26483</s:v>
      </s:c>
      <s:c r="E531" s="6" t="n">
        <s:v>10943</s:v>
      </s:c>
      <s:c r="F531" s="6" t="n">
        <s:v>11357</s:v>
      </s:c>
      <s:c r="G531" s="6" t="n">
        <s:v>23868</s:v>
      </s:c>
      <s:c r="H531" s="6" t="n">
        <s:v>22838</s:v>
      </s:c>
      <s:c r="I531" s="6" t="n">
        <s:v>4636</s:v>
      </s:c>
      <s:c r="J531" s="6" t="n">
        <s:f>IF(COUNT(C531:I531)=7,SUM(C531:I531),"")</s:f>
        <s:v>110809</s:v>
      </s:c>
    </s:row>
    <s:row r="532">
      <s:c r="A532" s="5" t="n">
        <s:v>46287</s:v>
      </s:c>
      <s:c r="B532" s="2" t="n">
        <s:v>23</s:v>
      </s:c>
      <s:c r="C532" s="6" t="n">
        <s:v>10107</s:v>
      </s:c>
      <s:c r="D532" s="6" t="n">
        <s:v>25048</s:v>
      </s:c>
      <s:c r="E532" s="6" t="n">
        <s:v>10097</s:v>
      </s:c>
      <s:c r="F532" s="6" t="n">
        <s:v>10799</s:v>
      </s:c>
      <s:c r="G532" s="6" t="n">
        <s:v>23438</s:v>
      </s:c>
      <s:c r="H532" s="6" t="n">
        <s:v>22904</s:v>
      </s:c>
      <s:c r="I532" s="6" t="n">
        <s:v>4956</s:v>
      </s:c>
      <s:c r="J532" s="6" t="n">
        <s:f>IF(COUNT(C532:I532)=7,SUM(C532:I532),"")</s:f>
        <s:v>107349</s:v>
      </s:c>
    </s:row>
    <s:row r="533">
      <s:c r="A533" s="5" t="n">
        <s:v>46288</s:v>
      </s:c>
      <s:c r="B533" s="2" t="n">
        <s:v>0</s:v>
      </s:c>
      <s:c r="C533" s="6" t="n">
        <s:v>9668</s:v>
      </s:c>
      <s:c r="D533" s="6" t="n">
        <s:v>24003</s:v>
      </s:c>
      <s:c r="E533" s="6" t="n">
        <s:v>9651</s:v>
      </s:c>
      <s:c r="F533" s="6" t="n">
        <s:v>10301</s:v>
      </s:c>
      <s:c r="G533" s="6" t="n">
        <s:v>23367</s:v>
      </s:c>
      <s:c r="H533" s="6" t="n">
        <s:v>23016</s:v>
      </s:c>
      <s:c r="I533" s="6" t="n">
        <s:v>5074</s:v>
      </s:c>
      <s:c r="J533" s="6" t="n">
        <s:f>IF(COUNT(C533:I533)=7,SUM(C533:I533),"")</s:f>
        <s:v>105080</s:v>
      </s:c>
    </s:row>
    <s:row r="534">
      <s:c r="A534" s="5" t="n">
        <s:v>46288</s:v>
      </s:c>
      <s:c r="B534" s="2" t="n">
        <s:v>1</s:v>
      </s:c>
      <s:c r="C534" s="6" t="n">
        <s:v>9438</s:v>
      </s:c>
      <s:c r="D534" s="6" t="n">
        <s:v>23234</s:v>
      </s:c>
      <s:c r="E534" s="6" t="n">
        <s:v>9272</s:v>
      </s:c>
      <s:c r="F534" s="6" t="n">
        <s:v>10236</s:v>
      </s:c>
      <s:c r="G534" s="6" t="n">
        <s:v>23245</s:v>
      </s:c>
      <s:c r="H534" s="6" t="n">
        <s:v>23553</s:v>
      </s:c>
      <s:c r="I534" s="6" t="n">
        <s:v>5215</s:v>
      </s:c>
      <s:c r="J534" s="6" t="n">
        <s:f>IF(COUNT(C534:I534)=7,SUM(C534:I534),"")</s:f>
        <s:v>104193</s:v>
      </s:c>
    </s:row>
    <s:row r="535">
      <s:c r="A535" s="5" t="n">
        <s:v>46288</s:v>
      </s:c>
      <s:c r="B535" s="2" t="n">
        <s:v>2</s:v>
      </s:c>
      <s:c r="C535" s="6" t="n">
        <s:v>9250</s:v>
      </s:c>
      <s:c r="D535" s="6" t="n">
        <s:v>23115</s:v>
      </s:c>
      <s:c r="E535" s="6" t="n">
        <s:v>9309</s:v>
      </s:c>
      <s:c r="F535" s="6" t="n">
        <s:v>10361</s:v>
      </s:c>
      <s:c r="G535" s="6" t="n">
        <s:v>23487</s:v>
      </s:c>
      <s:c r="H535" s="6" t="n">
        <s:v>24294</s:v>
      </s:c>
      <s:c r="I535" s="6" t="n">
        <s:v>5227</s:v>
      </s:c>
      <s:c r="J535" s="6" t="n">
        <s:f>IF(COUNT(C535:I535)=7,SUM(C535:I535),"")</s:f>
        <s:v>105043</s:v>
      </s:c>
    </s:row>
    <s:row r="536">
      <s:c r="A536" s="5" t="n">
        <s:v>46288</s:v>
      </s:c>
      <s:c r="B536" s="2" t="n">
        <s:v>3</s:v>
      </s:c>
      <s:c r="C536" s="6" t="n">
        <s:v>9239</s:v>
      </s:c>
      <s:c r="D536" s="6" t="n">
        <s:v>23087</s:v>
      </s:c>
      <s:c r="E536" s="6" t="n">
        <s:v>9279</s:v>
      </s:c>
      <s:c r="F536" s="6" t="n">
        <s:v>10374</s:v>
      </s:c>
      <s:c r="G536" s="6" t="n">
        <s:v>23631</s:v>
      </s:c>
      <s:c r="H536" s="6" t="n">
        <s:v>24451</s:v>
      </s:c>
      <s:c r="I536" s="6" t="n">
        <s:v>5187</s:v>
      </s:c>
      <s:c r="J536" s="6" t="n">
        <s:f>IF(COUNT(C536:I536)=7,SUM(C536:I536),"")</s:f>
        <s:v>105248</s:v>
      </s:c>
    </s:row>
    <s:row r="537">
      <s:c r="A537" s="5" t="n">
        <s:v>46288</s:v>
      </s:c>
      <s:c r="B537" s="2" t="n">
        <s:v>4</s:v>
      </s:c>
      <s:c r="C537" s="6" t="n">
        <s:v>9295</s:v>
      </s:c>
      <s:c r="D537" s="6" t="n">
        <s:v>23447</s:v>
      </s:c>
      <s:c r="E537" s="6" t="n">
        <s:v>9440</s:v>
      </s:c>
      <s:c r="F537" s="6" t="n">
        <s:v>10758</s:v>
      </s:c>
      <s:c r="G537" s="6" t="n">
        <s:v>24585</s:v>
      </s:c>
      <s:c r="H537" s="6" t="n">
        <s:v>24863</s:v>
      </s:c>
      <s:c r="I537" s="6" t="n">
        <s:v>5057</s:v>
      </s:c>
      <s:c r="J537" s="6" t="n">
        <s:f>IF(COUNT(C537:I537)=7,SUM(C537:I537),"")</s:f>
        <s:v>107445</s:v>
      </s:c>
    </s:row>
    <s:row r="538">
      <s:c r="A538" s="5" t="n">
        <s:v>46288</s:v>
      </s:c>
      <s:c r="B538" s="2" t="n">
        <s:v>5</s:v>
      </s:c>
      <s:c r="C538" s="6" t="n">
        <s:v>9606</s:v>
      </s:c>
      <s:c r="D538" s="6" t="n">
        <s:v>24660</s:v>
      </s:c>
      <s:c r="E538" s="6" t="n">
        <s:v>9800</s:v>
      </s:c>
      <s:c r="F538" s="6" t="n">
        <s:v>11345</s:v>
      </s:c>
      <s:c r="G538" s="6" t="n">
        <s:v>25296</s:v>
      </s:c>
      <s:c r="H538" s="6" t="n">
        <s:v>25002</s:v>
      </s:c>
      <s:c r="I538" s="6" t="n">
        <s:v>4986</s:v>
      </s:c>
      <s:c r="J538" s="6" t="n">
        <s:f>IF(COUNT(C538:I538)=7,SUM(C538:I538),"")</s:f>
        <s:v>110695</s:v>
      </s:c>
    </s:row>
    <s:row r="539">
      <s:c r="A539" s="5" t="n">
        <s:v>46288</s:v>
      </s:c>
      <s:c r="B539" s="2" t="n">
        <s:v>6</s:v>
      </s:c>
      <s:c r="C539" s="6" t="n">
        <s:v>9929</s:v>
      </s:c>
      <s:c r="D539" s="6" t="n">
        <s:v>26070</s:v>
      </s:c>
      <s:c r="E539" s="6" t="n">
        <s:v>10476</s:v>
      </s:c>
      <s:c r="F539" s="6" t="n">
        <s:v>11838</s:v>
      </s:c>
      <s:c r="G539" s="6" t="n">
        <s:v>26255</s:v>
      </s:c>
      <s:c r="H539" s="6" t="n">
        <s:v>24781</s:v>
      </s:c>
      <s:c r="I539" s="6" t="n">
        <s:v>5198</s:v>
      </s:c>
      <s:c r="J539" s="6" t="n">
        <s:f>IF(COUNT(C539:I539)=7,SUM(C539:I539),"")</s:f>
        <s:v>114547</s:v>
      </s:c>
    </s:row>
    <s:row r="540">
      <s:c r="A540" s="5" t="n">
        <s:v>46288</s:v>
      </s:c>
      <s:c r="B540" s="2" t="n">
        <s:v>7</s:v>
      </s:c>
      <s:c r="C540" s="6" t="n">
        <s:v>10423</s:v>
      </s:c>
      <s:c r="D540" s="6" t="n">
        <s:v>27741</s:v>
      </s:c>
      <s:c r="E540" s="6" t="n">
        <s:v>11368</s:v>
      </s:c>
      <s:c r="F540" s="6" t="n">
        <s:v>12780</s:v>
      </s:c>
      <s:c r="G540" s="6" t="n">
        <s:v>26433</s:v>
      </s:c>
      <s:c r="H540" s="6" t="n">
        <s:v>24757</s:v>
      </s:c>
      <s:c r="I540" s="6" t="n">
        <s:v>5174</s:v>
      </s:c>
      <s:c r="J540" s="6" t="n">
        <s:f>IF(COUNT(C540:I540)=7,SUM(C540:I540),"")</s:f>
        <s:v>118676</s:v>
      </s:c>
    </s:row>
    <s:row r="541">
      <s:c r="A541" s="5" t="n">
        <s:v>46288</s:v>
      </s:c>
      <s:c r="B541" s="2" t="n">
        <s:v>8</s:v>
      </s:c>
      <s:c r="C541" s="6" t="n">
        <s:v>11094</s:v>
      </s:c>
      <s:c r="D541" s="6" t="n">
        <s:v>29793</s:v>
      </s:c>
      <s:c r="E541" s="6" t="n">
        <s:v>12049</s:v>
      </s:c>
      <s:c r="F541" s="6" t="n">
        <s:v>13162</s:v>
      </s:c>
      <s:c r="G541" s="6" t="n">
        <s:v>26661</s:v>
      </s:c>
      <s:c r="H541" s="6" t="n">
        <s:v>24981</s:v>
      </s:c>
      <s:c r="I541" s="6" t="n">
        <s:v>5100</s:v>
      </s:c>
      <s:c r="J541" s="6" t="n">
        <s:f>IF(COUNT(C541:I541)=7,SUM(C541:I541),"")</s:f>
        <s:v>122840</s:v>
      </s:c>
    </s:row>
    <s:row r="542">
      <s:c r="A542" s="5" t="n">
        <s:v>46288</s:v>
      </s:c>
      <s:c r="B542" s="2" t="n">
        <s:v>9</s:v>
      </s:c>
      <s:c r="C542" s="6" t="n">
        <s:v>11460</s:v>
      </s:c>
      <s:c r="D542" s="6" t="n">
        <s:v>30229</s:v>
      </s:c>
      <s:c r="E542" s="6" t="n">
        <s:v>12453</s:v>
      </s:c>
      <s:c r="F542" s="6" t="n">
        <s:v>13331</s:v>
      </s:c>
      <s:c r="G542" s="6" t="n">
        <s:v>26454</s:v>
      </s:c>
      <s:c r="H542" s="6" t="n">
        <s:v>25039</s:v>
      </s:c>
      <s:c r="I542" s="6" t="n">
        <s:v>5143</s:v>
      </s:c>
      <s:c r="J542" s="6" t="n">
        <s:f>IF(COUNT(C542:I542)=7,SUM(C542:I542),"")</s:f>
        <s:v>124109</s:v>
      </s:c>
    </s:row>
    <s:row r="543">
      <s:c r="A543" s="5" t="n">
        <s:v>46288</s:v>
      </s:c>
      <s:c r="B543" s="2" t="n">
        <s:v>10</s:v>
      </s:c>
      <s:c r="C543" s="6" t="n">
        <s:v>11498</s:v>
      </s:c>
      <s:c r="D543" s="6" t="n">
        <s:v>30257</s:v>
      </s:c>
      <s:c r="E543" s="6" t="n">
        <s:v>12611</s:v>
      </s:c>
      <s:c r="F543" s="6" t="n">
        <s:v>13167</s:v>
      </s:c>
      <s:c r="G543" s="6" t="n">
        <s:v>26368</s:v>
      </s:c>
      <s:c r="H543" s="6" t="n">
        <s:v>24970</s:v>
      </s:c>
      <s:c r="I543" s="6" t="n">
        <s:v>5145</s:v>
      </s:c>
      <s:c r="J543" s="6" t="n">
        <s:f>IF(COUNT(C543:I543)=7,SUM(C543:I543),"")</s:f>
        <s:v>124016</s:v>
      </s:c>
    </s:row>
    <s:row r="544">
      <s:c r="A544" s="5" t="n">
        <s:v>46288</s:v>
      </s:c>
      <s:c r="B544" s="2" t="n">
        <s:v>11</s:v>
      </s:c>
      <s:c r="C544" s="6" t="n">
        <s:v>11372</s:v>
      </s:c>
      <s:c r="D544" s="6" t="n">
        <s:v>30100</s:v>
      </s:c>
      <s:c r="E544" s="6" t="n">
        <s:v>12578</s:v>
      </s:c>
      <s:c r="F544" s="6" t="n">
        <s:v>13025</s:v>
      </s:c>
      <s:c r="G544" s="6" t="n">
        <s:v>26287</s:v>
      </s:c>
      <s:c r="H544" s="6" t="n">
        <s:v>24543</s:v>
      </s:c>
      <s:c r="I544" s="6" t="n">
        <s:v>5307</s:v>
      </s:c>
      <s:c r="J544" s="6" t="n">
        <s:f>IF(COUNT(C544:I544)=7,SUM(C544:I544),"")</s:f>
        <s:v>123212</s:v>
      </s:c>
    </s:row>
    <s:row r="545">
      <s:c r="A545" s="5" t="n">
        <s:v>46288</s:v>
      </s:c>
      <s:c r="B545" s="2" t="n">
        <s:v>12</s:v>
      </s:c>
      <s:c r="C545" s="6" t="n">
        <s:v>11278</s:v>
      </s:c>
      <s:c r="D545" s="6" t="n">
        <s:v>30022</s:v>
      </s:c>
      <s:c r="E545" s="6" t="n">
        <s:v>12664</s:v>
      </s:c>
      <s:c r="F545" s="6" t="n">
        <s:v>13073</s:v>
      </s:c>
      <s:c r="G545" s="6" t="n">
        <s:v>26252</s:v>
      </s:c>
      <s:c r="H545" s="6" t="n">
        <s:v>24436</s:v>
      </s:c>
      <s:c r="I545" s="6" t="n">
        <s:v>5345</s:v>
      </s:c>
      <s:c r="J545" s="6" t="n">
        <s:f>IF(COUNT(C545:I545)=7,SUM(C545:I545),"")</s:f>
        <s:v>123070</s:v>
      </s:c>
    </s:row>
    <s:row r="546">
      <s:c r="A546" s="5" t="n">
        <s:v>46288</s:v>
      </s:c>
      <s:c r="B546" s="2" t="n">
        <s:v>13</s:v>
      </s:c>
      <s:c r="C546" s="6" t="n">
        <s:v>11340</s:v>
      </s:c>
      <s:c r="D546" s="6" t="n">
        <s:v>30156</s:v>
      </s:c>
      <s:c r="E546" s="6" t="n">
        <s:v>12926</s:v>
      </s:c>
      <s:c r="F546" s="6" t="n">
        <s:v>12996</s:v>
      </s:c>
      <s:c r="G546" s="6" t="n">
        <s:v>26197</s:v>
      </s:c>
      <s:c r="H546" s="6" t="n">
        <s:v>24739</s:v>
      </s:c>
      <s:c r="I546" s="6" t="n">
        <s:v>5482</s:v>
      </s:c>
      <s:c r="J546" s="6" t="n">
        <s:f>IF(COUNT(C546:I546)=7,SUM(C546:I546),"")</s:f>
        <s:v>123836</s:v>
      </s:c>
    </s:row>
    <s:row r="547">
      <s:c r="A547" s="5" t="n">
        <s:v>46288</s:v>
      </s:c>
      <s:c r="B547" s="2" t="n">
        <s:v>14</s:v>
      </s:c>
      <s:c r="C547" s="6" t="n">
        <s:v>11231</s:v>
      </s:c>
      <s:c r="D547" s="6" t="n">
        <s:v>30039</s:v>
      </s:c>
      <s:c r="E547" s="6" t="n">
        <s:v>12841</s:v>
      </s:c>
      <s:c r="F547" s="6" t="n">
        <s:v>13002</s:v>
      </s:c>
      <s:c r="G547" s="6" t="n">
        <s:v>26117</s:v>
      </s:c>
      <s:c r="H547" s="6" t="n">
        <s:v>25003</s:v>
      </s:c>
      <s:c r="I547" s="6" t="n">
        <s:v>5306</s:v>
      </s:c>
      <s:c r="J547" s="6" t="n">
        <s:f>IF(COUNT(C547:I547)=7,SUM(C547:I547),"")</s:f>
        <s:v>123539</s:v>
      </s:c>
    </s:row>
    <s:row r="548">
      <s:c r="A548" s="5" t="n">
        <s:v>46288</s:v>
      </s:c>
      <s:c r="B548" s="2" t="n">
        <s:v>15</s:v>
      </s:c>
      <s:c r="C548" s="6" t="n">
        <s:v>11294</s:v>
      </s:c>
      <s:c r="D548" s="6" t="n">
        <s:v>29979</s:v>
      </s:c>
      <s:c r="E548" s="6" t="n">
        <s:v>12892</s:v>
      </s:c>
      <s:c r="F548" s="6" t="n">
        <s:v>12623</s:v>
      </s:c>
      <s:c r="G548" s="6" t="n">
        <s:v>26208</s:v>
      </s:c>
      <s:c r="H548" s="6" t="n">
        <s:v>25187</s:v>
      </s:c>
      <s:c r="I548" s="6" t="n">
        <s:v>5140</s:v>
      </s:c>
      <s:c r="J548" s="6" t="n">
        <s:f>IF(COUNT(C548:I548)=7,SUM(C548:I548),"")</s:f>
        <s:v>123323</s:v>
      </s:c>
    </s:row>
    <s:row r="549">
      <s:c r="A549" s="5" t="n">
        <s:v>46288</s:v>
      </s:c>
      <s:c r="B549" s="2" t="n">
        <s:v>16</s:v>
      </s:c>
      <s:c r="C549" s="6" t="n">
        <s:v>11075</s:v>
      </s:c>
      <s:c r="D549" s="6" t="n">
        <s:v>29654</s:v>
      </s:c>
      <s:c r="E549" s="6" t="n">
        <s:v>12672</s:v>
      </s:c>
      <s:c r="F549" s="6" t="n">
        <s:v>12455</s:v>
      </s:c>
      <s:c r="G549" s="6" t="n">
        <s:v>26451</s:v>
      </s:c>
      <s:c r="H549" s="6" t="n">
        <s:v>25268</s:v>
      </s:c>
      <s:c r="I549" s="6" t="n">
        <s:v>4966</s:v>
      </s:c>
      <s:c r="J549" s="6" t="n">
        <s:f>IF(COUNT(C549:I549)=7,SUM(C549:I549),"")</s:f>
        <s:v>122541</s:v>
      </s:c>
    </s:row>
    <s:row r="550">
      <s:c r="A550" s="5" t="n">
        <s:v>46288</s:v>
      </s:c>
      <s:c r="B550" s="2" t="n">
        <s:v>17</s:v>
      </s:c>
      <s:c r="C550" s="6" t="n">
        <s:v>11064</s:v>
      </s:c>
      <s:c r="D550" s="6" t="n">
        <s:v>29846</s:v>
      </s:c>
      <s:c r="E550" s="6" t="n">
        <s:v>12687</s:v>
      </s:c>
      <s:c r="F550" s="6" t="n">
        <s:v>12723</s:v>
      </s:c>
      <s:c r="G550" s="6" t="n">
        <s:v>26634</s:v>
      </s:c>
      <s:c r="H550" s="6" t="n">
        <s:v>25115</s:v>
      </s:c>
      <s:c r="I550" s="6" t="n">
        <s:v>4722</s:v>
      </s:c>
      <s:c r="J550" s="6" t="n">
        <s:f>IF(COUNT(C550:I550)=7,SUM(C550:I550),"")</s:f>
        <s:v>122791</s:v>
      </s:c>
    </s:row>
    <s:row r="551">
      <s:c r="A551" s="5" t="n">
        <s:v>46288</s:v>
      </s:c>
      <s:c r="B551" s="2" t="n">
        <s:v>18</s:v>
      </s:c>
      <s:c r="C551" s="6" t="n">
        <s:v>11254</s:v>
      </s:c>
      <s:c r="D551" s="6" t="n">
        <s:v>30870</s:v>
      </s:c>
      <s:c r="E551" s="6" t="n">
        <s:v>12920</s:v>
      </s:c>
      <s:c r="F551" s="6" t="n">
        <s:v>12904</s:v>
      </s:c>
      <s:c r="G551" s="6" t="n">
        <s:v>26644</s:v>
      </s:c>
      <s:c r="H551" s="6" t="n">
        <s:v>24286</s:v>
      </s:c>
      <s:c r="I551" s="6" t="n">
        <s:v>4573</s:v>
      </s:c>
      <s:c r="J551" s="6" t="n">
        <s:f>IF(COUNT(C551:I551)=7,SUM(C551:I551),"")</s:f>
        <s:v>123451</s:v>
      </s:c>
    </s:row>
    <s:row r="552">
      <s:c r="A552" s="5" t="n">
        <s:v>46288</s:v>
      </s:c>
      <s:c r="B552" s="2" t="n">
        <s:v>19</s:v>
      </s:c>
      <s:c r="C552" s="6" t="n">
        <s:v>11362</s:v>
      </s:c>
      <s:c r="D552" s="6" t="n">
        <s:v>30306</s:v>
      </s:c>
      <s:c r="E552" s="6" t="n">
        <s:v>12685</s:v>
      </s:c>
      <s:c r="F552" s="6" t="n">
        <s:v>12586</s:v>
      </s:c>
      <s:c r="G552" s="6" t="n">
        <s:v>26042</s:v>
      </s:c>
      <s:c r="H552" s="6" t="n">
        <s:v>23543</s:v>
      </s:c>
      <s:c r="I552" s="6" t="n">
        <s:v>4591</s:v>
      </s:c>
      <s:c r="J552" s="6" t="n">
        <s:f>IF(COUNT(C552:I552)=7,SUM(C552:I552),"")</s:f>
        <s:v>121115</s:v>
      </s:c>
    </s:row>
    <s:row r="553">
      <s:c r="A553" s="5" t="n">
        <s:v>46288</s:v>
      </s:c>
      <s:c r="B553" s="2" t="n">
        <s:v>20</s:v>
      </s:c>
      <s:c r="C553" s="6" t="n">
        <s:v>11308</s:v>
      </s:c>
      <s:c r="D553" s="6" t="n">
        <s:v>29484</s:v>
      </s:c>
      <s:c r="E553" s="6" t="n">
        <s:v>12396</s:v>
      </s:c>
      <s:c r="F553" s="6" t="n">
        <s:v>12178</s:v>
      </s:c>
      <s:c r="G553" s="6" t="n">
        <s:v>25159</s:v>
      </s:c>
      <s:c r="H553" s="6" t="n">
        <s:v>23274</s:v>
      </s:c>
      <s:c r="I553" s="6" t="n">
        <s:v>4585</s:v>
      </s:c>
      <s:c r="J553" s="6" t="n">
        <s:f>IF(COUNT(C553:I553)=7,SUM(C553:I553),"")</s:f>
        <s:v>118384</s:v>
      </s:c>
    </s:row>
    <s:row r="554">
      <s:c r="A554" s="5" t="n">
        <s:v>46288</s:v>
      </s:c>
      <s:c r="B554" s="2" t="n">
        <s:v>21</s:v>
      </s:c>
      <s:c r="C554" s="6" t="n">
        <s:v>11183</s:v>
      </s:c>
      <s:c r="D554" s="6" t="n">
        <s:v>28331</s:v>
      </s:c>
      <s:c r="E554" s="6" t="n">
        <s:v>11853</s:v>
      </s:c>
      <s:c r="F554" s="6" t="n">
        <s:v>11770</s:v>
      </s:c>
      <s:c r="G554" s="6" t="n">
        <s:v>24243</s:v>
      </s:c>
      <s:c r="H554" s="6" t="n">
        <s:v>23224</s:v>
      </s:c>
      <s:c r="I554" s="6" t="n">
        <s:v>4570</s:v>
      </s:c>
      <s:c r="J554" s="6" t="n">
        <s:f>IF(COUNT(C554:I554)=7,SUM(C554:I554),"")</s:f>
        <s:v>115174</s:v>
      </s:c>
    </s:row>
    <s:row r="555">
      <s:c r="A555" s="5" t="n">
        <s:v>46288</s:v>
      </s:c>
      <s:c r="B555" s="2" t="n">
        <s:v>22</s:v>
      </s:c>
      <s:c r="C555" s="6" t="n">
        <s:v>10535</s:v>
      </s:c>
      <s:c r="D555" s="6" t="n">
        <s:v>26645</s:v>
      </s:c>
      <s:c r="E555" s="6" t="n">
        <s:v>10621</s:v>
      </s:c>
      <s:c r="F555" s="6" t="n">
        <s:v>11071</s:v>
      </s:c>
      <s:c r="G555" s="6" t="n">
        <s:v>23689</s:v>
      </s:c>
      <s:c r="H555" s="6" t="n">
        <s:v>23244</s:v>
      </s:c>
      <s:c r="I555" s="6" t="n">
        <s:v>4764</s:v>
      </s:c>
      <s:c r="J555" s="6" t="n">
        <s:f>IF(COUNT(C555:I555)=7,SUM(C555:I555),"")</s:f>
        <s:v>110569</s:v>
      </s:c>
    </s:row>
    <s:row r="556">
      <s:c r="A556" s="5" t="n">
        <s:v>46288</s:v>
      </s:c>
      <s:c r="B556" s="2" t="n">
        <s:v>23</s:v>
      </s:c>
      <s:c r="C556" s="6" t="n">
        <s:v>10036</s:v>
      </s:c>
      <s:c r="D556" s="6" t="n">
        <s:v>25090</s:v>
      </s:c>
      <s:c r="E556" s="6" t="n">
        <s:v>10265</s:v>
      </s:c>
      <s:c r="F556" s="6" t="n">
        <s:v>10773</s:v>
      </s:c>
      <s:c r="G556" s="6" t="n">
        <s:v>23395</s:v>
      </s:c>
      <s:c r="H556" s="6" t="n">
        <s:v>22669</s:v>
      </s:c>
      <s:c r="I556" s="6" t="n">
        <s:v>4976</s:v>
      </s:c>
      <s:c r="J556" s="6" t="n">
        <s:f>IF(COUNT(C556:I556)=7,SUM(C556:I556),"")</s:f>
        <s:v>107204</s:v>
      </s:c>
    </s:row>
    <s:row r="557">
      <s:c r="A557" s="5" t="n">
        <s:v>46289</s:v>
      </s:c>
      <s:c r="B557" s="2" t="n">
        <s:v>0</s:v>
      </s:c>
      <s:c r="C557" s="6" t="n">
        <s:v>9566</s:v>
      </s:c>
      <s:c r="D557" s="6" t="n">
        <s:v>23935</s:v>
      </s:c>
      <s:c r="E557" s="6" t="n">
        <s:v>9718</s:v>
      </s:c>
      <s:c r="F557" s="6" t="n">
        <s:v>10519</s:v>
      </s:c>
      <s:c r="G557" s="6" t="n">
        <s:v>23370</s:v>
      </s:c>
      <s:c r="H557" s="6" t="n">
        <s:v>22818</s:v>
      </s:c>
      <s:c r="I557" s="6" t="n">
        <s:v>5114</s:v>
      </s:c>
      <s:c r="J557" s="6" t="n">
        <s:f>IF(COUNT(C557:I557)=7,SUM(C557:I557),"")</s:f>
        <s:v>105040</s:v>
      </s:c>
    </s:row>
    <s:row r="558">
      <s:c r="A558" s="5" t="n">
        <s:v>46289</s:v>
      </s:c>
      <s:c r="B558" s="2" t="n">
        <s:v>1</s:v>
      </s:c>
      <s:c r="C558" s="6" t="n">
        <s:v>9304</s:v>
      </s:c>
      <s:c r="D558" s="6" t="n">
        <s:v>23399</s:v>
      </s:c>
      <s:c r="E558" s="6" t="n">
        <s:v>9322</s:v>
      </s:c>
      <s:c r="F558" s="6" t="n">
        <s:v>10189</s:v>
      </s:c>
      <s:c r="G558" s="6" t="n">
        <s:v>22939</s:v>
      </s:c>
      <s:c r="H558" s="6" t="n">
        <s:v>23505</s:v>
      </s:c>
      <s:c r="I558" s="6" t="n">
        <s:v>5213</s:v>
      </s:c>
      <s:c r="J558" s="6" t="n">
        <s:f>IF(COUNT(C558:I558)=7,SUM(C558:I558),"")</s:f>
        <s:v>103871</s:v>
      </s:c>
    </s:row>
    <s:row r="559">
      <s:c r="A559" s="5" t="n">
        <s:v>46289</s:v>
      </s:c>
      <s:c r="B559" s="2" t="n">
        <s:v>2</s:v>
      </s:c>
      <s:c r="C559" s="6" t="n">
        <s:v>9159</s:v>
      </s:c>
      <s:c r="D559" s="6" t="n">
        <s:v>23051</s:v>
      </s:c>
      <s:c r="E559" s="6" t="n">
        <s:v>9245</s:v>
      </s:c>
      <s:c r="F559" s="6" t="n">
        <s:v>10183</s:v>
      </s:c>
      <s:c r="G559" s="6" t="n">
        <s:v>23311</s:v>
      </s:c>
      <s:c r="H559" s="6" t="n">
        <s:v>24467</s:v>
      </s:c>
      <s:c r="I559" s="6" t="n">
        <s:v>5367</s:v>
      </s:c>
      <s:c r="J559" s="6" t="n">
        <s:f>IF(COUNT(C559:I559)=7,SUM(C559:I559),"")</s:f>
        <s:v>104783</s:v>
      </s:c>
    </s:row>
    <s:row r="560">
      <s:c r="A560" s="5" t="n">
        <s:v>46289</s:v>
      </s:c>
      <s:c r="B560" s="2" t="n">
        <s:v>3</s:v>
      </s:c>
      <s:c r="C560" s="6" t="n">
        <s:v>9199</s:v>
      </s:c>
      <s:c r="D560" s="6" t="n">
        <s:v>23127</s:v>
      </s:c>
      <s:c r="E560" s="6" t="n">
        <s:v>8983</s:v>
      </s:c>
      <s:c r="F560" s="6" t="n">
        <s:v>10284</s:v>
      </s:c>
      <s:c r="G560" s="6" t="n">
        <s:v>23600</s:v>
      </s:c>
      <s:c r="H560" s="6" t="n">
        <s:v>24612</s:v>
      </s:c>
      <s:c r="I560" s="6" t="n">
        <s:v>5216</s:v>
      </s:c>
      <s:c r="J560" s="6" t="n">
        <s:f>IF(COUNT(C560:I560)=7,SUM(C560:I560),"")</s:f>
        <s:v>105021</s:v>
      </s:c>
    </s:row>
    <s:row r="561">
      <s:c r="A561" s="5" t="n">
        <s:v>46289</s:v>
      </s:c>
      <s:c r="B561" s="2" t="n">
        <s:v>4</s:v>
      </s:c>
      <s:c r="C561" s="6" t="n">
        <s:v>9247</s:v>
      </s:c>
      <s:c r="D561" s="6" t="n">
        <s:v>23341</s:v>
      </s:c>
      <s:c r="E561" s="6" t="n">
        <s:v>9196</s:v>
      </s:c>
      <s:c r="F561" s="6" t="n">
        <s:v>10800</s:v>
      </s:c>
      <s:c r="G561" s="6" t="n">
        <s:v>24496</s:v>
      </s:c>
      <s:c r="H561" s="6" t="n">
        <s:v>25004</s:v>
      </s:c>
      <s:c r="I561" s="6" t="n">
        <s:v>5226</s:v>
      </s:c>
      <s:c r="J561" s="6" t="n">
        <s:f>IF(COUNT(C561:I561)=7,SUM(C561:I561),"")</s:f>
        <s:v>107310</s:v>
      </s:c>
    </s:row>
    <s:row r="562">
      <s:c r="A562" s="5" t="n">
        <s:v>46289</s:v>
      </s:c>
      <s:c r="B562" s="2" t="n">
        <s:v>5</s:v>
      </s:c>
      <s:c r="C562" s="6" t="n">
        <s:v>9574</s:v>
      </s:c>
      <s:c r="D562" s="6" t="n">
        <s:v>24463</s:v>
      </s:c>
      <s:c r="E562" s="6" t="n">
        <s:v>9592</s:v>
      </s:c>
      <s:c r="F562" s="6" t="n">
        <s:v>11039</s:v>
      </s:c>
      <s:c r="G562" s="6" t="n">
        <s:v>25580</s:v>
      </s:c>
      <s:c r="H562" s="6" t="n">
        <s:v>25100</s:v>
      </s:c>
      <s:c r="I562" s="6" t="n">
        <s:v>5232</s:v>
      </s:c>
      <s:c r="J562" s="6" t="n">
        <s:f>IF(COUNT(C562:I562)=7,SUM(C562:I562),"")</s:f>
        <s:v>110580</s:v>
      </s:c>
    </s:row>
    <s:row r="563">
      <s:c r="A563" s="5" t="n">
        <s:v>46289</s:v>
      </s:c>
      <s:c r="B563" s="2" t="n">
        <s:v>6</s:v>
      </s:c>
      <s:c r="C563" s="6" t="n">
        <s:v>9877</s:v>
      </s:c>
      <s:c r="D563" s="6" t="n">
        <s:v>25956</s:v>
      </s:c>
      <s:c r="E563" s="6" t="n">
        <s:v>10251</s:v>
      </s:c>
      <s:c r="F563" s="6" t="n">
        <s:v>12050</s:v>
      </s:c>
      <s:c r="G563" s="6" t="n">
        <s:v>26146</s:v>
      </s:c>
      <s:c r="H563" s="6" t="n">
        <s:v>24890</s:v>
      </s:c>
      <s:c r="I563" s="6" t="n">
        <s:v>5170</s:v>
      </s:c>
      <s:c r="J563" s="6" t="n">
        <s:f>IF(COUNT(C563:I563)=7,SUM(C563:I563),"")</s:f>
        <s:v>114340</s:v>
      </s:c>
    </s:row>
    <s:row r="564">
      <s:c r="A564" s="5" t="n">
        <s:v>46289</s:v>
      </s:c>
      <s:c r="B564" s="2" t="n">
        <s:v>7</s:v>
      </s:c>
      <s:c r="C564" s="6" t="n">
        <s:v>10445</s:v>
      </s:c>
      <s:c r="D564" s="6" t="n">
        <s:v>27581</s:v>
      </s:c>
      <s:c r="E564" s="6" t="n">
        <s:v>11201</s:v>
      </s:c>
      <s:c r="F564" s="6" t="n">
        <s:v>13080</s:v>
      </s:c>
      <s:c r="G564" s="6" t="n">
        <s:v>26665</s:v>
      </s:c>
      <s:c r="H564" s="6" t="n">
        <s:v>24691</s:v>
      </s:c>
      <s:c r="I564" s="6" t="n">
        <s:v>5192</s:v>
      </s:c>
      <s:c r="J564" s="6" t="n">
        <s:f>IF(COUNT(C564:I564)=7,SUM(C564:I564),"")</s:f>
        <s:v>118855</s:v>
      </s:c>
    </s:row>
    <s:row r="565">
      <s:c r="A565" s="5" t="n">
        <s:v>46289</s:v>
      </s:c>
      <s:c r="B565" s="2" t="n">
        <s:v>8</s:v>
      </s:c>
      <s:c r="C565" s="6" t="n">
        <s:v>11006</s:v>
      </s:c>
      <s:c r="D565" s="6" t="n">
        <s:v>29345</s:v>
      </s:c>
      <s:c r="E565" s="6" t="n">
        <s:v>11904</s:v>
      </s:c>
      <s:c r="F565" s="6" t="n">
        <s:v>13141</s:v>
      </s:c>
      <s:c r="G565" s="6" t="n">
        <s:v>26826</s:v>
      </s:c>
      <s:c r="H565" s="6" t="n">
        <s:v>25028</s:v>
      </s:c>
      <s:c r="I565" s="6" t="n">
        <s:v>5118</s:v>
      </s:c>
      <s:c r="J565" s="6" t="n">
        <s:f>IF(COUNT(C565:I565)=7,SUM(C565:I565),"")</s:f>
        <s:v>122368</s:v>
      </s:c>
    </s:row>
    <s:row r="566">
      <s:c r="A566" s="5" t="n">
        <s:v>46289</s:v>
      </s:c>
      <s:c r="B566" s="2" t="n">
        <s:v>9</s:v>
      </s:c>
      <s:c r="C566" s="6" t="n">
        <s:v>11418</s:v>
      </s:c>
      <s:c r="D566" s="6" t="n">
        <s:v>29963</s:v>
      </s:c>
      <s:c r="E566" s="6" t="n">
        <s:v>12077</s:v>
      </s:c>
      <s:c r="F566" s="6" t="n">
        <s:v>13360</s:v>
      </s:c>
      <s:c r="G566" s="6" t="n">
        <s:v>26549</s:v>
      </s:c>
      <s:c r="H566" s="6" t="n">
        <s:v>25158</s:v>
      </s:c>
      <s:c r="I566" s="6" t="n">
        <s:v>5112</s:v>
      </s:c>
      <s:c r="J566" s="6" t="n">
        <s:f>IF(COUNT(C566:I566)=7,SUM(C566:I566),"")</s:f>
        <s:v>123637</s:v>
      </s:c>
    </s:row>
    <s:row r="567">
      <s:c r="A567" s="5" t="n">
        <s:v>46289</s:v>
      </s:c>
      <s:c r="B567" s="2" t="n">
        <s:v>10</s:v>
      </s:c>
      <s:c r="C567" s="6" t="n">
        <s:v>11460</s:v>
      </s:c>
      <s:c r="D567" s="6" t="n">
        <s:v>30082</s:v>
      </s:c>
      <s:c r="E567" s="6" t="n">
        <s:v>12163</s:v>
      </s:c>
      <s:c r="F567" s="6" t="n">
        <s:v>13112</s:v>
      </s:c>
      <s:c r="G567" s="6" t="n">
        <s:v>26270</s:v>
      </s:c>
      <s:c r="H567" s="6" t="n">
        <s:v>25089</s:v>
      </s:c>
      <s:c r="I567" s="6" t="n">
        <s:v>5151</s:v>
      </s:c>
      <s:c r="J567" s="6" t="n">
        <s:f>IF(COUNT(C567:I567)=7,SUM(C567:I567),"")</s:f>
        <s:v>123327</s:v>
      </s:c>
    </s:row>
    <s:row r="568">
      <s:c r="A568" s="5" t="n">
        <s:v>46289</s:v>
      </s:c>
      <s:c r="B568" s="2" t="n">
        <s:v>11</s:v>
      </s:c>
      <s:c r="C568" s="6" t="n">
        <s:v>11479</s:v>
      </s:c>
      <s:c r="D568" s="6" t="n">
        <s:v>29907</s:v>
      </s:c>
      <s:c r="E568" s="6" t="n">
        <s:v>12149</s:v>
      </s:c>
      <s:c r="F568" s="6" t="n">
        <s:v>13213</s:v>
      </s:c>
      <s:c r="G568" s="6" t="n">
        <s:v>26496</s:v>
      </s:c>
      <s:c r="H568" s="6" t="n">
        <s:v>24410</s:v>
      </s:c>
      <s:c r="I568" s="6" t="n">
        <s:v>5239</s:v>
      </s:c>
      <s:c r="J568" s="6" t="n">
        <s:f>IF(COUNT(C568:I568)=7,SUM(C568:I568),"")</s:f>
        <s:v>122893</s:v>
      </s:c>
    </s:row>
    <s:row r="569">
      <s:c r="A569" s="5" t="n">
        <s:v>46289</s:v>
      </s:c>
      <s:c r="B569" s="2" t="n">
        <s:v>12</s:v>
      </s:c>
      <s:c r="C569" s="6" t="n">
        <s:v>11403</s:v>
      </s:c>
      <s:c r="D569" s="6" t="n">
        <s:v>29954</s:v>
      </s:c>
      <s:c r="E569" s="6" t="n">
        <s:v>12202</s:v>
      </s:c>
      <s:c r="F569" s="6" t="n">
        <s:v>13240</s:v>
      </s:c>
      <s:c r="G569" s="6" t="n">
        <s:v>26333</s:v>
      </s:c>
      <s:c r="H569" s="6" t="n">
        <s:v>24542</s:v>
      </s:c>
      <s:c r="I569" s="6" t="n">
        <s:v>5422</s:v>
      </s:c>
      <s:c r="J569" s="6" t="n">
        <s:f>IF(COUNT(C569:I569)=7,SUM(C569:I569),"")</s:f>
        <s:v>123096</s:v>
      </s:c>
    </s:row>
    <s:row r="570">
      <s:c r="A570" s="5" t="n">
        <s:v>46289</s:v>
      </s:c>
      <s:c r="B570" s="2" t="n">
        <s:v>13</s:v>
      </s:c>
      <s:c r="C570" s="6" t="n">
        <s:v>11359</s:v>
      </s:c>
      <s:c r="D570" s="6" t="n">
        <s:v>29867</s:v>
      </s:c>
      <s:c r="E570" s="6" t="n">
        <s:v>12169</s:v>
      </s:c>
      <s:c r="F570" s="6" t="n">
        <s:v>13159</s:v>
      </s:c>
      <s:c r="G570" s="6" t="n">
        <s:v>26362</s:v>
      </s:c>
      <s:c r="H570" s="6" t="n">
        <s:v>24950</s:v>
      </s:c>
      <s:c r="I570" s="6" t="n">
        <s:v>5413</s:v>
      </s:c>
      <s:c r="J570" s="6" t="n">
        <s:f>IF(COUNT(C570:I570)=7,SUM(C570:I570),"")</s:f>
        <s:v>123279</s:v>
      </s:c>
    </s:row>
    <s:row r="571">
      <s:c r="A571" s="5" t="n">
        <s:v>46289</s:v>
      </s:c>
      <s:c r="B571" s="2" t="n">
        <s:v>14</s:v>
      </s:c>
      <s:c r="C571" s="6" t="n">
        <s:v>11217</s:v>
      </s:c>
      <s:c r="D571" s="6" t="n">
        <s:v>29891</s:v>
      </s:c>
      <s:c r="E571" s="6" t="n">
        <s:v>12195</s:v>
      </s:c>
      <s:c r="F571" s="6" t="n">
        <s:v>13132</s:v>
      </s:c>
      <s:c r="G571" s="6" t="n">
        <s:v>26370</s:v>
      </s:c>
      <s:c r="H571" s="6" t="n">
        <s:v>25423</s:v>
      </s:c>
      <s:c r="I571" s="6" t="n">
        <s:v>5301</s:v>
      </s:c>
      <s:c r="J571" s="6" t="n">
        <s:f>IF(COUNT(C571:I571)=7,SUM(C571:I571),"")</s:f>
        <s:v>123529</s:v>
      </s:c>
    </s:row>
    <s:row r="572">
      <s:c r="A572" s="5" t="n">
        <s:v>46289</s:v>
      </s:c>
      <s:c r="B572" s="2" t="n">
        <s:v>15</s:v>
      </s:c>
      <s:c r="C572" s="6" t="n">
        <s:v>11415</s:v>
      </s:c>
      <s:c r="D572" s="6" t="n">
        <s:v>29981</s:v>
      </s:c>
      <s:c r="E572" s="6" t="n">
        <s:v>12230</s:v>
      </s:c>
      <s:c r="F572" s="6" t="n">
        <s:v>13005</s:v>
      </s:c>
      <s:c r="G572" s="6" t="n">
        <s:v>26352</s:v>
      </s:c>
      <s:c r="H572" s="6" t="n">
        <s:v>25449</s:v>
      </s:c>
      <s:c r="I572" s="6" t="n">
        <s:v>5032</s:v>
      </s:c>
      <s:c r="J572" s="6" t="n">
        <s:f>IF(COUNT(C572:I572)=7,SUM(C572:I572),"")</s:f>
        <s:v>123464</s:v>
      </s:c>
    </s:row>
    <s:row r="573">
      <s:c r="A573" s="5" t="n">
        <s:v>46289</s:v>
      </s:c>
      <s:c r="B573" s="2" t="n">
        <s:v>16</s:v>
      </s:c>
      <s:c r="C573" s="6" t="n">
        <s:v>11206</s:v>
      </s:c>
      <s:c r="D573" s="6" t="n">
        <s:v>29688</s:v>
      </s:c>
      <s:c r="E573" s="6" t="n">
        <s:v>12064</s:v>
      </s:c>
      <s:c r="F573" s="6" t="n">
        <s:v>12833</s:v>
      </s:c>
      <s:c r="G573" s="6" t="n">
        <s:v>26354</s:v>
      </s:c>
      <s:c r="H573" s="6" t="n">
        <s:v>25379</s:v>
      </s:c>
      <s:c r="I573" s="6" t="n">
        <s:v>4921</s:v>
      </s:c>
      <s:c r="J573" s="6" t="n">
        <s:f>IF(COUNT(C573:I573)=7,SUM(C573:I573),"")</s:f>
        <s:v>122445</s:v>
      </s:c>
    </s:row>
    <s:row r="574">
      <s:c r="A574" s="5" t="n">
        <s:v>46289</s:v>
      </s:c>
      <s:c r="B574" s="2" t="n">
        <s:v>17</s:v>
      </s:c>
      <s:c r="C574" s="6" t="n">
        <s:v>11182</s:v>
      </s:c>
      <s:c r="D574" s="6" t="n">
        <s:v>29861</s:v>
      </s:c>
      <s:c r="E574" s="6" t="n">
        <s:v>12325</s:v>
      </s:c>
      <s:c r="F574" s="6" t="n">
        <s:v>13110</s:v>
      </s:c>
      <s:c r="G574" s="6" t="n">
        <s:v>26695</s:v>
      </s:c>
      <s:c r="H574" s="6" t="n">
        <s:v>25478</s:v>
      </s:c>
      <s:c r="I574" s="6" t="n">
        <s:v>4588</s:v>
      </s:c>
      <s:c r="J574" s="6" t="n">
        <s:f>IF(COUNT(C574:I574)=7,SUM(C574:I574),"")</s:f>
        <s:v>123239</s:v>
      </s:c>
    </s:row>
    <s:row r="575">
      <s:c r="A575" s="5" t="n">
        <s:v>46289</s:v>
      </s:c>
      <s:c r="B575" s="2" t="n">
        <s:v>18</s:v>
      </s:c>
      <s:c r="C575" s="6" t="n">
        <s:v>11375</s:v>
      </s:c>
      <s:c r="D575" s="6" t="n">
        <s:v>30802</s:v>
      </s:c>
      <s:c r="E575" s="6" t="n">
        <s:v>12832</s:v>
      </s:c>
      <s:c r="F575" s="6" t="n">
        <s:v>13133</s:v>
      </s:c>
      <s:c r="G575" s="6" t="n">
        <s:v>26646</s:v>
      </s:c>
      <s:c r="H575" s="6" t="n">
        <s:v>24452</s:v>
      </s:c>
      <s:c r="I575" s="6" t="n">
        <s:v>4530</s:v>
      </s:c>
      <s:c r="J575" s="6" t="n">
        <s:f>IF(COUNT(C575:I575)=7,SUM(C575:I575),"")</s:f>
        <s:v>123770</s:v>
      </s:c>
    </s:row>
    <s:row r="576">
      <s:c r="A576" s="5" t="n">
        <s:v>46289</s:v>
      </s:c>
      <s:c r="B576" s="2" t="n">
        <s:v>19</s:v>
      </s:c>
      <s:c r="C576" s="6" t="n">
        <s:v>11377</s:v>
      </s:c>
      <s:c r="D576" s="6" t="n">
        <s:v>30238</s:v>
      </s:c>
      <s:c r="E576" s="6" t="n">
        <s:v>12622</s:v>
      </s:c>
      <s:c r="F576" s="6" t="n">
        <s:v>12707</s:v>
      </s:c>
      <s:c r="G576" s="6" t="n">
        <s:v>26223</s:v>
      </s:c>
      <s:c r="H576" s="6" t="n">
        <s:v>23701</s:v>
      </s:c>
      <s:c r="I576" s="6" t="n">
        <s:v>4518</s:v>
      </s:c>
      <s:c r="J576" s="6" t="n">
        <s:f>IF(COUNT(C576:I576)=7,SUM(C576:I576),"")</s:f>
        <s:v>121386</s:v>
      </s:c>
    </s:row>
    <s:row r="577">
      <s:c r="A577" s="5" t="n">
        <s:v>46289</s:v>
      </s:c>
      <s:c r="B577" s="2" t="n">
        <s:v>20</s:v>
      </s:c>
      <s:c r="C577" s="6" t="n">
        <s:v>11259</s:v>
      </s:c>
      <s:c r="D577" s="6" t="n">
        <s:v>29457</s:v>
      </s:c>
      <s:c r="E577" s="6" t="n">
        <s:v>12109</s:v>
      </s:c>
      <s:c r="F577" s="6" t="n">
        <s:v>12360</s:v>
      </s:c>
      <s:c r="G577" s="6" t="n">
        <s:v>25521</s:v>
      </s:c>
      <s:c r="H577" s="6" t="n">
        <s:v>23405</s:v>
      </s:c>
      <s:c r="I577" s="6" t="n">
        <s:v>4559</s:v>
      </s:c>
      <s:c r="J577" s="6" t="n">
        <s:f>IF(COUNT(C577:I577)=7,SUM(C577:I577),"")</s:f>
        <s:v>118670</s:v>
      </s:c>
    </s:row>
    <s:row r="578">
      <s:c r="A578" s="5" t="n">
        <s:v>46289</s:v>
      </s:c>
      <s:c r="B578" s="2" t="n">
        <s:v>21</s:v>
      </s:c>
      <s:c r="C578" s="6" t="n">
        <s:v>11050</s:v>
      </s:c>
      <s:c r="D578" s="6" t="n">
        <s:v>28272</s:v>
      </s:c>
      <s:c r="E578" s="6" t="n">
        <s:v>11565</s:v>
      </s:c>
      <s:c r="F578" s="6" t="n">
        <s:v>11706</s:v>
      </s:c>
      <s:c r="G578" s="6" t="n">
        <s:v>24923</s:v>
      </s:c>
      <s:c r="H578" s="6" t="n">
        <s:v>23300</s:v>
      </s:c>
      <s:c r="I578" s="6" t="n">
        <s:v>4484</s:v>
      </s:c>
      <s:c r="J578" s="6" t="n">
        <s:f>IF(COUNT(C578:I578)=7,SUM(C578:I578),"")</s:f>
        <s:v>115300</s:v>
      </s:c>
    </s:row>
    <s:row r="579">
      <s:c r="A579" s="5" t="n">
        <s:v>46289</s:v>
      </s:c>
      <s:c r="B579" s="2" t="n">
        <s:v>22</s:v>
      </s:c>
      <s:c r="C579" s="6" t="n">
        <s:v>10510</s:v>
      </s:c>
      <s:c r="D579" s="6" t="n">
        <s:v>26694</s:v>
      </s:c>
      <s:c r="E579" s="6" t="n">
        <s:v>10686</s:v>
      </s:c>
      <s:c r="F579" s="6" t="n">
        <s:v>11099</s:v>
      </s:c>
      <s:c r="G579" s="6" t="n">
        <s:v>23891</s:v>
      </s:c>
      <s:c r="H579" s="6" t="n">
        <s:v>23220</s:v>
      </s:c>
      <s:c r="I579" s="6" t="n">
        <s:v>4678</s:v>
      </s:c>
      <s:c r="J579" s="6" t="n">
        <s:f>IF(COUNT(C579:I579)=7,SUM(C579:I579),"")</s:f>
        <s:v>110778</s:v>
      </s:c>
    </s:row>
    <s:row r="580">
      <s:c r="A580" s="5" t="n">
        <s:v>46289</s:v>
      </s:c>
      <s:c r="B580" s="2" t="n">
        <s:v>23</s:v>
      </s:c>
      <s:c r="C580" s="6" t="n">
        <s:v>9927</s:v>
      </s:c>
      <s:c r="D580" s="6" t="n">
        <s:v>25333</s:v>
      </s:c>
      <s:c r="E580" s="6" t="n">
        <s:v>9803</s:v>
      </s:c>
      <s:c r="F580" s="6" t="n">
        <s:v>10848</s:v>
      </s:c>
      <s:c r="G580" s="6" t="n">
        <s:v>23727</s:v>
      </s:c>
      <s:c r="H580" s="6" t="n">
        <s:v>23288</s:v>
      </s:c>
      <s:c r="I580" s="6" t="n">
        <s:v>4920</s:v>
      </s:c>
      <s:c r="J580" s="6" t="n">
        <s:f>IF(COUNT(C580:I580)=7,SUM(C580:I580),"")</s:f>
        <s:v>107846</s:v>
      </s:c>
    </s:row>
    <s:row r="581">
      <s:c r="A581" s="5" t="n">
        <s:v>46290</s:v>
      </s:c>
      <s:c r="B581" s="2" t="n">
        <s:v>0</s:v>
      </s:c>
      <s:c r="C581" s="6" t="n">
        <s:v>9497</s:v>
      </s:c>
      <s:c r="D581" s="6" t="n">
        <s:v>24259</s:v>
      </s:c>
      <s:c r="E581" s="6" t="n">
        <s:v>9401</s:v>
      </s:c>
      <s:c r="F581" s="6" t="n">
        <s:v>10443</s:v>
      </s:c>
      <s:c r="G581" s="6" t="n">
        <s:v>23634</s:v>
      </s:c>
      <s:c r="H581" s="6" t="n">
        <s:v>23128</s:v>
      </s:c>
      <s:c r="I581" s="6" t="n">
        <s:v>5114</s:v>
      </s:c>
      <s:c r="J581" s="6" t="n">
        <s:f>IF(COUNT(C581:I581)=7,SUM(C581:I581),"")</s:f>
        <s:v>105476</s:v>
      </s:c>
    </s:row>
    <s:row r="582">
      <s:c r="A582" s="5" t="n">
        <s:v>46290</s:v>
      </s:c>
      <s:c r="B582" s="2" t="n">
        <s:v>1</s:v>
      </s:c>
      <s:c r="C582" s="6" t="n">
        <s:v>9232</s:v>
      </s:c>
      <s:c r="D582" s="6" t="n">
        <s:v>23410</s:v>
      </s:c>
      <s:c r="E582" s="6" t="n">
        <s:v>9273</s:v>
      </s:c>
      <s:c r="F582" s="6" t="n">
        <s:v>10235</s:v>
      </s:c>
      <s:c r="G582" s="6" t="n">
        <s:v>23589</s:v>
      </s:c>
      <s:c r="H582" s="6" t="n">
        <s:v>23620</s:v>
      </s:c>
      <s:c r="I582" s="6" t="n">
        <s:v>5248</s:v>
      </s:c>
      <s:c r="J582" s="6" t="n">
        <s:f>IF(COUNT(C582:I582)=7,SUM(C582:I582),"")</s:f>
        <s:v>104607</s:v>
      </s:c>
    </s:row>
    <s:row r="583">
      <s:c r="A583" s="5" t="n">
        <s:v>46290</s:v>
      </s:c>
      <s:c r="B583" s="2" t="n">
        <s:v>2</s:v>
      </s:c>
      <s:c r="C583" s="6" t="n">
        <s:v>9126</s:v>
      </s:c>
      <s:c r="D583" s="6" t="n">
        <s:v>23205</s:v>
      </s:c>
      <s:c r="E583" s="6" t="n">
        <s:v>8996</s:v>
      </s:c>
      <s:c r="F583" s="6" t="n">
        <s:v>10266</s:v>
      </s:c>
      <s:c r="G583" s="6" t="n">
        <s:v>23773</s:v>
      </s:c>
      <s:c r="H583" s="6" t="n">
        <s:v>24576</s:v>
      </s:c>
      <s:c r="I583" s="6" t="n">
        <s:v>5267</s:v>
      </s:c>
      <s:c r="J583" s="6" t="n">
        <s:f>IF(COUNT(C583:I583)=7,SUM(C583:I583),"")</s:f>
        <s:v>105209</s:v>
      </s:c>
    </s:row>
    <s:row r="584">
      <s:c r="A584" s="5" t="n">
        <s:v>46290</s:v>
      </s:c>
      <s:c r="B584" s="2" t="n">
        <s:v>3</s:v>
      </s:c>
      <s:c r="C584" s="6" t="n">
        <s:v>9107</s:v>
      </s:c>
      <s:c r="D584" s="6" t="n">
        <s:v>23104</s:v>
      </s:c>
      <s:c r="E584" s="6" t="n">
        <s:v>8819</s:v>
      </s:c>
      <s:c r="F584" s="6" t="n">
        <s:v>10378</s:v>
      </s:c>
      <s:c r="G584" s="6" t="n">
        <s:v>24104</s:v>
      </s:c>
      <s:c r="H584" s="6" t="n">
        <s:v>24560</s:v>
      </s:c>
      <s:c r="I584" s="6" t="n">
        <s:v>5186</s:v>
      </s:c>
      <s:c r="J584" s="6" t="n">
        <s:f>IF(COUNT(C584:I584)=7,SUM(C584:I584),"")</s:f>
        <s:v>105258</s:v>
      </s:c>
    </s:row>
    <s:row r="585">
      <s:c r="A585" s="5" t="n">
        <s:v>46290</s:v>
      </s:c>
      <s:c r="B585" s="2" t="n">
        <s:v>4</s:v>
      </s:c>
      <s:c r="C585" s="6" t="n">
        <s:v>9148</s:v>
      </s:c>
      <s:c r="D585" s="6" t="n">
        <s:v>23270</s:v>
      </s:c>
      <s:c r="E585" s="6" t="n">
        <s:v>9221</s:v>
      </s:c>
      <s:c r="F585" s="6" t="n">
        <s:v>10660</s:v>
      </s:c>
      <s:c r="G585" s="6" t="n">
        <s:v>25137</s:v>
      </s:c>
      <s:c r="H585" s="6" t="n">
        <s:v>25166</s:v>
      </s:c>
      <s:c r="I585" s="6" t="n">
        <s:v>5142</s:v>
      </s:c>
      <s:c r="J585" s="6" t="n">
        <s:f>IF(COUNT(C585:I585)=7,SUM(C585:I585),"")</s:f>
        <s:v>107744</s:v>
      </s:c>
    </s:row>
    <s:row r="586">
      <s:c r="A586" s="5" t="n">
        <s:v>46290</s:v>
      </s:c>
      <s:c r="B586" s="2" t="n">
        <s:v>5</s:v>
      </s:c>
      <s:c r="C586" s="6" t="n">
        <s:v>9502</s:v>
      </s:c>
      <s:c r="D586" s="6" t="n">
        <s:v>24733</s:v>
      </s:c>
      <s:c r="E586" s="6" t="n">
        <s:v>9654</s:v>
      </s:c>
      <s:c r="F586" s="6" t="n">
        <s:v>11189</s:v>
      </s:c>
      <s:c r="G586" s="6" t="n">
        <s:v>25797</s:v>
      </s:c>
      <s:c r="H586" s="6" t="n">
        <s:v>25461</s:v>
      </s:c>
      <s:c r="I586" s="6" t="n">
        <s:v>5080</s:v>
      </s:c>
      <s:c r="J586" s="6" t="n">
        <s:f>IF(COUNT(C586:I586)=7,SUM(C586:I586),"")</s:f>
        <s:v>111416</s:v>
      </s:c>
    </s:row>
    <s:row r="587">
      <s:c r="A587" s="5" t="n">
        <s:v>46290</s:v>
      </s:c>
      <s:c r="B587" s="2" t="n">
        <s:v>6</s:v>
      </s:c>
      <s:c r="C587" s="6" t="n">
        <s:v>9879</s:v>
      </s:c>
      <s:c r="D587" s="6" t="n">
        <s:v>26002</s:v>
      </s:c>
      <s:c r="E587" s="6" t="n">
        <s:v>10289</s:v>
      </s:c>
      <s:c r="F587" s="6" t="n">
        <s:v>12064</s:v>
      </s:c>
      <s:c r="G587" s="6" t="n">
        <s:v>26737</s:v>
      </s:c>
      <s:c r="H587" s="6" t="n">
        <s:v>25228</s:v>
      </s:c>
      <s:c r="I587" s="6" t="n">
        <s:v>4989</s:v>
      </s:c>
      <s:c r="J587" s="6" t="n">
        <s:f>IF(COUNT(C587:I587)=7,SUM(C587:I587),"")</s:f>
        <s:v>115188</s:v>
      </s:c>
    </s:row>
    <s:row r="588">
      <s:c r="A588" s="5" t="n">
        <s:v>46290</s:v>
      </s:c>
      <s:c r="B588" s="2" t="n">
        <s:v>7</s:v>
      </s:c>
      <s:c r="C588" s="6" t="n">
        <s:v>10410</s:v>
      </s:c>
      <s:c r="D588" s="6" t="n">
        <s:v>27870</s:v>
      </s:c>
      <s:c r="E588" s="6" t="n">
        <s:v>11066</s:v>
      </s:c>
      <s:c r="F588" s="6" t="n">
        <s:v>12987</s:v>
      </s:c>
      <s:c r="G588" s="6" t="n">
        <s:v>26871</s:v>
      </s:c>
      <s:c r="H588" s="6" t="n">
        <s:v>24969</s:v>
      </s:c>
      <s:c r="I588" s="6" t="n">
        <s:v>5088</s:v>
      </s:c>
      <s:c r="J588" s="6" t="n">
        <s:f>IF(COUNT(C588:I588)=7,SUM(C588:I588),"")</s:f>
        <s:v>119261</s:v>
      </s:c>
    </s:row>
    <s:row r="589">
      <s:c r="A589" s="5" t="n">
        <s:v>46290</s:v>
      </s:c>
      <s:c r="B589" s="2" t="n">
        <s:v>8</s:v>
      </s:c>
      <s:c r="C589" s="6" t="n">
        <s:v>11015</s:v>
      </s:c>
      <s:c r="D589" s="6" t="n">
        <s:v>29624</s:v>
      </s:c>
      <s:c r="E589" s="6" t="n">
        <s:v>11726</s:v>
      </s:c>
      <s:c r="F589" s="6" t="n">
        <s:v>13358</s:v>
      </s:c>
      <s:c r="G589" s="6" t="n">
        <s:v>26824</s:v>
      </s:c>
      <s:c r="H589" s="6" t="n">
        <s:v>25477</s:v>
      </s:c>
      <s:c r="I589" s="6" t="n">
        <s:v>5048</s:v>
      </s:c>
      <s:c r="J589" s="6" t="n">
        <s:f>IF(COUNT(C589:I589)=7,SUM(C589:I589),"")</s:f>
        <s:v>123072</s:v>
      </s:c>
    </s:row>
    <s:row r="590">
      <s:c r="A590" s="5" t="n">
        <s:v>46290</s:v>
      </s:c>
      <s:c r="B590" s="2" t="n">
        <s:v>9</s:v>
      </s:c>
      <s:c r="C590" s="6" t="n">
        <s:v>11316</s:v>
      </s:c>
      <s:c r="D590" s="6" t="n">
        <s:v>30246</s:v>
      </s:c>
      <s:c r="E590" s="6" t="n">
        <s:v>12026</s:v>
      </s:c>
      <s:c r="F590" s="6" t="n">
        <s:v>13525</s:v>
      </s:c>
      <s:c r="G590" s="6" t="n">
        <s:v>26746</s:v>
      </s:c>
      <s:c r="H590" s="6" t="n">
        <s:v>25402</s:v>
      </s:c>
      <s:c r="I590" s="6" t="n">
        <s:v>5058</s:v>
      </s:c>
      <s:c r="J590" s="6" t="n">
        <s:f>IF(COUNT(C590:I590)=7,SUM(C590:I590),"")</s:f>
        <s:v>124319</s:v>
      </s:c>
    </s:row>
    <s:row r="591">
      <s:c r="A591" s="5" t="n">
        <s:v>46290</s:v>
      </s:c>
      <s:c r="B591" s="2" t="n">
        <s:v>10</s:v>
      </s:c>
      <s:c r="C591" s="6" t="n">
        <s:v>11381</s:v>
      </s:c>
      <s:c r="D591" s="6" t="n">
        <s:v>30632</s:v>
      </s:c>
      <s:c r="E591" s="6" t="n">
        <s:v>12216</s:v>
      </s:c>
      <s:c r="F591" s="6" t="n">
        <s:v>13167</s:v>
      </s:c>
      <s:c r="G591" s="6" t="n">
        <s:v>26618</s:v>
      </s:c>
      <s:c r="H591" s="6" t="n">
        <s:v>25391</s:v>
      </s:c>
      <s:c r="I591" s="6" t="n">
        <s:v>4872</s:v>
      </s:c>
      <s:c r="J591" s="6" t="n">
        <s:f>IF(COUNT(C591:I591)=7,SUM(C591:I591),"")</s:f>
        <s:v>124277</s:v>
      </s:c>
    </s:row>
    <s:row r="592">
      <s:c r="A592" s="5" t="n">
        <s:v>46290</s:v>
      </s:c>
      <s:c r="B592" s="2" t="n">
        <s:v>11</s:v>
      </s:c>
      <s:c r="C592" s="6" t="n">
        <s:v>11365</s:v>
      </s:c>
      <s:c r="D592" s="6" t="n">
        <s:v>30361</s:v>
      </s:c>
      <s:c r="E592" s="6" t="n">
        <s:v>12126</s:v>
      </s:c>
      <s:c r="F592" s="6" t="n">
        <s:v>13298</s:v>
      </s:c>
      <s:c r="G592" s="6" t="n">
        <s:v>26413</s:v>
      </s:c>
      <s:c r="H592" s="6" t="n">
        <s:v>24893</s:v>
      </s:c>
      <s:c r="I592" s="6" t="n">
        <s:v>5135</s:v>
      </s:c>
      <s:c r="J592" s="6" t="n">
        <s:f>IF(COUNT(C592:I592)=7,SUM(C592:I592),"")</s:f>
        <s:v>123591</s:v>
      </s:c>
    </s:row>
    <s:row r="593">
      <s:c r="A593" s="5" t="n">
        <s:v>46290</s:v>
      </s:c>
      <s:c r="B593" s="2" t="n">
        <s:v>12</s:v>
      </s:c>
      <s:c r="C593" s="6" t="n">
        <s:v>11289</s:v>
      </s:c>
      <s:c r="D593" s="6" t="n">
        <s:v>30356</s:v>
      </s:c>
      <s:c r="E593" s="6" t="n">
        <s:v>12002</s:v>
      </s:c>
      <s:c r="F593" s="6" t="n">
        <s:v>13228</s:v>
      </s:c>
      <s:c r="G593" s="6" t="n">
        <s:v>26376</s:v>
      </s:c>
      <s:c r="H593" s="6" t="n">
        <s:v>24834</s:v>
      </s:c>
      <s:c r="I593" s="6" t="n">
        <s:v>5397</s:v>
      </s:c>
      <s:c r="J593" s="6" t="n">
        <s:f>IF(COUNT(C593:I593)=7,SUM(C593:I593),"")</s:f>
        <s:v>123482</s:v>
      </s:c>
    </s:row>
    <s:row r="594">
      <s:c r="A594" s="5" t="n">
        <s:v>46290</s:v>
      </s:c>
      <s:c r="B594" s="2" t="n">
        <s:v>13</s:v>
      </s:c>
      <s:c r="C594" s="6" t="n">
        <s:v>11286</s:v>
      </s:c>
      <s:c r="D594" s="6" t="n">
        <s:v>30664</s:v>
      </s:c>
      <s:c r="E594" s="6" t="n">
        <s:v>12060</s:v>
      </s:c>
      <s:c r="F594" s="6" t="n">
        <s:v>13321</s:v>
      </s:c>
      <s:c r="G594" s="6" t="n">
        <s:v>26374</s:v>
      </s:c>
      <s:c r="H594" s="6" t="n">
        <s:v>25167</s:v>
      </s:c>
      <s:c r="I594" s="6" t="n">
        <s:v>5368</s:v>
      </s:c>
      <s:c r="J594" s="6" t="n">
        <s:f>IF(COUNT(C594:I594)=7,SUM(C594:I594),"")</s:f>
        <s:v>124240</s:v>
      </s:c>
    </s:row>
    <s:row r="595">
      <s:c r="A595" s="5" t="n">
        <s:v>46290</s:v>
      </s:c>
      <s:c r="B595" s="2" t="n">
        <s:v>14</s:v>
      </s:c>
      <s:c r="C595" s="6" t="n">
        <s:v>11231</s:v>
      </s:c>
      <s:c r="D595" s="6" t="n">
        <s:v>30511</s:v>
      </s:c>
      <s:c r="E595" s="6" t="n">
        <s:v>12053</s:v>
      </s:c>
      <s:c r="F595" s="6" t="n">
        <s:v>13073</s:v>
      </s:c>
      <s:c r="G595" s="6" t="n">
        <s:v>26214</s:v>
      </s:c>
      <s:c r="H595" s="6" t="n">
        <s:v>25333</s:v>
      </s:c>
      <s:c r="I595" s="6" t="n">
        <s:v>5302</s:v>
      </s:c>
      <s:c r="J595" s="6" t="n">
        <s:f>IF(COUNT(C595:I595)=7,SUM(C595:I595),"")</s:f>
        <s:v>123717</s:v>
      </s:c>
    </s:row>
    <s:row r="596">
      <s:c r="A596" s="5" t="n">
        <s:v>46290</s:v>
      </s:c>
      <s:c r="B596" s="2" t="n">
        <s:v>15</s:v>
      </s:c>
      <s:c r="C596" s="6" t="n">
        <s:v>11221</s:v>
      </s:c>
      <s:c r="D596" s="6" t="n">
        <s:v>30426</s:v>
      </s:c>
      <s:c r="E596" s="6" t="n">
        <s:v>12016</s:v>
      </s:c>
      <s:c r="F596" s="6" t="n">
        <s:v>12879</s:v>
      </s:c>
      <s:c r="G596" s="6" t="n">
        <s:v>26528</s:v>
      </s:c>
      <s:c r="H596" s="6" t="n">
        <s:v>25502</s:v>
      </s:c>
      <s:c r="I596" s="6" t="n">
        <s:v>5163</s:v>
      </s:c>
      <s:c r="J596" s="6" t="n">
        <s:f>IF(COUNT(C596:I596)=7,SUM(C596:I596),"")</s:f>
        <s:v>123735</s:v>
      </s:c>
    </s:row>
    <s:row r="597">
      <s:c r="A597" s="5" t="n">
        <s:v>46290</s:v>
      </s:c>
      <s:c r="B597" s="2" t="n">
        <s:v>16</s:v>
      </s:c>
      <s:c r="C597" s="6" t="n">
        <s:v>11046</s:v>
      </s:c>
      <s:c r="D597" s="6" t="n">
        <s:v>30193</s:v>
      </s:c>
      <s:c r="E597" s="6" t="n">
        <s:v>11909</s:v>
      </s:c>
      <s:c r="F597" s="6" t="n">
        <s:v>12599</s:v>
      </s:c>
      <s:c r="G597" s="6" t="n">
        <s:v>26644</s:v>
      </s:c>
      <s:c r="H597" s="6" t="n">
        <s:v>25365</s:v>
      </s:c>
      <s:c r="I597" s="6" t="n">
        <s:v>5022</s:v>
      </s:c>
      <s:c r="J597" s="6" t="n">
        <s:f>IF(COUNT(C597:I597)=7,SUM(C597:I597),"")</s:f>
        <s:v>122778</s:v>
      </s:c>
    </s:row>
    <s:row r="598">
      <s:c r="A598" s="5" t="n">
        <s:v>46290</s:v>
      </s:c>
      <s:c r="B598" s="2" t="n">
        <s:v>17</s:v>
      </s:c>
      <s:c r="C598" s="6" t="n">
        <s:v>11087</s:v>
      </s:c>
      <s:c r="D598" s="6" t="n">
        <s:v>30520</s:v>
      </s:c>
      <s:c r="E598" s="6" t="n">
        <s:v>12089</s:v>
      </s:c>
      <s:c r="F598" s="6" t="n">
        <s:v>12884</s:v>
      </s:c>
      <s:c r="G598" s="6" t="n">
        <s:v>27050</s:v>
      </s:c>
      <s:c r="H598" s="6" t="n">
        <s:v>25418</s:v>
      </s:c>
      <s:c r="I598" s="6" t="n">
        <s:v>4804</s:v>
      </s:c>
      <s:c r="J598" s="6" t="n">
        <s:f>IF(COUNT(C598:I598)=7,SUM(C598:I598),"")</s:f>
        <s:v>123852</s:v>
      </s:c>
    </s:row>
    <s:row r="599">
      <s:c r="A599" s="5" t="n">
        <s:v>46290</s:v>
      </s:c>
      <s:c r="B599" s="2" t="n">
        <s:v>18</s:v>
      </s:c>
      <s:c r="C599" s="6" t="n">
        <s:v>11282</s:v>
      </s:c>
      <s:c r="D599" s="6" t="n">
        <s:v>31120</s:v>
      </s:c>
      <s:c r="E599" s="6" t="n">
        <s:v>12592</s:v>
      </s:c>
      <s:c r="F599" s="6" t="n">
        <s:v>12986</s:v>
      </s:c>
      <s:c r="G599" s="6" t="n">
        <s:v>26697</s:v>
      </s:c>
      <s:c r="H599" s="6" t="n">
        <s:v>24820</s:v>
      </s:c>
      <s:c r="I599" s="6" t="n">
        <s:v>4674</s:v>
      </s:c>
      <s:c r="J599" s="6" t="n">
        <s:f>IF(COUNT(C599:I599)=7,SUM(C599:I599),"")</s:f>
        <s:v>124171</s:v>
      </s:c>
    </s:row>
    <s:row r="600">
      <s:c r="A600" s="5" t="n">
        <s:v>46290</s:v>
      </s:c>
      <s:c r="B600" s="2" t="n">
        <s:v>19</s:v>
      </s:c>
      <s:c r="C600" s="6" t="n">
        <s:v>11394</s:v>
      </s:c>
      <s:c r="D600" s="6" t="n">
        <s:v>30721</s:v>
      </s:c>
      <s:c r="E600" s="6" t="n">
        <s:v>12230</s:v>
      </s:c>
      <s:c r="F600" s="6" t="n">
        <s:v>12659</s:v>
      </s:c>
      <s:c r="G600" s="6" t="n">
        <s:v>26266</s:v>
      </s:c>
      <s:c r="H600" s="6" t="n">
        <s:v>23913</s:v>
      </s:c>
      <s:c r="I600" s="6" t="n">
        <s:v>4559</s:v>
      </s:c>
      <s:c r="J600" s="6" t="n">
        <s:f>IF(COUNT(C600:I600)=7,SUM(C600:I600),"")</s:f>
        <s:v>121742</s:v>
      </s:c>
    </s:row>
    <s:row r="601">
      <s:c r="A601" s="5" t="n">
        <s:v>46290</s:v>
      </s:c>
      <s:c r="B601" s="2" t="n">
        <s:v>20</s:v>
      </s:c>
      <s:c r="C601" s="6" t="n">
        <s:v>11292</s:v>
      </s:c>
      <s:c r="D601" s="6" t="n">
        <s:v>29989</s:v>
      </s:c>
      <s:c r="E601" s="6" t="n">
        <s:v>12009</s:v>
      </s:c>
      <s:c r="F601" s="6" t="n">
        <s:v>12291</s:v>
      </s:c>
      <s:c r="G601" s="6" t="n">
        <s:v>25611</s:v>
      </s:c>
      <s:c r="H601" s="6" t="n">
        <s:v>23624</s:v>
      </s:c>
      <s:c r="I601" s="6" t="n">
        <s:v>4507</s:v>
      </s:c>
      <s:c r="J601" s="6" t="n">
        <s:f>IF(COUNT(C601:I601)=7,SUM(C601:I601),"")</s:f>
        <s:v>119323</s:v>
      </s:c>
    </s:row>
    <s:row r="602">
      <s:c r="A602" s="5" t="n">
        <s:v>46290</s:v>
      </s:c>
      <s:c r="B602" s="2" t="n">
        <s:v>21</s:v>
      </s:c>
      <s:c r="C602" s="6" t="n">
        <s:v>11087</s:v>
      </s:c>
      <s:c r="D602" s="6" t="n">
        <s:v>28939</s:v>
      </s:c>
      <s:c r="E602" s="6" t="n">
        <s:v>11635</s:v>
      </s:c>
      <s:c r="F602" s="6" t="n">
        <s:v>11950</s:v>
      </s:c>
      <s:c r="G602" s="6" t="n">
        <s:v>25053</s:v>
      </s:c>
      <s:c r="H602" s="6" t="n">
        <s:v>23533</s:v>
      </s:c>
      <s:c r="I602" s="6" t="n">
        <s:v>4573</s:v>
      </s:c>
      <s:c r="J602" s="6" t="n">
        <s:f>IF(COUNT(C602:I602)=7,SUM(C602:I602),"")</s:f>
        <s:v>116770</s:v>
      </s:c>
    </s:row>
    <s:row r="603">
      <s:c r="A603" s="5" t="n">
        <s:v>46290</s:v>
      </s:c>
      <s:c r="B603" s="2" t="n">
        <s:v>22</s:v>
      </s:c>
      <s:c r="C603" s="6" t="n">
        <s:v>10633</s:v>
      </s:c>
      <s:c r="D603" s="6" t="n">
        <s:v>27424</s:v>
      </s:c>
      <s:c r="E603" s="6" t="n">
        <s:v>10885</s:v>
      </s:c>
      <s:c r="F603" s="6" t="n">
        <s:v>11126</s:v>
      </s:c>
      <s:c r="G603" s="6" t="n">
        <s:v>24145</s:v>
      </s:c>
      <s:c r="H603" s="6" t="n">
        <s:v>23208</s:v>
      </s:c>
      <s:c r="I603" s="6" t="n">
        <s:v>4524</s:v>
      </s:c>
      <s:c r="J603" s="6" t="n">
        <s:f>IF(COUNT(C603:I603)=7,SUM(C603:I603),"")</s:f>
        <s:v>111945</s:v>
      </s:c>
    </s:row>
    <s:row r="604">
      <s:c r="A604" s="5" t="n">
        <s:v>46290</s:v>
      </s:c>
      <s:c r="B604" s="2" t="n">
        <s:v>23</s:v>
      </s:c>
      <s:c r="C604" s="6" t="n">
        <s:v>10136</s:v>
      </s:c>
      <s:c r="D604" s="6" t="n">
        <s:v>26098</s:v>
      </s:c>
      <s:c r="E604" s="6" t="n">
        <s:v>10096</s:v>
      </s:c>
      <s:c r="F604" s="6" t="n">
        <s:v>10830</s:v>
      </s:c>
      <s:c r="G604" s="6" t="n">
        <s:v>23701</s:v>
      </s:c>
      <s:c r="H604" s="6" t="n">
        <s:v>23177</s:v>
      </s:c>
      <s:c r="I604" s="6" t="n">
        <s:v>4701</s:v>
      </s:c>
      <s:c r="J604" s="6" t="n">
        <s:f>IF(COUNT(C604:I604)=7,SUM(C604:I604),"")</s:f>
        <s:v>108739</s:v>
      </s:c>
    </s:row>
    <s:row r="605">
      <s:c r="A605" s="5" t="n">
        <s:v>46291</s:v>
      </s:c>
      <s:c r="B605" s="2" t="n">
        <s:v>0</s:v>
      </s:c>
      <s:c r="C605" s="6" t="n">
        <s:v>9782</s:v>
      </s:c>
      <s:c r="D605" s="6" t="n">
        <s:v>24965</s:v>
      </s:c>
      <s:c r="E605" s="6" t="n">
        <s:v>9566</s:v>
      </s:c>
      <s:c r="F605" s="6" t="n">
        <s:v>10451</s:v>
      </s:c>
      <s:c r="G605" s="6" t="n">
        <s:v>23800</s:v>
      </s:c>
      <s:c r="H605" s="6" t="n">
        <s:v>23065</s:v>
      </s:c>
      <s:c r="I605" s="6" t="n">
        <s:v>4884</s:v>
      </s:c>
      <s:c r="J605" s="6" t="n">
        <s:f>IF(COUNT(C605:I605)=7,SUM(C605:I605),"")</s:f>
        <s:v>106513</s:v>
      </s:c>
    </s:row>
    <s:row r="606">
      <s:c r="A606" s="5" t="n">
        <s:v>46291</s:v>
      </s:c>
      <s:c r="B606" s="2" t="n">
        <s:v>1</s:v>
      </s:c>
      <s:c r="C606" s="6" t="n">
        <s:v>9419</s:v>
      </s:c>
      <s:c r="D606" s="6" t="n">
        <s:v>24215</s:v>
      </s:c>
      <s:c r="E606" s="6" t="n">
        <s:v>9339</s:v>
      </s:c>
      <s:c r="F606" s="6" t="n">
        <s:v>10342</s:v>
      </s:c>
      <s:c r="G606" s="6" t="n">
        <s:v>23582</s:v>
      </s:c>
      <s:c r="H606" s="6" t="n">
        <s:v>23268</s:v>
      </s:c>
      <s:c r="I606" s="6" t="n">
        <s:v>5097</s:v>
      </s:c>
      <s:c r="J606" s="6" t="n">
        <s:f>IF(COUNT(C606:I606)=7,SUM(C606:I606),"")</s:f>
        <s:v>105262</s:v>
      </s:c>
    </s:row>
    <s:row r="607">
      <s:c r="A607" s="5" t="n">
        <s:v>46291</s:v>
      </s:c>
      <s:c r="B607" s="2" t="n">
        <s:v>2</s:v>
      </s:c>
      <s:c r="C607" s="6" t="n">
        <s:v>9365</s:v>
      </s:c>
      <s:c r="D607" s="6" t="n">
        <s:v>23607</s:v>
      </s:c>
      <s:c r="E607" s="6" t="n">
        <s:v>9165</s:v>
      </s:c>
      <s:c r="F607" s="6" t="n">
        <s:v>10405</s:v>
      </s:c>
      <s:c r="G607" s="6" t="n">
        <s:v>23775</s:v>
      </s:c>
      <s:c r="H607" s="6" t="n">
        <s:v>23868</s:v>
      </s:c>
      <s:c r="I607" s="6" t="n">
        <s:v>5335</s:v>
      </s:c>
      <s:c r="J607" s="6" t="n">
        <s:f>IF(COUNT(C607:I607)=7,SUM(C607:I607),"")</s:f>
        <s:v>105520</s:v>
      </s:c>
    </s:row>
    <s:row r="608">
      <s:c r="A608" s="5" t="n">
        <s:v>46291</s:v>
      </s:c>
      <s:c r="B608" s="2" t="n">
        <s:v>3</s:v>
      </s:c>
      <s:c r="C608" s="6" t="n">
        <s:v>9187</s:v>
      </s:c>
      <s:c r="D608" s="6" t="n">
        <s:v>23445</s:v>
      </s:c>
      <s:c r="E608" s="6" t="n">
        <s:v>9044</s:v>
      </s:c>
      <s:c r="F608" s="6" t="n">
        <s:v>10253</s:v>
      </s:c>
      <s:c r="G608" s="6" t="n">
        <s:v>23857</s:v>
      </s:c>
      <s:c r="H608" s="6" t="n">
        <s:v>24393</s:v>
      </s:c>
      <s:c r="I608" s="6" t="n">
        <s:v>5340</s:v>
      </s:c>
      <s:c r="J608" s="6" t="n">
        <s:f>IF(COUNT(C608:I608)=7,SUM(C608:I608),"")</s:f>
        <s:v>105519</s:v>
      </s:c>
    </s:row>
    <s:row r="609">
      <s:c r="A609" s="5" t="n">
        <s:v>46291</s:v>
      </s:c>
      <s:c r="B609" s="2" t="n">
        <s:v>4</s:v>
      </s:c>
      <s:c r="C609" s="6" t="n">
        <s:v>9200</s:v>
      </s:c>
      <s:c r="D609" s="6" t="n">
        <s:v>23793</s:v>
      </s:c>
      <s:c r="E609" s="6" t="n">
        <s:v>9193</s:v>
      </s:c>
      <s:c r="F609" s="6" t="n">
        <s:v>10460</s:v>
      </s:c>
      <s:c r="G609" s="6" t="n">
        <s:v>24159</s:v>
      </s:c>
      <s:c r="H609" s="6" t="n">
        <s:v>25252</s:v>
      </s:c>
      <s:c r="I609" s="6" t="n">
        <s:v>5225</s:v>
      </s:c>
      <s:c r="J609" s="6" t="n">
        <s:f>IF(COUNT(C609:I609)=7,SUM(C609:I609),"")</s:f>
        <s:v>107282</s:v>
      </s:c>
    </s:row>
    <s:row r="610">
      <s:c r="A610" s="5" t="n">
        <s:v>46291</s:v>
      </s:c>
      <s:c r="B610" s="2" t="n">
        <s:v>5</s:v>
      </s:c>
      <s:c r="C610" s="6" t="n">
        <s:v>9411</s:v>
      </s:c>
      <s:c r="D610" s="6" t="n">
        <s:v>24507</s:v>
      </s:c>
      <s:c r="E610" s="6" t="n">
        <s:v>9238</s:v>
      </s:c>
      <s:c r="F610" s="6" t="n">
        <s:v>10484</s:v>
      </s:c>
      <s:c r="G610" s="6" t="n">
        <s:v>24526</s:v>
      </s:c>
      <s:c r="H610" s="6" t="n">
        <s:v>25832</s:v>
      </s:c>
      <s:c r="I610" s="6" t="n">
        <s:v>5297</s:v>
      </s:c>
      <s:c r="J610" s="6" t="n">
        <s:f>IF(COUNT(C610:I610)=7,SUM(C610:I610),"")</s:f>
        <s:v>109295</s:v>
      </s:c>
    </s:row>
    <s:row r="611">
      <s:c r="A611" s="5" t="n">
        <s:v>46291</s:v>
      </s:c>
      <s:c r="B611" s="2" t="n">
        <s:v>6</s:v>
      </s:c>
      <s:c r="C611" s="6" t="n">
        <s:v>9442</s:v>
      </s:c>
      <s:c r="D611" s="6" t="n">
        <s:v>24519</s:v>
      </s:c>
      <s:c r="E611" s="6" t="n">
        <s:v>9630</s:v>
      </s:c>
      <s:c r="F611" s="6" t="n">
        <s:v>11152</s:v>
      </s:c>
      <s:c r="G611" s="6" t="n">
        <s:v>25915</s:v>
      </s:c>
      <s:c r="H611" s="6" t="n">
        <s:v>25651</s:v>
      </s:c>
      <s:c r="I611" s="6" t="n">
        <s:v>5246</s:v>
      </s:c>
      <s:c r="J611" s="6" t="n">
        <s:f>IF(COUNT(C611:I611)=7,SUM(C611:I611),"")</s:f>
        <s:v>111555</s:v>
      </s:c>
    </s:row>
    <s:row r="612">
      <s:c r="A612" s="5" t="n">
        <s:v>46291</s:v>
      </s:c>
      <s:c r="B612" s="2" t="n">
        <s:v>7</s:v>
      </s:c>
      <s:c r="C612" s="6" t="n">
        <s:v>9747</s:v>
      </s:c>
      <s:c r="D612" s="6" t="n">
        <s:v>26172</s:v>
      </s:c>
      <s:c r="E612" s="6" t="n">
        <s:v>10412</s:v>
      </s:c>
      <s:c r="F612" s="6" t="n">
        <s:v>11926</s:v>
      </s:c>
      <s:c r="G612" s="6" t="n">
        <s:v>26142</s:v>
      </s:c>
      <s:c r="H612" s="6" t="n">
        <s:v>25967</s:v>
      </s:c>
      <s:c r="I612" s="6" t="n">
        <s:v>5202</s:v>
      </s:c>
      <s:c r="J612" s="6" t="n">
        <s:f>IF(COUNT(C612:I612)=7,SUM(C612:I612),"")</s:f>
        <s:v>115568</s:v>
      </s:c>
    </s:row>
    <s:row r="613">
      <s:c r="A613" s="5" t="n">
        <s:v>46291</s:v>
      </s:c>
      <s:c r="B613" s="2" t="n">
        <s:v>8</s:v>
      </s:c>
      <s:c r="C613" s="6" t="n">
        <s:v>10398</s:v>
      </s:c>
      <s:c r="D613" s="6" t="n">
        <s:v>27975</s:v>
      </s:c>
      <s:c r="E613" s="6" t="n">
        <s:v>11327</s:v>
      </s:c>
      <s:c r="F613" s="6" t="n">
        <s:v>12359</s:v>
      </s:c>
      <s:c r="G613" s="6" t="n">
        <s:v>26548</s:v>
      </s:c>
      <s:c r="H613" s="6" t="n">
        <s:v>25735</s:v>
      </s:c>
      <s:c r="I613" s="6" t="n">
        <s:v>5236</s:v>
      </s:c>
      <s:c r="J613" s="6" t="n">
        <s:f>IF(COUNT(C613:I613)=7,SUM(C613:I613),"")</s:f>
        <s:v>119578</s:v>
      </s:c>
    </s:row>
    <s:row r="614">
      <s:c r="A614" s="5" t="n">
        <s:v>46291</s:v>
      </s:c>
      <s:c r="B614" s="2" t="n">
        <s:v>9</s:v>
      </s:c>
      <s:c r="C614" s="6" t="n">
        <s:v>10882</s:v>
      </s:c>
      <s:c r="D614" s="6" t="n">
        <s:v>28975</s:v>
      </s:c>
      <s:c r="E614" s="6" t="n">
        <s:v>11676</s:v>
      </s:c>
      <s:c r="F614" s="6" t="n">
        <s:v>12392</s:v>
      </s:c>
      <s:c r="G614" s="6" t="n">
        <s:v>26393</s:v>
      </s:c>
      <s:c r="H614" s="6" t="n">
        <s:v>25564</s:v>
      </s:c>
      <s:c r="I614" s="6" t="n">
        <s:v>5260</s:v>
      </s:c>
      <s:c r="J614" s="6" t="n">
        <s:f>IF(COUNT(C614:I614)=7,SUM(C614:I614),"")</s:f>
        <s:v>121142</s:v>
      </s:c>
    </s:row>
    <s:row r="615">
      <s:c r="A615" s="5" t="n">
        <s:v>46291</s:v>
      </s:c>
      <s:c r="B615" s="2" t="n">
        <s:v>10</s:v>
      </s:c>
      <s:c r="C615" s="6" t="n">
        <s:v>11048</s:v>
      </s:c>
      <s:c r="D615" s="6" t="n">
        <s:v>29086</s:v>
      </s:c>
      <s:c r="E615" s="6" t="n">
        <s:v>12027</s:v>
      </s:c>
      <s:c r="F615" s="6" t="n">
        <s:v>12572</s:v>
      </s:c>
      <s:c r="G615" s="6" t="n">
        <s:v>26287</s:v>
      </s:c>
      <s:c r="H615" s="6" t="n">
        <s:v>25570</s:v>
      </s:c>
      <s:c r="I615" s="6" t="n">
        <s:v>5302</s:v>
      </s:c>
      <s:c r="J615" s="6" t="n">
        <s:f>IF(COUNT(C615:I615)=7,SUM(C615:I615),"")</s:f>
        <s:v>121892</s:v>
      </s:c>
    </s:row>
    <s:row r="616">
      <s:c r="A616" s="5" t="n">
        <s:v>46291</s:v>
      </s:c>
      <s:c r="B616" s="2" t="n">
        <s:v>11</s:v>
      </s:c>
      <s:c r="C616" s="6" t="n">
        <s:v>11097</s:v>
      </s:c>
      <s:c r="D616" s="6" t="n">
        <s:v>29119</s:v>
      </s:c>
      <s:c r="E616" s="6" t="n">
        <s:v>11971</s:v>
      </s:c>
      <s:c r="F616" s="6" t="n">
        <s:v>12461</s:v>
      </s:c>
      <s:c r="G616" s="6" t="n">
        <s:v>26146</s:v>
      </s:c>
      <s:c r="H616" s="6" t="n">
        <s:v>25555</s:v>
      </s:c>
      <s:c r="I616" s="6" t="n">
        <s:v>5468</s:v>
      </s:c>
      <s:c r="J616" s="6" t="n">
        <s:f>IF(COUNT(C616:I616)=7,SUM(C616:I616),"")</s:f>
        <s:v>121817</s:v>
      </s:c>
    </s:row>
    <s:row r="617">
      <s:c r="A617" s="5" t="n">
        <s:v>46291</s:v>
      </s:c>
      <s:c r="B617" s="2" t="n">
        <s:v>12</s:v>
      </s:c>
      <s:c r="C617" s="6" t="n">
        <s:v>11156</s:v>
      </s:c>
      <s:c r="D617" s="6" t="n">
        <s:v>28757</s:v>
      </s:c>
      <s:c r="E617" s="6" t="n">
        <s:v>12029</s:v>
      </s:c>
      <s:c r="F617" s="6" t="n">
        <s:v>12281</s:v>
      </s:c>
      <s:c r="G617" s="6" t="n">
        <s:v>26117</s:v>
      </s:c>
      <s:c r="H617" s="6" t="n">
        <s:v>25528</s:v>
      </s:c>
      <s:c r="I617" s="6" t="n">
        <s:v>5502</s:v>
      </s:c>
      <s:c r="J617" s="6" t="n">
        <s:f>IF(COUNT(C617:I617)=7,SUM(C617:I617),"")</s:f>
        <s:v>121370</s:v>
      </s:c>
    </s:row>
    <s:row r="618">
      <s:c r="A618" s="5" t="n">
        <s:v>46291</s:v>
      </s:c>
      <s:c r="B618" s="2" t="n">
        <s:v>13</s:v>
      </s:c>
      <s:c r="C618" s="6" t="n">
        <s:v>11180</s:v>
      </s:c>
      <s:c r="D618" s="6" t="n">
        <s:v>28694</s:v>
      </s:c>
      <s:c r="E618" s="6" t="n">
        <s:v>11934</s:v>
      </s:c>
      <s:c r="F618" s="6" t="n">
        <s:v>12353</s:v>
      </s:c>
      <s:c r="G618" s="6" t="n">
        <s:v>26083</s:v>
      </s:c>
      <s:c r="H618" s="6" t="n">
        <s:v>25786</s:v>
      </s:c>
      <s:c r="I618" s="6" t="n">
        <s:v>5397</s:v>
      </s:c>
      <s:c r="J618" s="6" t="n">
        <s:f>IF(COUNT(C618:I618)=7,SUM(C618:I618),"")</s:f>
        <s:v>121427</s:v>
      </s:c>
    </s:row>
    <s:row r="619">
      <s:c r="A619" s="5" t="n">
        <s:v>46291</s:v>
      </s:c>
      <s:c r="B619" s="2" t="n">
        <s:v>14</s:v>
      </s:c>
      <s:c r="C619" s="6" t="n">
        <s:v>11105</s:v>
      </s:c>
      <s:c r="D619" s="6" t="n">
        <s:v>28589</s:v>
      </s:c>
      <s:c r="E619" s="6" t="n">
        <s:v>11914</s:v>
      </s:c>
      <s:c r="F619" s="6" t="n">
        <s:v>12306</s:v>
      </s:c>
      <s:c r="G619" s="6" t="n">
        <s:v>26186</s:v>
      </s:c>
      <s:c r="H619" s="6" t="n">
        <s:v>26036</s:v>
      </s:c>
      <s:c r="I619" s="6" t="n">
        <s:v>5384</s:v>
      </s:c>
      <s:c r="J619" s="6" t="n">
        <s:f>IF(COUNT(C619:I619)=7,SUM(C619:I619),"")</s:f>
        <s:v>121520</s:v>
      </s:c>
    </s:row>
    <s:row r="620">
      <s:c r="A620" s="5" t="n">
        <s:v>46291</s:v>
      </s:c>
      <s:c r="B620" s="2" t="n">
        <s:v>15</s:v>
      </s:c>
      <s:c r="C620" s="6" t="n">
        <s:v>11098</s:v>
      </s:c>
      <s:c r="D620" s="6" t="n">
        <s:v>28566</s:v>
      </s:c>
      <s:c r="E620" s="6" t="n">
        <s:v>12036</s:v>
      </s:c>
      <s:c r="F620" s="6" t="n">
        <s:v>12214</s:v>
      </s:c>
      <s:c r="G620" s="6" t="n">
        <s:v>26188</s:v>
      </s:c>
      <s:c r="H620" s="6" t="n">
        <s:v>25941</s:v>
      </s:c>
      <s:c r="I620" s="6" t="n">
        <s:v>5188</s:v>
      </s:c>
      <s:c r="J620" s="6" t="n">
        <s:f>IF(COUNT(C620:I620)=7,SUM(C620:I620),"")</s:f>
        <s:v>121231</s:v>
      </s:c>
    </s:row>
    <s:row r="621">
      <s:c r="A621" s="5" t="n">
        <s:v>46291</s:v>
      </s:c>
      <s:c r="B621" s="2" t="n">
        <s:v>16</s:v>
      </s:c>
      <s:c r="C621" s="6" t="n">
        <s:v>11086</s:v>
      </s:c>
      <s:c r="D621" s="6" t="n">
        <s:v>28649</s:v>
      </s:c>
      <s:c r="E621" s="6" t="n">
        <s:v>11985</s:v>
      </s:c>
      <s:c r="F621" s="6" t="n">
        <s:v>12084</s:v>
      </s:c>
      <s:c r="G621" s="6" t="n">
        <s:v>26525</s:v>
      </s:c>
      <s:c r="H621" s="6" t="n">
        <s:v>25786</s:v>
      </s:c>
      <s:c r="I621" s="6" t="n">
        <s:v>4940</s:v>
      </s:c>
      <s:c r="J621" s="6" t="n">
        <s:f>IF(COUNT(C621:I621)=7,SUM(C621:I621),"")</s:f>
        <s:v>121055</s:v>
      </s:c>
    </s:row>
    <s:row r="622">
      <s:c r="A622" s="5" t="n">
        <s:v>46291</s:v>
      </s:c>
      <s:c r="B622" s="2" t="n">
        <s:v>17</s:v>
      </s:c>
      <s:c r="C622" s="6" t="n">
        <s:v>11179</s:v>
      </s:c>
      <s:c r="D622" s="6" t="n">
        <s:v>29040</s:v>
      </s:c>
      <s:c r="E622" s="6" t="n">
        <s:v>12323</s:v>
      </s:c>
      <s:c r="F622" s="6" t="n">
        <s:v>12465</s:v>
      </s:c>
      <s:c r="G622" s="6" t="n">
        <s:v>26751</s:v>
      </s:c>
      <s:c r="H622" s="6" t="n">
        <s:v>25424</s:v>
      </s:c>
      <s:c r="I622" s="6" t="n">
        <s:v>4835</s:v>
      </s:c>
      <s:c r="J622" s="6" t="n">
        <s:f>IF(COUNT(C622:I622)=7,SUM(C622:I622),"")</s:f>
        <s:v>122017</s:v>
      </s:c>
    </s:row>
    <s:row r="623">
      <s:c r="A623" s="5" t="n">
        <s:v>46291</s:v>
      </s:c>
      <s:c r="B623" s="2" t="n">
        <s:v>18</s:v>
      </s:c>
      <s:c r="C623" s="6" t="n">
        <s:v>11362</s:v>
      </s:c>
      <s:c r="D623" s="6" t="n">
        <s:v>30192</s:v>
      </s:c>
      <s:c r="E623" s="6" t="n">
        <s:v>12523</s:v>
      </s:c>
      <s:c r="F623" s="6" t="n">
        <s:v>12505</s:v>
      </s:c>
      <s:c r="G623" s="6" t="n">
        <s:v>26684</s:v>
      </s:c>
      <s:c r="H623" s="6" t="n">
        <s:v>24630</s:v>
      </s:c>
      <s:c r="I623" s="6" t="n">
        <s:v>4778</s:v>
      </s:c>
      <s:c r="J623" s="6" t="n">
        <s:f>IF(COUNT(C623:I623)=7,SUM(C623:I623),"")</s:f>
        <s:v>122674</s:v>
      </s:c>
    </s:row>
    <s:row r="624">
      <s:c r="A624" s="5" t="n">
        <s:v>46291</s:v>
      </s:c>
      <s:c r="B624" s="2" t="n">
        <s:v>19</s:v>
      </s:c>
      <s:c r="C624" s="6" t="n">
        <s:v>11382</s:v>
      </s:c>
      <s:c r="D624" s="6" t="n">
        <s:v>29796</s:v>
      </s:c>
      <s:c r="E624" s="6" t="n">
        <s:v>12314</s:v>
      </s:c>
      <s:c r="F624" s="6" t="n">
        <s:v>12248</s:v>
      </s:c>
      <s:c r="G624" s="6" t="n">
        <s:v>26130</s:v>
      </s:c>
      <s:c r="H624" s="6" t="n">
        <s:v>23998</s:v>
      </s:c>
      <s:c r="I624" s="6" t="n">
        <s:v>4640</s:v>
      </s:c>
      <s:c r="J624" s="6" t="n">
        <s:f>IF(COUNT(C624:I624)=7,SUM(C624:I624),"")</s:f>
        <s:v>120508</s:v>
      </s:c>
    </s:row>
    <s:row r="625">
      <s:c r="A625" s="5" t="n">
        <s:v>46291</s:v>
      </s:c>
      <s:c r="B625" s="2" t="n">
        <s:v>20</s:v>
      </s:c>
      <s:c r="C625" s="6" t="n">
        <s:v>11270</s:v>
      </s:c>
      <s:c r="D625" s="6" t="n">
        <s:v>29489</s:v>
      </s:c>
      <s:c r="E625" s="6" t="n">
        <s:v>11925</s:v>
      </s:c>
      <s:c r="F625" s="6" t="n">
        <s:v>11993</s:v>
      </s:c>
      <s:c r="G625" s="6" t="n">
        <s:v>25669</s:v>
      </s:c>
      <s:c r="H625" s="6" t="n">
        <s:v>23478</s:v>
      </s:c>
      <s:c r="I625" s="6" t="n">
        <s:v>4642</s:v>
      </s:c>
      <s:c r="J625" s="6" t="n">
        <s:f>IF(COUNT(C625:I625)=7,SUM(C625:I625),"")</s:f>
        <s:v>118466</s:v>
      </s:c>
    </s:row>
    <s:row r="626">
      <s:c r="A626" s="5" t="n">
        <s:v>46291</s:v>
      </s:c>
      <s:c r="B626" s="2" t="n">
        <s:v>21</s:v>
      </s:c>
      <s:c r="C626" s="6" t="n">
        <s:v>10979</s:v>
      </s:c>
      <s:c r="D626" s="6" t="n">
        <s:v>28355</s:v>
      </s:c>
      <s:c r="E626" s="6" t="n">
        <s:v>11356</s:v>
      </s:c>
      <s:c r="F626" s="6" t="n">
        <s:v>11525</s:v>
      </s:c>
      <s:c r="G626" s="6" t="n">
        <s:v>24794</s:v>
      </s:c>
      <s:c r="H626" s="6" t="n">
        <s:v>23459</s:v>
      </s:c>
      <s:c r="I626" s="6" t="n">
        <s:v>4667</s:v>
      </s:c>
      <s:c r="J626" s="6" t="n">
        <s:f>IF(COUNT(C626:I626)=7,SUM(C626:I626),"")</s:f>
        <s:v>115135</s:v>
      </s:c>
    </s:row>
    <s:row r="627">
      <s:c r="A627" s="5" t="n">
        <s:v>46291</s:v>
      </s:c>
      <s:c r="B627" s="2" t="n">
        <s:v>22</s:v>
      </s:c>
      <s:c r="C627" s="6" t="n">
        <s:v>10555</s:v>
      </s:c>
      <s:c r="D627" s="6" t="n">
        <s:v>26845</s:v>
      </s:c>
      <s:c r="E627" s="6" t="n">
        <s:v>10805</s:v>
      </s:c>
      <s:c r="F627" s="6" t="n">
        <s:v>11031</s:v>
      </s:c>
      <s:c r="G627" s="6" t="n">
        <s:v>24105</s:v>
      </s:c>
      <s:c r="H627" s="6" t="n">
        <s:v>23129</s:v>
      </s:c>
      <s:c r="I627" s="6" t="n">
        <s:v>4785</s:v>
      </s:c>
      <s:c r="J627" s="6" t="n">
        <s:f>IF(COUNT(C627:I627)=7,SUM(C627:I627),"")</s:f>
        <s:v>111255</s:v>
      </s:c>
    </s:row>
    <s:row r="628">
      <s:c r="A628" s="5" t="n">
        <s:v>46291</s:v>
      </s:c>
      <s:c r="B628" s="2" t="n">
        <s:v>23</s:v>
      </s:c>
      <s:c r="C628" s="6" t="n">
        <s:v>10065</s:v>
      </s:c>
      <s:c r="D628" s="6" t="n">
        <s:v>25766</s:v>
      </s:c>
      <s:c r="E628" s="6" t="n">
        <s:v>10239</s:v>
      </s:c>
      <s:c r="F628" s="6" t="n">
        <s:v>10631</s:v>
      </s:c>
      <s:c r="G628" s="6" t="n">
        <s:v>23763</s:v>
      </s:c>
      <s:c r="H628" s="6" t="n">
        <s:v>23158</s:v>
      </s:c>
      <s:c r="I628" s="6" t="n">
        <s:v>4763</s:v>
      </s:c>
      <s:c r="J628" s="6" t="n">
        <s:f>IF(COUNT(C628:I628)=7,SUM(C628:I628),"")</s:f>
        <s:v>108385</s:v>
      </s:c>
    </s:row>
    <s:row r="629">
      <s:c r="A629" s="5" t="n">
        <s:v>46292</s:v>
      </s:c>
      <s:c r="B629" s="2" t="n">
        <s:v>0</s:v>
      </s:c>
      <s:c r="C629" s="6" t="n">
        <s:v>9695</s:v>
      </s:c>
      <s:c r="D629" s="6" t="n">
        <s:v>24633</s:v>
      </s:c>
      <s:c r="E629" s="6" t="n">
        <s:v>9730</s:v>
      </s:c>
      <s:c r="F629" s="6" t="n">
        <s:v>10331</s:v>
      </s:c>
      <s:c r="G629" s="6" t="n">
        <s:v>23535</s:v>
      </s:c>
      <s:c r="H629" s="6" t="n">
        <s:v>23398</s:v>
      </s:c>
      <s:c r="I629" s="6" t="n">
        <s:v>4895</s:v>
      </s:c>
      <s:c r="J629" s="6" t="n">
        <s:f>IF(COUNT(C629:I629)=7,SUM(C629:I629),"")</s:f>
        <s:v>106217</s:v>
      </s:c>
    </s:row>
    <s:row r="630">
      <s:c r="A630" s="5" t="n">
        <s:v>46292</s:v>
      </s:c>
      <s:c r="B630" s="2" t="n">
        <s:v>1</s:v>
      </s:c>
      <s:c r="C630" s="6" t="n">
        <s:v>9358</s:v>
      </s:c>
      <s:c r="D630" s="6" t="n">
        <s:v>23788</s:v>
      </s:c>
      <s:c r="E630" s="6" t="n">
        <s:v>9357</s:v>
      </s:c>
      <s:c r="F630" s="6" t="n">
        <s:v>10154</s:v>
      </s:c>
      <s:c r="G630" s="6" t="n">
        <s:v>22953</s:v>
      </s:c>
      <s:c r="H630" s="6" t="n">
        <s:v>23283</s:v>
      </s:c>
      <s:c r="I630" s="6" t="n">
        <s:v>5156</s:v>
      </s:c>
      <s:c r="J630" s="6" t="n">
        <s:f>IF(COUNT(C630:I630)=7,SUM(C630:I630),"")</s:f>
        <s:v>104049</s:v>
      </s:c>
    </s:row>
    <s:row r="631">
      <s:c r="A631" s="5" t="n">
        <s:v>46292</s:v>
      </s:c>
      <s:c r="B631" s="2" t="n">
        <s:v>2</s:v>
      </s:c>
      <s:c r="C631" s="6" t="n">
        <s:v>9212</s:v>
      </s:c>
      <s:c r="D631" s="6" t="n">
        <s:v>23572</s:v>
      </s:c>
      <s:c r="E631" s="6" t="n">
        <s:v>9138</s:v>
      </s:c>
      <s:c r="F631" s="6" t="n">
        <s:v>10194</s:v>
      </s:c>
      <s:c r="G631" s="6" t="n">
        <s:v>23193</s:v>
      </s:c>
      <s:c r="H631" s="6" t="n">
        <s:v>23795</s:v>
      </s:c>
      <s:c r="I631" s="6" t="n">
        <s:v>5396</s:v>
      </s:c>
      <s:c r="J631" s="6" t="n">
        <s:f>IF(COUNT(C631:I631)=7,SUM(C631:I631),"")</s:f>
        <s:v>104500</s:v>
      </s:c>
    </s:row>
    <s:row r="632">
      <s:c r="A632" s="5" t="n">
        <s:v>46292</s:v>
      </s:c>
      <s:c r="B632" s="2" t="n">
        <s:v>3</s:v>
      </s:c>
      <s:c r="C632" s="6" t="n">
        <s:v>9176</s:v>
      </s:c>
      <s:c r="D632" s="6" t="n">
        <s:v>23042</s:v>
      </s:c>
      <s:c r="E632" s="6" t="n">
        <s:v>9130</s:v>
      </s:c>
      <s:c r="F632" s="6" t="n">
        <s:v>10117</s:v>
      </s:c>
      <s:c r="G632" s="6" t="n">
        <s:v>23252</s:v>
      </s:c>
      <s:c r="H632" s="6" t="n">
        <s:v>24348</s:v>
      </s:c>
      <s:c r="I632" s="6" t="n">
        <s:v>5399</s:v>
      </s:c>
      <s:c r="J632" s="6" t="n">
        <s:f>IF(COUNT(C632:I632)=7,SUM(C632:I632),"")</s:f>
        <s:v>104464</s:v>
      </s:c>
    </s:row>
    <s:row r="633">
      <s:c r="A633" s="5" t="n">
        <s:v>46292</s:v>
      </s:c>
      <s:c r="B633" s="2" t="n">
        <s:v>4</s:v>
      </s:c>
      <s:c r="C633" s="6" t="n">
        <s:v>9171</s:v>
      </s:c>
      <s:c r="D633" s="6" t="n">
        <s:v>23310</s:v>
      </s:c>
      <s:c r="E633" s="6" t="n">
        <s:v>9163</s:v>
      </s:c>
      <s:c r="F633" s="6" t="n">
        <s:v>10199</s:v>
      </s:c>
      <s:c r="G633" s="6" t="n">
        <s:v>23359</s:v>
      </s:c>
      <s:c r="H633" s="6" t="n">
        <s:v>24829</s:v>
      </s:c>
      <s:c r="I633" s="6" t="n">
        <s:v>5422</s:v>
      </s:c>
      <s:c r="J633" s="6" t="n">
        <s:f>IF(COUNT(C633:I633)=7,SUM(C633:I633),"")</s:f>
        <s:v>105453</s:v>
      </s:c>
    </s:row>
    <s:row r="634">
      <s:c r="A634" s="5" t="n">
        <s:v>46292</s:v>
      </s:c>
      <s:c r="B634" s="2" t="n">
        <s:v>5</s:v>
      </s:c>
      <s:c r="C634" s="6" t="n">
        <s:v>9277</s:v>
      </s:c>
      <s:c r="D634" s="6" t="n">
        <s:v>24017</s:v>
      </s:c>
      <s:c r="E634" s="6" t="n">
        <s:v>9342</s:v>
      </s:c>
      <s:c r="F634" s="6" t="n">
        <s:v>10324</s:v>
      </s:c>
      <s:c r="G634" s="6" t="n">
        <s:v>23834</s:v>
      </s:c>
      <s:c r="H634" s="6" t="n">
        <s:v>25535</s:v>
      </s:c>
      <s:c r="I634" s="6" t="n">
        <s:v>5329</s:v>
      </s:c>
      <s:c r="J634" s="6" t="n">
        <s:f>IF(COUNT(C634:I634)=7,SUM(C634:I634),"")</s:f>
        <s:v>107658</s:v>
      </s:c>
    </s:row>
    <s:row r="635">
      <s:c r="A635" s="5" t="n">
        <s:v>46292</s:v>
      </s:c>
      <s:c r="B635" s="2" t="n">
        <s:v>6</s:v>
      </s:c>
      <s:c r="C635" s="6" t="n">
        <s:v>9336</s:v>
      </s:c>
      <s:c r="D635" s="6" t="n">
        <s:v>24181</s:v>
      </s:c>
      <s:c r="E635" s="6" t="n">
        <s:v>9705</s:v>
      </s:c>
      <s:c r="F635" s="6" t="n">
        <s:v>10524</s:v>
      </s:c>
      <s:c r="G635" s="6" t="n">
        <s:v>25308</s:v>
      </s:c>
      <s:c r="H635" s="6" t="n">
        <s:v>25776</s:v>
      </s:c>
      <s:c r="I635" s="6" t="n">
        <s:v>5236</s:v>
      </s:c>
      <s:c r="J635" s="6" t="n">
        <s:f>IF(COUNT(C635:I635)=7,SUM(C635:I635),"")</s:f>
        <s:v>110066</s:v>
      </s:c>
    </s:row>
    <s:row r="636">
      <s:c r="A636" s="5" t="n">
        <s:v>46292</s:v>
      </s:c>
      <s:c r="B636" s="2" t="n">
        <s:v>7</s:v>
      </s:c>
      <s:c r="C636" s="6" t="n">
        <s:v>9616</s:v>
      </s:c>
      <s:c r="D636" s="6" t="n">
        <s:v>25115</s:v>
      </s:c>
      <s:c r="E636" s="6" t="n">
        <s:v>10407</s:v>
      </s:c>
      <s:c r="F636" s="6" t="n">
        <s:v>11314</s:v>
      </s:c>
      <s:c r="G636" s="6" t="n">
        <s:v>25749</s:v>
      </s:c>
      <s:c r="H636" s="6" t="n">
        <s:v>25777</s:v>
      </s:c>
      <s:c r="I636" s="6" t="n">
        <s:v>5178</s:v>
      </s:c>
      <s:c r="J636" s="6" t="n">
        <s:f>IF(COUNT(C636:I636)=7,SUM(C636:I636),"")</s:f>
        <s:v>113156</s:v>
      </s:c>
    </s:row>
    <s:row r="637">
      <s:c r="A637" s="5" t="n">
        <s:v>46292</s:v>
      </s:c>
      <s:c r="B637" s="2" t="n">
        <s:v>8</s:v>
      </s:c>
      <s:c r="C637" s="6" t="n">
        <s:v>10173</s:v>
      </s:c>
      <s:c r="D637" s="6" t="n">
        <s:v>27107</s:v>
      </s:c>
      <s:c r="E637" s="6" t="n">
        <s:v>11060</s:v>
      </s:c>
      <s:c r="F637" s="6" t="n">
        <s:v>11727</s:v>
      </s:c>
      <s:c r="G637" s="6" t="n">
        <s:v>26132</s:v>
      </s:c>
      <s:c r="H637" s="6" t="n">
        <s:v>25954</s:v>
      </s:c>
      <s:c r="I637" s="6" t="n">
        <s:v>5112</s:v>
      </s:c>
      <s:c r="J637" s="6" t="n">
        <s:f>IF(COUNT(C637:I637)=7,SUM(C637:I637),"")</s:f>
        <s:v>117265</s:v>
      </s:c>
    </s:row>
    <s:row r="638">
      <s:c r="A638" s="5" t="n">
        <s:v>46292</s:v>
      </s:c>
      <s:c r="B638" s="2" t="n">
        <s:v>9</s:v>
      </s:c>
      <s:c r="C638" s="6" t="n">
        <s:v>10666</s:v>
      </s:c>
      <s:c r="D638" s="6" t="n">
        <s:v>28219</s:v>
      </s:c>
      <s:c r="E638" s="6" t="n">
        <s:v>11453</s:v>
      </s:c>
      <s:c r="F638" s="6" t="n">
        <s:v>12006</s:v>
      </s:c>
      <s:c r="G638" s="6" t="n">
        <s:v>26297</s:v>
      </s:c>
      <s:c r="H638" s="6" t="n">
        <s:v>25809</s:v>
      </s:c>
      <s:c r="I638" s="6" t="n">
        <s:v>5155</s:v>
      </s:c>
      <s:c r="J638" s="6" t="n">
        <s:f>IF(COUNT(C638:I638)=7,SUM(C638:I638),"")</s:f>
        <s:v>119605</s:v>
      </s:c>
    </s:row>
    <s:row r="639">
      <s:c r="A639" s="5" t="n">
        <s:v>46292</s:v>
      </s:c>
      <s:c r="B639" s="2" t="n">
        <s:v>10</s:v>
      </s:c>
      <s:c r="C639" s="6" t="n">
        <s:v>10909</s:v>
      </s:c>
      <s:c r="D639" s="6" t="n">
        <s:v>28327</s:v>
      </s:c>
      <s:c r="E639" s="6" t="n">
        <s:v>11663</s:v>
      </s:c>
      <s:c r="F639" s="6" t="n">
        <s:v>12007</s:v>
      </s:c>
      <s:c r="G639" s="6" t="n">
        <s:v>26305</s:v>
      </s:c>
      <s:c r="H639" s="6" t="n">
        <s:v>25857</s:v>
      </s:c>
      <s:c r="I639" s="6" t="n">
        <s:v>5207</s:v>
      </s:c>
      <s:c r="J639" s="6" t="n">
        <s:f>IF(COUNT(C639:I639)=7,SUM(C639:I639),"")</s:f>
        <s:v>120275</s:v>
      </s:c>
    </s:row>
    <s:row r="640">
      <s:c r="A640" s="5" t="n">
        <s:v>46292</s:v>
      </s:c>
      <s:c r="B640" s="2" t="n">
        <s:v>11</s:v>
      </s:c>
      <s:c r="C640" s="6" t="n">
        <s:v>10870</s:v>
      </s:c>
      <s:c r="D640" s="6" t="n">
        <s:v>28579</s:v>
      </s:c>
      <s:c r="E640" s="6" t="n">
        <s:v>11876</s:v>
      </s:c>
      <s:c r="F640" s="6" t="n">
        <s:v>11879</s:v>
      </s:c>
      <s:c r="G640" s="6" t="n">
        <s:v>26010</s:v>
      </s:c>
      <s:c r="H640" s="6" t="n">
        <s:v>25888</s:v>
      </s:c>
      <s:c r="I640" s="6" t="n">
        <s:v>5437</s:v>
      </s:c>
      <s:c r="J640" s="6" t="n">
        <s:f>IF(COUNT(C640:I640)=7,SUM(C640:I640),"")</s:f>
        <s:v>120539</s:v>
      </s:c>
    </s:row>
    <s:row r="641">
      <s:c r="A641" s="5" t="n">
        <s:v>46292</s:v>
      </s:c>
      <s:c r="B641" s="2" t="n">
        <s:v>12</s:v>
      </s:c>
      <s:c r="C641" s="6" t="n">
        <s:v>10847</s:v>
      </s:c>
      <s:c r="D641" s="6" t="n">
        <s:v>28548</s:v>
      </s:c>
      <s:c r="E641" s="6" t="n">
        <s:v>11710</s:v>
      </s:c>
      <s:c r="F641" s="6" t="n">
        <s:v>12018</s:v>
      </s:c>
      <s:c r="G641" s="6" t="n">
        <s:v>26069</s:v>
      </s:c>
      <s:c r="H641" s="6" t="n">
        <s:v>26146</s:v>
      </s:c>
      <s:c r="I641" s="6" t="n">
        <s:v>5464</s:v>
      </s:c>
      <s:c r="J641" s="6" t="n">
        <s:f>IF(COUNT(C641:I641)=7,SUM(C641:I641),"")</s:f>
        <s:v>120802</s:v>
      </s:c>
    </s:row>
    <s:row r="642">
      <s:c r="A642" s="5" t="n">
        <s:v>46292</s:v>
      </s:c>
      <s:c r="B642" s="2" t="n">
        <s:v>13</s:v>
      </s:c>
      <s:c r="C642" s="6" t="n">
        <s:v>10782</s:v>
      </s:c>
      <s:c r="D642" s="6" t="n">
        <s:v>28440</s:v>
      </s:c>
      <s:c r="E642" s="6" t="n">
        <s:v>11710</s:v>
      </s:c>
      <s:c r="F642" s="6" t="n">
        <s:v>12021</s:v>
      </s:c>
      <s:c r="G642" s="6" t="n">
        <s:v>25887</s:v>
      </s:c>
      <s:c r="H642" s="6" t="n">
        <s:v>26196</s:v>
      </s:c>
      <s:c r="I642" s="6" t="n">
        <s:v>5585</s:v>
      </s:c>
      <s:c r="J642" s="6" t="n">
        <s:f>IF(COUNT(C642:I642)=7,SUM(C642:I642),"")</s:f>
        <s:v>120621</s:v>
      </s:c>
    </s:row>
    <s:row r="643">
      <s:c r="A643" s="5" t="n">
        <s:v>46292</s:v>
      </s:c>
      <s:c r="B643" s="2" t="n">
        <s:v>14</s:v>
      </s:c>
      <s:c r="C643" s="6" t="n">
        <s:v>10758</s:v>
      </s:c>
      <s:c r="D643" s="6" t="n">
        <s:v>28646</s:v>
      </s:c>
      <s:c r="E643" s="6" t="n">
        <s:v>11622</s:v>
      </s:c>
      <s:c r="F643" s="6" t="n">
        <s:v>12047</s:v>
      </s:c>
      <s:c r="G643" s="6" t="n">
        <s:v>25871</s:v>
      </s:c>
      <s:c r="H643" s="6" t="n">
        <s:v>26311</s:v>
      </s:c>
      <s:c r="I643" s="6" t="n">
        <s:v>5335</s:v>
      </s:c>
      <s:c r="J643" s="6" t="n">
        <s:f>IF(COUNT(C643:I643)=7,SUM(C643:I643),"")</s:f>
        <s:v>120590</s:v>
      </s:c>
    </s:row>
    <s:row r="644">
      <s:c r="A644" s="5" t="n">
        <s:v>46292</s:v>
      </s:c>
      <s:c r="B644" s="2" t="n">
        <s:v>15</s:v>
      </s:c>
      <s:c r="C644" s="6" t="n">
        <s:v>10787</s:v>
      </s:c>
      <s:c r="D644" s="6" t="n">
        <s:v>28539</s:v>
      </s:c>
      <s:c r="E644" s="6" t="n">
        <s:v>11827</s:v>
      </s:c>
      <s:c r="F644" s="6" t="n">
        <s:v>11808</s:v>
      </s:c>
      <s:c r="G644" s="6" t="n">
        <s:v>26124</s:v>
      </s:c>
      <s:c r="H644" s="6" t="n">
        <s:v>26457</s:v>
      </s:c>
      <s:c r="I644" s="6" t="n">
        <s:v>5147</s:v>
      </s:c>
      <s:c r="J644" s="6" t="n">
        <s:f>IF(COUNT(C644:I644)=7,SUM(C644:I644),"")</s:f>
        <s:v>120689</s:v>
      </s:c>
    </s:row>
    <s:row r="645">
      <s:c r="A645" s="5" t="n">
        <s:v>46292</s:v>
      </s:c>
      <s:c r="B645" s="2" t="n">
        <s:v>16</s:v>
      </s:c>
      <s:c r="C645" s="6" t="n">
        <s:v>10802</s:v>
      </s:c>
      <s:c r="D645" s="6" t="n">
        <s:v>28642</s:v>
      </s:c>
      <s:c r="E645" s="6" t="n">
        <s:v>11891</s:v>
      </s:c>
      <s:c r="F645" s="6" t="n">
        <s:v>12047</s:v>
      </s:c>
      <s:c r="G645" s="6" t="n">
        <s:v>26478</s:v>
      </s:c>
      <s:c r="H645" s="6" t="n">
        <s:v>26267</s:v>
      </s:c>
      <s:c r="I645" s="6" t="n">
        <s:v>5058</s:v>
      </s:c>
      <s:c r="J645" s="6" t="n">
        <s:f>IF(COUNT(C645:I645)=7,SUM(C645:I645),"")</s:f>
        <s:v>121185</s:v>
      </s:c>
    </s:row>
    <s:row r="646">
      <s:c r="A646" s="5" t="n">
        <s:v>46292</s:v>
      </s:c>
      <s:c r="B646" s="2" t="n">
        <s:v>17</s:v>
      </s:c>
      <s:c r="C646" s="6" t="n">
        <s:v>10911</s:v>
      </s:c>
      <s:c r="D646" s="6" t="n">
        <s:v>29072</s:v>
      </s:c>
      <s:c r="E646" s="6" t="n">
        <s:v>12109</s:v>
      </s:c>
      <s:c r="F646" s="6" t="n">
        <s:v>12530</s:v>
      </s:c>
      <s:c r="G646" s="6" t="n">
        <s:v>26788</s:v>
      </s:c>
      <s:c r="H646" s="6" t="n">
        <s:v>25657</s:v>
      </s:c>
      <s:c r="I646" s="6" t="n">
        <s:v>4781</s:v>
      </s:c>
      <s:c r="J646" s="6" t="n">
        <s:f>IF(COUNT(C646:I646)=7,SUM(C646:I646),"")</s:f>
        <s:v>121848</s:v>
      </s:c>
    </s:row>
    <s:row r="647">
      <s:c r="A647" s="5" t="n">
        <s:v>46292</s:v>
      </s:c>
      <s:c r="B647" s="2" t="n">
        <s:v>18</s:v>
      </s:c>
      <s:c r="C647" s="6" t="n">
        <s:v>11185</s:v>
      </s:c>
      <s:c r="D647" s="6" t="n">
        <s:v>30258</s:v>
      </s:c>
      <s:c r="E647" s="6" t="n">
        <s:v>12747</s:v>
      </s:c>
      <s:c r="F647" s="6" t="n">
        <s:v>12551</s:v>
      </s:c>
      <s:c r="G647" s="6" t="n">
        <s:v>26777</s:v>
      </s:c>
      <s:c r="H647" s="6" t="n">
        <s:v>24803</s:v>
      </s:c>
      <s:c r="I647" s="6" t="n">
        <s:v>4725</s:v>
      </s:c>
      <s:c r="J647" s="6" t="n">
        <s:f>IF(COUNT(C647:I647)=7,SUM(C647:I647),"")</s:f>
        <s:v>123046</s:v>
      </s:c>
    </s:row>
    <s:row r="648">
      <s:c r="A648" s="5" t="n">
        <s:v>46292</s:v>
      </s:c>
      <s:c r="B648" s="2" t="n">
        <s:v>19</s:v>
      </s:c>
      <s:c r="C648" s="6" t="n">
        <s:v>11296</s:v>
      </s:c>
      <s:c r="D648" s="6" t="n">
        <s:v>29667</s:v>
      </s:c>
      <s:c r="E648" s="6" t="n">
        <s:v>12634</s:v>
      </s:c>
      <s:c r="F648" s="6" t="n">
        <s:v>12328</s:v>
      </s:c>
      <s:c r="G648" s="6" t="n">
        <s:v>26199</s:v>
      </s:c>
      <s:c r="H648" s="6" t="n">
        <s:v>24239</s:v>
      </s:c>
      <s:c r="I648" s="6" t="n">
        <s:v>4637</s:v>
      </s:c>
      <s:c r="J648" s="6" t="n">
        <s:f>IF(COUNT(C648:I648)=7,SUM(C648:I648),"")</s:f>
        <s:v>121000</s:v>
      </s:c>
    </s:row>
    <s:row r="649">
      <s:c r="A649" s="5" t="n">
        <s:v>46292</s:v>
      </s:c>
      <s:c r="B649" s="2" t="n">
        <s:v>20</s:v>
      </s:c>
      <s:c r="C649" s="6" t="n">
        <s:v>11321</s:v>
      </s:c>
      <s:c r="D649" s="6" t="n">
        <s:v>29441</s:v>
      </s:c>
      <s:c r="E649" s="6" t="n">
        <s:v>12332</s:v>
      </s:c>
      <s:c r="F649" s="6" t="n">
        <s:v>12048</s:v>
      </s:c>
      <s:c r="G649" s="6" t="n">
        <s:v>25417</s:v>
      </s:c>
      <s:c r="H649" s="6" t="n">
        <s:v>23706</s:v>
      </s:c>
      <s:c r="I649" s="6" t="n">
        <s:v>4553</s:v>
      </s:c>
      <s:c r="J649" s="6" t="n">
        <s:f>IF(COUNT(C649:I649)=7,SUM(C649:I649),"")</s:f>
        <s:v>118818</s:v>
      </s:c>
    </s:row>
    <s:row r="650">
      <s:c r="A650" s="5" t="n">
        <s:v>46292</s:v>
      </s:c>
      <s:c r="B650" s="2" t="n">
        <s:v>21</s:v>
      </s:c>
      <s:c r="C650" s="6" t="n">
        <s:v>10972</s:v>
      </s:c>
      <s:c r="D650" s="6" t="n">
        <s:v>28372</s:v>
      </s:c>
      <s:c r="E650" s="6" t="n">
        <s:v>11452</s:v>
      </s:c>
      <s:c r="F650" s="6" t="n">
        <s:v>11430</s:v>
      </s:c>
      <s:c r="G650" s="6" t="n">
        <s:v>24830</s:v>
      </s:c>
      <s:c r="H650" s="6" t="n">
        <s:v>23428</s:v>
      </s:c>
      <s:c r="I650" s="6" t="n">
        <s:v>4558</s:v>
      </s:c>
      <s:c r="J650" s="6" t="n">
        <s:f>IF(COUNT(C650:I650)=7,SUM(C650:I650),"")</s:f>
        <s:v>115042</s:v>
      </s:c>
    </s:row>
    <s:row r="651">
      <s:c r="A651" s="5" t="n">
        <s:v>46292</s:v>
      </s:c>
      <s:c r="B651" s="2" t="n">
        <s:v>22</s:v>
      </s:c>
      <s:c r="C651" s="6" t="n">
        <s:v>10468</s:v>
      </s:c>
      <s:c r="D651" s="6" t="n">
        <s:v>26461</s:v>
      </s:c>
      <s:c r="E651" s="6" t="n">
        <s:v>10689</s:v>
      </s:c>
      <s:c r="F651" s="6" t="n">
        <s:v>11048</s:v>
      </s:c>
      <s:c r="G651" s="6" t="n">
        <s:v>24051</s:v>
      </s:c>
      <s:c r="H651" s="6" t="n">
        <s:v>23144</s:v>
      </s:c>
      <s:c r="I651" s="6" t="n">
        <s:v>4713</s:v>
      </s:c>
      <s:c r="J651" s="6" t="n">
        <s:f>IF(COUNT(C651:I651)=7,SUM(C651:I651),"")</s:f>
        <s:v>110574</s:v>
      </s:c>
    </s:row>
    <s:row r="652">
      <s:c r="A652" s="5" t="n">
        <s:v>46292</s:v>
      </s:c>
      <s:c r="B652" s="2" t="n">
        <s:v>23</s:v>
      </s:c>
      <s:c r="C652" s="6" t="n">
        <s:v>10025</s:v>
      </s:c>
      <s:c r="D652" s="6" t="n">
        <s:v>25216</s:v>
      </s:c>
      <s:c r="E652" s="6" t="n">
        <s:v>9896</s:v>
      </s:c>
      <s:c r="F652" s="6" t="n">
        <s:v>10665</s:v>
      </s:c>
      <s:c r="G652" s="6" t="n">
        <s:v>23498</s:v>
      </s:c>
      <s:c r="H652" s="6" t="n">
        <s:v>23225</s:v>
      </s:c>
      <s:c r="I652" s="6" t="n">
        <s:v>4921</s:v>
      </s:c>
      <s:c r="J652" s="6" t="n">
        <s:f>IF(COUNT(C652:I652)=7,SUM(C652:I652),"")</s:f>
        <s:v>107446</s:v>
      </s:c>
    </s:row>
    <s:row r="653">
      <s:c r="A653" s="5" t="n">
        <s:v>46293</s:v>
      </s:c>
      <s:c r="B653" s="2" t="n">
        <s:v>0</s:v>
      </s:c>
      <s:c r="C653" s="6" t="n">
        <s:v>9516</s:v>
      </s:c>
      <s:c r="D653" s="6" t="n">
        <s:v>24124</s:v>
      </s:c>
      <s:c r="E653" s="6" t="n">
        <s:v>9707</s:v>
      </s:c>
      <s:c r="F653" s="6" t="n">
        <s:v>10337</s:v>
      </s:c>
      <s:c r="G653" s="6" t="n">
        <s:v>23471</s:v>
      </s:c>
      <s:c r="H653" s="6" t="n">
        <s:v>23489</s:v>
      </s:c>
      <s:c r="I653" s="6" t="n">
        <s:v>5136</s:v>
      </s:c>
      <s:c r="J653" s="6" t="n">
        <s:f>IF(COUNT(C653:I653)=7,SUM(C653:I653),"")</s:f>
        <s:v>105780</s:v>
      </s:c>
    </s:row>
    <s:row r="654">
      <s:c r="A654" s="5" t="n">
        <s:v>46293</s:v>
      </s:c>
      <s:c r="B654" s="2" t="n">
        <s:v>1</s:v>
      </s:c>
      <s:c r="C654" s="6" t="n">
        <s:v>9302</s:v>
      </s:c>
      <s:c r="D654" s="6" t="n">
        <s:v>23337</s:v>
      </s:c>
      <s:c r="E654" s="6" t="n">
        <s:v>9196</s:v>
      </s:c>
      <s:c r="F654" s="6" t="n">
        <s:v>10117</s:v>
      </s:c>
      <s:c r="G654" s="6" t="n">
        <s:v>23435</s:v>
      </s:c>
      <s:c r="H654" s="6" t="n">
        <s:v>23940</s:v>
      </s:c>
      <s:c r="I654" s="6" t="n">
        <s:v>5334</s:v>
      </s:c>
      <s:c r="J654" s="6" t="n">
        <s:f>IF(COUNT(C654:I654)=7,SUM(C654:I654),"")</s:f>
        <s:v>104661</s:v>
      </s:c>
    </s:row>
    <s:row r="655">
      <s:c r="A655" s="5" t="n">
        <s:v>46293</s:v>
      </s:c>
      <s:c r="B655" s="2" t="n">
        <s:v>2</s:v>
      </s:c>
      <s:c r="C655" s="6" t="n">
        <s:v>9207</s:v>
      </s:c>
      <s:c r="D655" s="6" t="n">
        <s:v>23171</s:v>
      </s:c>
      <s:c r="E655" s="6" t="n">
        <s:v>9232</s:v>
      </s:c>
      <s:c r="F655" s="6" t="n">
        <s:v>10218</s:v>
      </s:c>
      <s:c r="G655" s="6" t="n">
        <s:v>23319</s:v>
      </s:c>
      <s:c r="H655" s="6" t="n">
        <s:v>24950</s:v>
      </s:c>
      <s:c r="I655" s="6" t="n">
        <s:v>5355</s:v>
      </s:c>
      <s:c r="J655" s="6" t="n">
        <s:f>IF(COUNT(C655:I655)=7,SUM(C655:I655),"")</s:f>
        <s:v>105452</s:v>
      </s:c>
    </s:row>
    <s:row r="656">
      <s:c r="A656" s="5" t="n">
        <s:v>46293</s:v>
      </s:c>
      <s:c r="B656" s="2" t="n">
        <s:v>3</s:v>
      </s:c>
      <s:c r="C656" s="6" t="n">
        <s:v>9105</s:v>
      </s:c>
      <s:c r="D656" s="6" t="n">
        <s:v>23214</s:v>
      </s:c>
      <s:c r="E656" s="6" t="n">
        <s:v>9047</s:v>
      </s:c>
      <s:c r="F656" s="6" t="n">
        <s:v>10297</s:v>
      </s:c>
      <s:c r="G656" s="6" t="n">
        <s:v>23914</s:v>
      </s:c>
      <s:c r="H656" s="6" t="n">
        <s:v>25111</s:v>
      </s:c>
      <s:c r="I656" s="6" t="n">
        <s:v>5514</s:v>
      </s:c>
      <s:c r="J656" s="6" t="n">
        <s:f>IF(COUNT(C656:I656)=7,SUM(C656:I656),"")</s:f>
        <s:v>106202</s:v>
      </s:c>
    </s:row>
    <s:row r="657">
      <s:c r="A657" s="5" t="n">
        <s:v>46293</s:v>
      </s:c>
      <s:c r="B657" s="2" t="n">
        <s:v>4</s:v>
      </s:c>
      <s:c r="C657" s="6" t="n">
        <s:v>9211</s:v>
      </s:c>
      <s:c r="D657" s="6" t="n">
        <s:v>23519</s:v>
      </s:c>
      <s:c r="E657" s="6" t="n">
        <s:v>9340</s:v>
      </s:c>
      <s:c r="F657" s="6" t="n">
        <s:v>10649</s:v>
      </s:c>
      <s:c r="G657" s="6" t="n">
        <s:v>24677</s:v>
      </s:c>
      <s:c r="H657" s="6" t="n">
        <s:v>25742</s:v>
      </s:c>
      <s:c r="I657" s="6" t="n">
        <s:v>5401</s:v>
      </s:c>
      <s:c r="J657" s="6" t="n">
        <s:f>IF(COUNT(C657:I657)=7,SUM(C657:I657),"")</s:f>
        <s:v>108539</s:v>
      </s:c>
    </s:row>
    <s:row r="658">
      <s:c r="A658" s="5" t="n">
        <s:v>46293</s:v>
      </s:c>
      <s:c r="B658" s="2" t="n">
        <s:v>5</s:v>
      </s:c>
      <s:c r="C658" s="6" t="n">
        <s:v>9555</s:v>
      </s:c>
      <s:c r="D658" s="6" t="n">
        <s:v>24948</s:v>
      </s:c>
      <s:c r="E658" s="6" t="n">
        <s:v>9830</s:v>
      </s:c>
      <s:c r="F658" s="6" t="n">
        <s:v>11197</s:v>
      </s:c>
      <s:c r="G658" s="6" t="n">
        <s:v>25764</s:v>
      </s:c>
      <s:c r="H658" s="6" t="n">
        <s:v>25961</s:v>
      </s:c>
      <s:c r="I658" s="6" t="n">
        <s:v>5247</s:v>
      </s:c>
      <s:c r="J658" s="6" t="n">
        <s:f>IF(COUNT(C658:I658)=7,SUM(C658:I658),"")</s:f>
        <s:v>112502</s:v>
      </s:c>
    </s:row>
    <s:row r="659">
      <s:c r="A659" s="5" t="n">
        <s:v>46293</s:v>
      </s:c>
      <s:c r="B659" s="2" t="n">
        <s:v>6</s:v>
      </s:c>
      <s:c r="C659" s="6" t="n">
        <s:v>9948</s:v>
      </s:c>
      <s:c r="D659" s="6" t="n">
        <s:v>26326</s:v>
      </s:c>
      <s:c r="E659" s="6" t="n">
        <s:v>10514</s:v>
      </s:c>
      <s:c r="F659" s="6" t="n">
        <s:v>12124</s:v>
      </s:c>
      <s:c r="G659" s="6" t="n">
        <s:v>26720</s:v>
      </s:c>
      <s:c r="H659" s="6" t="n">
        <s:v>25944</s:v>
      </s:c>
      <s:c r="I659" s="6" t="n">
        <s:v>5114</s:v>
      </s:c>
      <s:c r="J659" s="6" t="n">
        <s:f>IF(COUNT(C659:I659)=7,SUM(C659:I659),"")</s:f>
        <s:v>116690</s:v>
      </s:c>
    </s:row>
    <s:row r="660">
      <s:c r="A660" s="5" t="n">
        <s:v>46293</s:v>
      </s:c>
      <s:c r="B660" s="2" t="n">
        <s:v>7</s:v>
      </s:c>
      <s:c r="C660" s="6" t="n">
        <s:v>10467</s:v>
      </s:c>
      <s:c r="D660" s="6" t="n">
        <s:v>28229</s:v>
      </s:c>
      <s:c r="E660" s="6" t="n">
        <s:v>11056</s:v>
      </s:c>
      <s:c r="F660" s="6" t="n">
        <s:v>12919</s:v>
      </s:c>
      <s:c r="G660" s="6" t="n">
        <s:v>26806</s:v>
      </s:c>
      <s:c r="H660" s="6" t="n">
        <s:v>25725</s:v>
      </s:c>
      <s:c r="I660" s="6" t="n">
        <s:v>5072</s:v>
      </s:c>
      <s:c r="J660" s="6" t="n">
        <s:f>IF(COUNT(C660:I660)=7,SUM(C660:I660),"")</s:f>
        <s:v>120274</s:v>
      </s:c>
    </s:row>
    <s:row r="661">
      <s:c r="A661" s="5" t="n">
        <s:v>46293</s:v>
      </s:c>
      <s:c r="B661" s="2" t="n">
        <s:v>8</s:v>
      </s:c>
      <s:c r="C661" s="6" t="n">
        <s:v>11176</s:v>
      </s:c>
      <s:c r="D661" s="6" t="n">
        <s:v>30221</s:v>
      </s:c>
      <s:c r="E661" s="6" t="n">
        <s:v>11814</s:v>
      </s:c>
      <s:c r="F661" s="6" t="n">
        <s:v>13446</s:v>
      </s:c>
      <s:c r="G661" s="6" t="n">
        <s:v>26875</s:v>
      </s:c>
      <s:c r="H661" s="6" t="n">
        <s:v>26134</s:v>
      </s:c>
      <s:c r="I661" s="6" t="n">
        <s:v>5175</s:v>
      </s:c>
      <s:c r="J661" s="6" t="n">
        <s:f>IF(COUNT(C661:I661)=7,SUM(C661:I661),"")</s:f>
        <s:v>124841</s:v>
      </s:c>
    </s:row>
    <s:row r="662">
      <s:c r="A662" s="5" t="n">
        <s:v>46293</s:v>
      </s:c>
      <s:c r="B662" s="2" t="n">
        <s:v>9</s:v>
      </s:c>
      <s:c r="C662" s="6" t="n">
        <s:v>11412</s:v>
      </s:c>
      <s:c r="D662" s="6" t="n">
        <s:v>30854</s:v>
      </s:c>
      <s:c r="E662" s="6" t="n">
        <s:v>12172</s:v>
      </s:c>
      <s:c r="F662" s="6" t="n">
        <s:v>13314</s:v>
      </s:c>
      <s:c r="G662" s="6" t="n">
        <s:v>26499</s:v>
      </s:c>
      <s:c r="H662" s="6" t="n">
        <s:v>26145</s:v>
      </s:c>
      <s:c r="I662" s="6" t="n">
        <s:v>5228</s:v>
      </s:c>
      <s:c r="J662" s="6" t="n">
        <s:f>IF(COUNT(C662:I662)=7,SUM(C662:I662),"")</s:f>
        <s:v>125624</s:v>
      </s:c>
    </s:row>
    <s:row r="663">
      <s:c r="A663" s="5" t="n">
        <s:v>46293</s:v>
      </s:c>
      <s:c r="B663" s="2" t="n">
        <s:v>10</s:v>
      </s:c>
      <s:c r="C663" s="6" t="n">
        <s:v>11424</s:v>
      </s:c>
      <s:c r="D663" s="6" t="n">
        <s:v>30701</s:v>
      </s:c>
      <s:c r="E663" s="6" t="n">
        <s:v>12191</s:v>
      </s:c>
      <s:c r="F663" s="6" t="n">
        <s:v>13263</s:v>
      </s:c>
      <s:c r="G663" s="6" t="n">
        <s:v>26414</s:v>
      </s:c>
      <s:c r="H663" s="6" t="n">
        <s:v>26279</s:v>
      </s:c>
      <s:c r="I663" s="6" t="n">
        <s:v>5275</s:v>
      </s:c>
      <s:c r="J663" s="6" t="n">
        <s:f>IF(COUNT(C663:I663)=7,SUM(C663:I663),"")</s:f>
        <s:v>125547</s:v>
      </s:c>
    </s:row>
    <s:row r="664">
      <s:c r="A664" s="5" t="n">
        <s:v>46293</s:v>
      </s:c>
      <s:c r="B664" s="2" t="n">
        <s:v>11</s:v>
      </s:c>
      <s:c r="C664" s="6" t="n">
        <s:v>11339</s:v>
      </s:c>
      <s:c r="D664" s="6" t="n">
        <s:v>30502</s:v>
      </s:c>
      <s:c r="E664" s="6" t="n">
        <s:v>11984</s:v>
      </s:c>
      <s:c r="F664" s="6" t="n">
        <s:v>13217</s:v>
      </s:c>
      <s:c r="G664" s="6" t="n">
        <s:v>26641</s:v>
      </s:c>
      <s:c r="H664" s="6" t="n">
        <s:v>25638</s:v>
      </s:c>
      <s:c r="I664" s="6" t="n">
        <s:v>5352</s:v>
      </s:c>
      <s:c r="J664" s="6" t="n">
        <s:f>IF(COUNT(C664:I664)=7,SUM(C664:I664),"")</s:f>
        <s:v>124673</s:v>
      </s:c>
    </s:row>
    <s:row r="665">
      <s:c r="A665" s="5" t="n">
        <s:v>46293</s:v>
      </s:c>
      <s:c r="B665" s="2" t="n">
        <s:v>12</s:v>
      </s:c>
      <s:c r="C665" s="6" t="n">
        <s:v>11297</s:v>
      </s:c>
      <s:c r="D665" s="6" t="n">
        <s:v>30474</s:v>
      </s:c>
      <s:c r="E665" s="6" t="n">
        <s:v>12054</s:v>
      </s:c>
      <s:c r="F665" s="6" t="n">
        <s:v>13143</s:v>
      </s:c>
      <s:c r="G665" s="6" t="n">
        <s:v>26368</s:v>
      </s:c>
      <s:c r="H665" s="6" t="n">
        <s:v>25423</s:v>
      </s:c>
      <s:c r="I665" s="6" t="n">
        <s:v>5489</s:v>
      </s:c>
      <s:c r="J665" s="6" t="n">
        <s:f>IF(COUNT(C665:I665)=7,SUM(C665:I665),"")</s:f>
        <s:v>124248</s:v>
      </s:c>
    </s:row>
    <s:row r="666">
      <s:c r="A666" s="5" t="n">
        <s:v>46293</s:v>
      </s:c>
      <s:c r="B666" s="2" t="n">
        <s:v>13</s:v>
      </s:c>
      <s:c r="C666" s="6" t="n">
        <s:v>11180</s:v>
      </s:c>
      <s:c r="D666" s="6" t="n">
        <s:v>30368</s:v>
      </s:c>
      <s:c r="E666" s="6" t="n">
        <s:v>11996</s:v>
      </s:c>
      <s:c r="F666" s="6" t="n">
        <s:v>13180</s:v>
      </s:c>
      <s:c r="G666" s="6" t="n">
        <s:v>26569</s:v>
      </s:c>
      <s:c r="H666" s="6" t="n">
        <s:v>25779</s:v>
      </s:c>
      <s:c r="I666" s="6" t="n">
        <s:v>5509</s:v>
      </s:c>
      <s:c r="J666" s="6" t="n">
        <s:f>IF(COUNT(C666:I666)=7,SUM(C666:I666),"")</s:f>
        <s:v>124581</s:v>
      </s:c>
    </s:row>
    <s:row r="667">
      <s:c r="A667" s="5" t="n">
        <s:v>46293</s:v>
      </s:c>
      <s:c r="B667" s="2" t="n">
        <s:v>14</s:v>
      </s:c>
      <s:c r="C667" s="6" t="n">
        <s:v>11160</s:v>
      </s:c>
      <s:c r="D667" s="6" t="n">
        <s:v>30223</s:v>
      </s:c>
      <s:c r="E667" s="6" t="n">
        <s:v>12011</s:v>
      </s:c>
      <s:c r="F667" s="6" t="n">
        <s:v>12989</s:v>
      </s:c>
      <s:c r="G667" s="6" t="n">
        <s:v>26300</s:v>
      </s:c>
      <s:c r="H667" s="6" t="n">
        <s:v>26015</s:v>
      </s:c>
      <s:c r="I667" s="6" t="n">
        <s:v>5268</s:v>
      </s:c>
      <s:c r="J667" s="6" t="n">
        <s:f>IF(COUNT(C667:I667)=7,SUM(C667:I667),"")</s:f>
        <s:v>123966</s:v>
      </s:c>
    </s:row>
    <s:row r="668">
      <s:c r="A668" s="5" t="n">
        <s:v>46293</s:v>
      </s:c>
      <s:c r="B668" s="2" t="n">
        <s:v>15</s:v>
      </s:c>
      <s:c r="C668" s="6" t="n">
        <s:v>11224</s:v>
      </s:c>
      <s:c r="D668" s="6" t="n">
        <s:v>30221</s:v>
      </s:c>
      <s:c r="E668" s="6" t="n">
        <s:v>12183</s:v>
      </s:c>
      <s:c r="F668" s="6" t="n">
        <s:v>13064</s:v>
      </s:c>
      <s:c r="G668" s="6" t="n">
        <s:v>26405</s:v>
      </s:c>
      <s:c r="H668" s="6" t="n">
        <s:v>26196</s:v>
      </s:c>
      <s:c r="I668" s="6" t="n">
        <s:v>5135</s:v>
      </s:c>
      <s:c r="J668" s="6" t="n">
        <s:f>IF(COUNT(C668:I668)=7,SUM(C668:I668),"")</s:f>
        <s:v>124428</s:v>
      </s:c>
    </s:row>
    <s:row r="669">
      <s:c r="A669" s="5" t="n">
        <s:v>46293</s:v>
      </s:c>
      <s:c r="B669" s="2" t="n">
        <s:v>16</s:v>
      </s:c>
      <s:c r="C669" s="6" t="n">
        <s:v>11073</s:v>
      </s:c>
      <s:c r="D669" s="6" t="n">
        <s:v>29720</s:v>
      </s:c>
      <s:c r="E669" s="6" t="n">
        <s:v>11890</s:v>
      </s:c>
      <s:c r="F669" s="6" t="n">
        <s:v>12881</s:v>
      </s:c>
      <s:c r="G669" s="6" t="n">
        <s:v>26639</s:v>
      </s:c>
      <s:c r="H669" s="6" t="n">
        <s:v>26056</s:v>
      </s:c>
      <s:c r="I669" s="6" t="n">
        <s:v>5023</s:v>
      </s:c>
      <s:c r="J669" s="6" t="n">
        <s:f>IF(COUNT(C669:I669)=7,SUM(C669:I669),"")</s:f>
        <s:v>123282</s:v>
      </s:c>
    </s:row>
    <s:row r="670">
      <s:c r="A670" s="5" t="n">
        <s:v>46293</s:v>
      </s:c>
      <s:c r="B670" s="2" t="n">
        <s:v>17</s:v>
      </s:c>
      <s:c r="C670" s="6" t="n">
        <s:v>11003</s:v>
      </s:c>
      <s:c r="D670" s="6" t="n">
        <s:v>29929</s:v>
      </s:c>
      <s:c r="E670" s="6" t="n">
        <s:v>12405</s:v>
      </s:c>
      <s:c r="F670" s="6" t="n">
        <s:v>13137</s:v>
      </s:c>
      <s:c r="G670" s="6" t="n">
        <s:v>26820</s:v>
      </s:c>
      <s:c r="H670" s="6" t="n">
        <s:v>25900</s:v>
      </s:c>
      <s:c r="I670" s="6" t="n">
        <s:v>5011</s:v>
      </s:c>
      <s:c r="J670" s="6" t="n">
        <s:f>IF(COUNT(C670:I670)=7,SUM(C670:I670),"")</s:f>
        <s:v>124205</s:v>
      </s:c>
    </s:row>
    <s:row r="671">
      <s:c r="A671" s="5" t="n">
        <s:v>46293</s:v>
      </s:c>
      <s:c r="B671" s="2" t="n">
        <s:v>18</s:v>
      </s:c>
      <s:c r="C671" s="6" t="n">
        <s:v>11383</s:v>
      </s:c>
      <s:c r="D671" s="6" t="n">
        <s:v>31337</s:v>
      </s:c>
      <s:c r="E671" s="6" t="n">
        <s:v>12782</s:v>
      </s:c>
      <s:c r="F671" s="6" t="n">
        <s:v>13204</s:v>
      </s:c>
      <s:c r="G671" s="6" t="n">
        <s:v>26778</s:v>
      </s:c>
      <s:c r="H671" s="6" t="n">
        <s:v>25023</s:v>
      </s:c>
      <s:c r="I671" s="6" t="n">
        <s:v>4664</s:v>
      </s:c>
      <s:c r="J671" s="6" t="n">
        <s:f>IF(COUNT(C671:I671)=7,SUM(C671:I671),"")</s:f>
        <s:v>125171</s:v>
      </s:c>
    </s:row>
    <s:row r="672">
      <s:c r="A672" s="5" t="n">
        <s:v>46293</s:v>
      </s:c>
      <s:c r="B672" s="2" t="n">
        <s:v>19</s:v>
      </s:c>
      <s:c r="C672" s="6" t="n">
        <s:v>11481</s:v>
      </s:c>
      <s:c r="D672" s="6" t="n">
        <s:v>30973</s:v>
      </s:c>
      <s:c r="E672" s="6" t="n">
        <s:v>12601</s:v>
      </s:c>
      <s:c r="F672" s="6" t="n">
        <s:v>12845</s:v>
      </s:c>
      <s:c r="G672" s="6" t="n">
        <s:v>26159</s:v>
      </s:c>
      <s:c r="H672" s="6" t="n">
        <s:v>24316</s:v>
      </s:c>
      <s:c r="I672" s="6" t="n">
        <s:v>4683</s:v>
      </s:c>
      <s:c r="J672" s="6" t="n">
        <s:f>IF(COUNT(C672:I672)=7,SUM(C672:I672),"")</s:f>
        <s:v>123058</s:v>
      </s:c>
    </s:row>
    <s:row r="673">
      <s:c r="A673" s="5" t="n">
        <s:v>46293</s:v>
      </s:c>
      <s:c r="B673" s="2" t="n">
        <s:v>20</s:v>
      </s:c>
      <s:c r="C673" s="6" t="n">
        <s:v>11403</s:v>
      </s:c>
      <s:c r="D673" s="6" t="n">
        <s:v>30342</s:v>
      </s:c>
      <s:c r="E673" s="6" t="n">
        <s:v>12138</s:v>
      </s:c>
      <s:c r="F673" s="6" t="n">
        <s:v>12624</s:v>
      </s:c>
      <s:c r="G673" s="6" t="n">
        <s:v>25403</s:v>
      </s:c>
      <s:c r="H673" s="6" t="n">
        <s:v>23951</s:v>
      </s:c>
      <s:c r="I673" s="6" t="n">
        <s:v>4646</s:v>
      </s:c>
      <s:c r="J673" s="6" t="n">
        <s:f>IF(COUNT(C673:I673)=7,SUM(C673:I673),"")</s:f>
        <s:v>120507</s:v>
      </s:c>
    </s:row>
    <s:row r="674">
      <s:c r="A674" s="5" t="n">
        <s:v>46293</s:v>
      </s:c>
      <s:c r="B674" s="2" t="n">
        <s:v>21</s:v>
      </s:c>
      <s:c r="C674" s="6" t="n">
        <s:v>11151</s:v>
      </s:c>
      <s:c r="D674" s="6" t="n">
        <s:v>28978</s:v>
      </s:c>
      <s:c r="E674" s="6" t="n">
        <s:v>11572</s:v>
      </s:c>
      <s:c r="F674" s="6" t="n">
        <s:v>11885</s:v>
      </s:c>
      <s:c r="G674" s="6" t="n">
        <s:v>24500</s:v>
      </s:c>
      <s:c r="H674" s="6" t="n">
        <s:v>23838</s:v>
      </s:c>
      <s:c r="I674" s="6" t="n">
        <s:v>4735</s:v>
      </s:c>
      <s:c r="J674" s="6" t="n">
        <s:f>IF(COUNT(C674:I674)=7,SUM(C674:I674),"")</s:f>
        <s:v>116659</s:v>
      </s:c>
    </s:row>
    <s:row r="675">
      <s:c r="A675" s="5" t="n">
        <s:v>46293</s:v>
      </s:c>
      <s:c r="B675" s="2" t="n">
        <s:v>22</s:v>
      </s:c>
      <s:c r="C675" s="6" t="n">
        <s:v>10631</s:v>
      </s:c>
      <s:c r="D675" s="6" t="n">
        <s:v>27247</s:v>
      </s:c>
      <s:c r="E675" s="6" t="n">
        <s:v>11021</s:v>
      </s:c>
      <s:c r="F675" s="6" t="n">
        <s:v>11313</s:v>
      </s:c>
      <s:c r="G675" s="6" t="n">
        <s:v>23740</s:v>
      </s:c>
      <s:c r="H675" s="6" t="n">
        <s:v>23659</s:v>
      </s:c>
      <s:c r="I675" s="6" t="n">
        <s:v>4764</s:v>
      </s:c>
      <s:c r="J675" s="6" t="n">
        <s:f>IF(COUNT(C675:I675)=7,SUM(C675:I675),"")</s:f>
        <s:v>112375</s:v>
      </s:c>
    </s:row>
    <s:row r="676">
      <s:c r="A676" s="5" t="n">
        <s:v>46293</s:v>
      </s:c>
      <s:c r="B676" s="2" t="n">
        <s:v>23</s:v>
      </s:c>
      <s:c r="C676" s="6" t="n">
        <s:v>10153</s:v>
      </s:c>
      <s:c r="D676" s="6" t="n">
        <s:v>25854</s:v>
      </s:c>
      <s:c r="E676" s="6" t="n">
        <s:v>9929</s:v>
      </s:c>
      <s:c r="F676" s="6" t="n">
        <s:v>10836</s:v>
      </s:c>
      <s:c r="G676" s="6" t="n">
        <s:v>23495</s:v>
      </s:c>
      <s:c r="H676" s="6" t="n">
        <s:v>23560</s:v>
      </s:c>
      <s:c r="I676" s="6" t="n">
        <s:v>5072</s:v>
      </s:c>
      <s:c r="J676" s="6" t="n">
        <s:f>IF(COUNT(C676:I676)=7,SUM(C676:I676),"")</s:f>
        <s:v>108899</s:v>
      </s:c>
    </s:row>
    <s:row r="677">
      <s:c r="A677" s="5" t="n">
        <s:v>46294</s:v>
      </s:c>
      <s:c r="B677" s="2" t="n">
        <s:v>0</s:v>
      </s:c>
      <s:c r="C677" s="6" t="n">
        <s:v>9709</s:v>
      </s:c>
      <s:c r="D677" s="6" t="n">
        <s:v>25005</s:v>
      </s:c>
      <s:c r="E677" s="6" t="n">
        <s:v>9734</s:v>
      </s:c>
      <s:c r="F677" s="6" t="n">
        <s:v>10494</s:v>
      </s:c>
      <s:c r="G677" s="6" t="n">
        <s:v>23313</s:v>
      </s:c>
      <s:c r="H677" s="6" t="n">
        <s:v>23722</s:v>
      </s:c>
      <s:c r="I677" s="6" t="n">
        <s:v>5225</s:v>
      </s:c>
      <s:c r="J677" s="6" t="n">
        <s:f>IF(COUNT(C677:I677)=7,SUM(C677:I677),"")</s:f>
        <s:v>107202</s:v>
      </s:c>
    </s:row>
    <s:row r="678">
      <s:c r="A678" s="5" t="n">
        <s:v>46294</s:v>
      </s:c>
      <s:c r="B678" s="2" t="n">
        <s:v>1</s:v>
      </s:c>
      <s:c r="C678" s="6" t="n">
        <s:v>9457</s:v>
      </s:c>
      <s:c r="D678" s="6" t="n">
        <s:v>24146</s:v>
      </s:c>
      <s:c r="E678" s="6" t="n">
        <s:v>9257</s:v>
      </s:c>
      <s:c r="F678" s="6" t="n">
        <s:v>10367</s:v>
      </s:c>
      <s:c r="G678" s="6" t="n">
        <s:v>23393</s:v>
      </s:c>
      <s:c r="H678" s="6" t="n">
        <s:v>24531</s:v>
      </s:c>
      <s:c r="I678" s="6" t="n">
        <s:v>5332</s:v>
      </s:c>
      <s:c r="J678" s="6" t="n">
        <s:f>IF(COUNT(C678:I678)=7,SUM(C678:I678),"")</s:f>
        <s:v>106483</s:v>
      </s:c>
    </s:row>
    <s:row r="679">
      <s:c r="A679" s="5" t="n">
        <s:v>46294</s:v>
      </s:c>
      <s:c r="B679" s="2" t="n">
        <s:v>2</s:v>
      </s:c>
      <s:c r="C679" s="6" t="n">
        <s:v>9320</s:v>
      </s:c>
      <s:c r="D679" s="6" t="n">
        <s:v>23770</s:v>
      </s:c>
      <s:c r="E679" s="6" t="n">
        <s:v>9094</s:v>
      </s:c>
      <s:c r="F679" s="6" t="n">
        <s:v>10414</s:v>
      </s:c>
      <s:c r="G679" s="6" t="n">
        <s:v>23458</s:v>
      </s:c>
      <s:c r="H679" s="6" t="n">
        <s:v>25115</s:v>
      </s:c>
      <s:c r="I679" s="6" t="n">
        <s:v>5371</s:v>
      </s:c>
      <s:c r="J679" s="6" t="n">
        <s:f>IF(COUNT(C679:I679)=7,SUM(C679:I679),"")</s:f>
        <s:v>106542</s:v>
      </s:c>
    </s:row>
    <s:row r="680">
      <s:c r="A680" s="5" t="n">
        <s:v>46294</s:v>
      </s:c>
      <s:c r="B680" s="2" t="n">
        <s:v>3</s:v>
      </s:c>
      <s:c r="C680" s="6" t="n">
        <s:v>9280</s:v>
      </s:c>
      <s:c r="D680" s="6" t="n">
        <s:v>23920</s:v>
      </s:c>
      <s:c r="E680" s="6" t="n">
        <s:v>9245</s:v>
      </s:c>
      <s:c r="F680" s="6" t="n">
        <s:v>10563</s:v>
      </s:c>
      <s:c r="G680" s="6" t="n">
        <s:v>24081</s:v>
      </s:c>
      <s:c r="H680" s="6" t="n">
        <s:v>25236</s:v>
      </s:c>
      <s:c r="I680" s="6" t="n">
        <s:v>5378</s:v>
      </s:c>
      <s:c r="J680" s="6" t="n">
        <s:f>IF(COUNT(C680:I680)=7,SUM(C680:I680),"")</s:f>
        <s:v>107703</s:v>
      </s:c>
    </s:row>
    <s:row r="681">
      <s:c r="A681" s="5" t="n">
        <s:v>46294</s:v>
      </s:c>
      <s:c r="B681" s="2" t="n">
        <s:v>4</s:v>
      </s:c>
      <s:c r="C681" s="6" t="n">
        <s:v>9403</s:v>
      </s:c>
      <s:c r="D681" s="6" t="n">
        <s:v>24295</s:v>
      </s:c>
      <s:c r="E681" s="6" t="n">
        <s:v>9377</s:v>
      </s:c>
      <s:c r="F681" s="6" t="n">
        <s:v>10793</s:v>
      </s:c>
      <s:c r="G681" s="6" t="n">
        <s:v>24942</s:v>
      </s:c>
      <s:c r="H681" s="6" t="n">
        <s:v>25901</s:v>
      </s:c>
      <s:c r="I681" s="6" t="n">
        <s:v>5276</s:v>
      </s:c>
      <s:c r="J681" s="6" t="n">
        <s:f>IF(COUNT(C681:I681)=7,SUM(C681:I681),"")</s:f>
        <s:v>109987</s:v>
      </s:c>
    </s:row>
    <s:row r="682">
      <s:c r="A682" s="5" t="n">
        <s:v>46294</s:v>
      </s:c>
      <s:c r="B682" s="2" t="n">
        <s:v>5</s:v>
      </s:c>
      <s:c r="C682" s="6" t="n">
        <s:v>9803</s:v>
      </s:c>
      <s:c r="D682" s="6" t="n">
        <s:v>25789</s:v>
      </s:c>
      <s:c r="E682" s="6" t="n">
        <s:v>9654</s:v>
      </s:c>
      <s:c r="F682" s="6" t="n">
        <s:v>11464</s:v>
      </s:c>
      <s:c r="G682" s="6" t="n">
        <s:v>25542</s:v>
      </s:c>
      <s:c r="H682" s="6" t="n">
        <s:v>26126</s:v>
      </s:c>
      <s:c r="I682" s="6" t="n">
        <s:v>5200</s:v>
      </s:c>
      <s:c r="J682" s="6" t="n">
        <s:f>IF(COUNT(C682:I682)=7,SUM(C682:I682),"")</s:f>
        <s:v>113578</s:v>
      </s:c>
    </s:row>
    <s:row r="683">
      <s:c r="A683" s="5" t="n">
        <s:v>46294</s:v>
      </s:c>
      <s:c r="B683" s="2" t="n">
        <s:v>6</s:v>
      </s:c>
      <s:c r="C683" s="6" t="n">
        <s:v>10091</s:v>
      </s:c>
      <s:c r="D683" s="6" t="n">
        <s:v>27097</s:v>
      </s:c>
      <s:c r="E683" s="6" t="n">
        <s:v>10620</s:v>
      </s:c>
      <s:c r="F683" s="6" t="n">
        <s:v>12405</s:v>
      </s:c>
      <s:c r="G683" s="6" t="n">
        <s:v>26530</s:v>
      </s:c>
      <s:c r="H683" s="6" t="n">
        <s:v>26090</s:v>
      </s:c>
      <s:c r="I683" s="6" t="n">
        <s:v>5259</s:v>
      </s:c>
      <s:c r="J683" s="6" t="n">
        <s:f>IF(COUNT(C683:I683)=7,SUM(C683:I683),"")</s:f>
        <s:v>118092</s:v>
      </s:c>
    </s:row>
    <s:row r="684">
      <s:c r="A684" s="5" t="n">
        <s:v>46294</s:v>
      </s:c>
      <s:c r="B684" s="2" t="n">
        <s:v>7</s:v>
      </s:c>
      <s:c r="C684" s="6" t="n">
        <s:v>10623</s:v>
      </s:c>
      <s:c r="D684" s="6" t="n">
        <s:v>29006</s:v>
      </s:c>
      <s:c r="E684" s="6" t="n">
        <s:v>11345</s:v>
      </s:c>
      <s:c r="F684" s="6" t="n">
        <s:v>13256</s:v>
      </s:c>
      <s:c r="G684" s="6" t="n">
        <s:v>26767</s:v>
      </s:c>
      <s:c r="H684" s="6" t="n">
        <s:v>25688</s:v>
      </s:c>
      <s:c r="I684" s="6" t="n">
        <s:v>5287</s:v>
      </s:c>
      <s:c r="J684" s="6" t="n">
        <s:f>IF(COUNT(C684:I684)=7,SUM(C684:I684),"")</s:f>
        <s:v>121972</s:v>
      </s:c>
    </s:row>
    <s:row r="685">
      <s:c r="A685" s="5" t="n">
        <s:v>46294</s:v>
      </s:c>
      <s:c r="B685" s="2" t="n">
        <s:v>8</s:v>
      </s:c>
      <s:c r="C685" s="6" t="n">
        <s:v>11144</s:v>
      </s:c>
      <s:c r="D685" s="6" t="n">
        <s:v>30666</s:v>
      </s:c>
      <s:c r="E685" s="6" t="n">
        <s:v>11836</s:v>
      </s:c>
      <s:c r="F685" s="6" t="n">
        <s:v>13425</s:v>
      </s:c>
      <s:c r="G685" s="6" t="n">
        <s:v>26979</s:v>
      </s:c>
      <s:c r="H685" s="6" t="n">
        <s:v>26173</s:v>
      </s:c>
      <s:c r="I685" s="6" t="n">
        <s:v>5225</s:v>
      </s:c>
      <s:c r="J685" s="6" t="n">
        <s:f>IF(COUNT(C685:I685)=7,SUM(C685:I685),"")</s:f>
        <s:v>125448</s:v>
      </s:c>
    </s:row>
    <s:row r="686">
      <s:c r="A686" s="5" t="n">
        <s:v>46294</s:v>
      </s:c>
      <s:c r="B686" s="2" t="n">
        <s:v>9</s:v>
      </s:c>
      <s:c r="C686" s="6" t="n">
        <s:v>11521</s:v>
      </s:c>
      <s:c r="D686" s="6" t="n">
        <s:v>31050</s:v>
      </s:c>
      <s:c r="E686" s="6" t="n">
        <s:v>12104</s:v>
      </s:c>
      <s:c r="F686" s="6" t="n">
        <s:v>13659</s:v>
      </s:c>
      <s:c r="G686" s="6" t="n">
        <s:v>26722</s:v>
      </s:c>
      <s:c r="H686" s="6" t="n">
        <s:v>25995</s:v>
      </s:c>
      <s:c r="I686" s="6" t="n">
        <s:v>5252</s:v>
      </s:c>
      <s:c r="J686" s="6" t="n">
        <s:f>IF(COUNT(C686:I686)=7,SUM(C686:I686),"")</s:f>
        <s:v>126303</s:v>
      </s:c>
    </s:row>
    <s:row r="687">
      <s:c r="A687" s="5" t="n">
        <s:v>46294</s:v>
      </s:c>
      <s:c r="B687" s="2" t="n">
        <s:v>10</s:v>
      </s:c>
      <s:c r="C687" s="6" t="n">
        <s:v>11504</s:v>
      </s:c>
      <s:c r="D687" s="6" t="n">
        <s:v>31066</s:v>
      </s:c>
      <s:c r="E687" s="6" t="n">
        <s:v>12142</s:v>
      </s:c>
      <s:c r="F687" s="6" t="n">
        <s:v>13308</s:v>
      </s:c>
      <s:c r="G687" s="6" t="n">
        <s:v>26549</s:v>
      </s:c>
      <s:c r="H687" s="6" t="n">
        <s:v>25971</s:v>
      </s:c>
      <s:c r="I687" s="6" t="n">
        <s:v>5404</s:v>
      </s:c>
      <s:c r="J687" s="6" t="n">
        <s:f>IF(COUNT(C687:I687)=7,SUM(C687:I687),"")</s:f>
        <s:v>125944</s:v>
      </s:c>
    </s:row>
    <s:row r="688">
      <s:c r="A688" s="5" t="n">
        <s:v>46294</s:v>
      </s:c>
      <s:c r="B688" s="2" t="n">
        <s:v>11</s:v>
      </s:c>
      <s:c r="C688" s="6" t="n">
        <s:v>11384</s:v>
      </s:c>
      <s:c r="D688" s="6" t="n">
        <s:v>30762</s:v>
      </s:c>
      <s:c r="E688" s="6" t="n">
        <s:v>11949</s:v>
      </s:c>
      <s:c r="F688" s="6" t="n">
        <s:v>13117</s:v>
      </s:c>
      <s:c r="G688" s="6" t="n">
        <s:v>26550</s:v>
      </s:c>
      <s:c r="H688" s="6" t="n">
        <s:v>25512</s:v>
      </s:c>
      <s:c r="I688" s="6" t="n">
        <s:v>5622</s:v>
      </s:c>
      <s:c r="J688" s="6" t="n">
        <s:f>IF(COUNT(C688:I688)=7,SUM(C688:I688),"")</s:f>
        <s:v>124896</s:v>
      </s:c>
    </s:row>
    <s:row r="689">
      <s:c r="A689" s="5" t="n">
        <s:v>46294</s:v>
      </s:c>
      <s:c r="B689" s="2" t="n">
        <s:v>12</s:v>
      </s:c>
      <s:c r="C689" s="6" t="n">
        <s:v>11430</s:v>
      </s:c>
      <s:c r="D689" s="6" t="n">
        <s:v>30349</s:v>
      </s:c>
      <s:c r="E689" s="6" t="n">
        <s:v>11999</s:v>
      </s:c>
      <s:c r="F689" s="6" t="n">
        <s:v>13179</s:v>
      </s:c>
      <s:c r="G689" s="6" t="n">
        <s:v>26309</s:v>
      </s:c>
      <s:c r="H689" s="6" t="n">
        <s:v>25345</s:v>
      </s:c>
      <s:c r="I689" s="6" t="n">
        <s:v>5690</s:v>
      </s:c>
      <s:c r="J689" s="6" t="n">
        <s:f>IF(COUNT(C689:I689)=7,SUM(C689:I689),"")</s:f>
        <s:v>124301</s:v>
      </s:c>
    </s:row>
    <s:row r="690">
      <s:c r="A690" s="5" t="n">
        <s:v>46294</s:v>
      </s:c>
      <s:c r="B690" s="2" t="n">
        <s:v>13</s:v>
      </s:c>
      <s:c r="C690" s="6" t="n">
        <s:v>11383</s:v>
      </s:c>
      <s:c r="D690" s="6" t="n">
        <s:v>30397</s:v>
      </s:c>
      <s:c r="E690" s="6" t="n">
        <s:v>12194</s:v>
      </s:c>
      <s:c r="F690" s="6" t="n">
        <s:v>13157</s:v>
      </s:c>
      <s:c r="G690" s="6" t="n">
        <s:v>26445</s:v>
      </s:c>
      <s:c r="H690" s="6" t="n">
        <s:v>25988</s:v>
      </s:c>
      <s:c r="I690" s="6" t="n">
        <s:v>5719</s:v>
      </s:c>
      <s:c r="J690" s="6" t="n">
        <s:f>IF(COUNT(C690:I690)=7,SUM(C690:I690),"")</s:f>
        <s:v>125283</s:v>
      </s:c>
    </s:row>
    <s:row r="691">
      <s:c r="A691" s="5" t="n">
        <s:v>46294</s:v>
      </s:c>
      <s:c r="B691" s="2" t="n">
        <s:v>14</s:v>
      </s:c>
      <s:c r="C691" s="6" t="n">
        <s:v>11394</s:v>
      </s:c>
      <s:c r="D691" s="6" t="n">
        <s:v>30102</s:v>
      </s:c>
      <s:c r="E691" s="6" t="n">
        <s:v>12049</s:v>
      </s:c>
      <s:c r="F691" s="6" t="n">
        <s:v>13228</s:v>
      </s:c>
      <s:c r="G691" s="6" t="n">
        <s:v>26479</s:v>
      </s:c>
      <s:c r="H691" s="6" t="n">
        <s:v>26301</s:v>
      </s:c>
      <s:c r="I691" s="6" t="n">
        <s:v>5624</s:v>
      </s:c>
      <s:c r="J691" s="6" t="n">
        <s:f>IF(COUNT(C691:I691)=7,SUM(C691:I691),"")</s:f>
        <s:v>125177</s:v>
      </s:c>
    </s:row>
    <s:row r="692">
      <s:c r="A692" s="5" t="n">
        <s:v>46294</s:v>
      </s:c>
      <s:c r="B692" s="2" t="n">
        <s:v>15</s:v>
      </s:c>
      <s:c r="C692" s="6" t="n">
        <s:v>11455</s:v>
      </s:c>
      <s:c r="D692" s="6" t="n">
        <s:v>30075</s:v>
      </s:c>
      <s:c r="E692" s="6" t="n">
        <s:v>12095</s:v>
      </s:c>
      <s:c r="F692" s="6" t="n">
        <s:v>12961</s:v>
      </s:c>
      <s:c r="G692" s="6" t="n">
        <s:v>26224</s:v>
      </s:c>
      <s:c r="H692" s="6" t="n">
        <s:v>26162</s:v>
      </s:c>
      <s:c r="I692" s="6" t="n">
        <s:v>5379</s:v>
      </s:c>
      <s:c r="J692" s="6" t="n">
        <s:f>IF(COUNT(C692:I692)=7,SUM(C692:I692),"")</s:f>
        <s:v>124351</s:v>
      </s:c>
    </s:row>
    <s:row r="693">
      <s:c r="A693" s="5" t="n">
        <s:v>46294</s:v>
      </s:c>
      <s:c r="B693" s="2" t="n">
        <s:v>16</s:v>
      </s:c>
      <s:c r="C693" s="6" t="n">
        <s:v>11278</s:v>
      </s:c>
      <s:c r="D693" s="6" t="n">
        <s:v>30026</s:v>
      </s:c>
      <s:c r="E693" s="6" t="n">
        <s:v>12178</s:v>
      </s:c>
      <s:c r="F693" s="6" t="n">
        <s:v>12943</s:v>
      </s:c>
      <s:c r="G693" s="6" t="n">
        <s:v>26672</s:v>
      </s:c>
      <s:c r="H693" s="6" t="n">
        <s:v>25972</s:v>
      </s:c>
      <s:c r="I693" s="6" t="n">
        <s:v>5248</s:v>
      </s:c>
      <s:c r="J693" s="6" t="n">
        <s:f>IF(COUNT(C693:I693)=7,SUM(C693:I693),"")</s:f>
        <s:v>124317</s:v>
      </s:c>
    </s:row>
    <s:row r="694">
      <s:c r="A694" s="5" t="n">
        <s:v>46294</s:v>
      </s:c>
      <s:c r="B694" s="2" t="n">
        <s:v>17</s:v>
      </s:c>
      <s:c r="C694" s="6" t="n">
        <s:v>11271</s:v>
      </s:c>
      <s:c r="D694" s="6" t="n">
        <s:v>30030</s:v>
      </s:c>
      <s:c r="E694" s="6" t="n">
        <s:v>12515</s:v>
      </s:c>
      <s:c r="F694" s="6" t="n">
        <s:v>13186</s:v>
      </s:c>
      <s:c r="G694" s="6" t="n">
        <s:v>26994</s:v>
      </s:c>
      <s:c r="H694" s="6" t="n">
        <s:v>25970</s:v>
      </s:c>
      <s:c r="I694" s="6" t="n">
        <s:v>5040</s:v>
      </s:c>
      <s:c r="J694" s="6" t="n">
        <s:f>IF(COUNT(C694:I694)=7,SUM(C694:I694),"")</s:f>
        <s:v>125006</s:v>
      </s:c>
    </s:row>
    <s:row r="695">
      <s:c r="A695" s="5" t="n">
        <s:v>46294</s:v>
      </s:c>
      <s:c r="B695" s="2" t="n">
        <s:v>18</s:v>
      </s:c>
      <s:c r="C695" s="6" t="n">
        <s:v>11605</s:v>
      </s:c>
      <s:c r="D695" s="6" t="n">
        <s:v>31833</s:v>
      </s:c>
      <s:c r="E695" s="6" t="n">
        <s:v>12862</s:v>
      </s:c>
      <s:c r="F695" s="6" t="n">
        <s:v>13264</s:v>
      </s:c>
      <s:c r="G695" s="6" t="n">
        <s:v>26773</s:v>
      </s:c>
      <s:c r="H695" s="6" t="n">
        <s:v>25117</s:v>
      </s:c>
      <s:c r="I695" s="6" t="n">
        <s:v>4955</s:v>
      </s:c>
      <s:c r="J695" s="6" t="n">
        <s:f>IF(COUNT(C695:I695)=7,SUM(C695:I695),"")</s:f>
        <s:v>126409</s:v>
      </s:c>
    </s:row>
    <s:row r="696">
      <s:c r="A696" s="5" t="n">
        <s:v>46294</s:v>
      </s:c>
      <s:c r="B696" s="2" t="n">
        <s:v>19</s:v>
      </s:c>
      <s:c r="C696" s="6" t="n">
        <s:v>11602</s:v>
      </s:c>
      <s:c r="D696" s="6" t="n">
        <s:v>31197</s:v>
      </s:c>
      <s:c r="E696" s="6" t="n">
        <s:v>12647</s:v>
      </s:c>
      <s:c r="F696" s="6" t="n">
        <s:v>12768</s:v>
      </s:c>
      <s:c r="G696" s="6" t="n">
        <s:v>26510</s:v>
      </s:c>
      <s:c r="H696" s="6" t="n">
        <s:v>24494</s:v>
      </s:c>
      <s:c r="I696" s="6" t="n">
        <s:v>4791</s:v>
      </s:c>
      <s:c r="J696" s="6" t="n">
        <s:f>IF(COUNT(C696:I696)=7,SUM(C696:I696),"")</s:f>
        <s:v>124009</s:v>
      </s:c>
    </s:row>
    <s:row r="697">
      <s:c r="A697" s="5" t="n">
        <s:v>46294</s:v>
      </s:c>
      <s:c r="B697" s="2" t="n">
        <s:v>20</s:v>
      </s:c>
      <s:c r="C697" s="6" t="n">
        <s:v>11437</s:v>
      </s:c>
      <s:c r="D697" s="6" t="n">
        <s:v>30808</s:v>
      </s:c>
      <s:c r="E697" s="6" t="n">
        <s:v>12360</s:v>
      </s:c>
      <s:c r="F697" s="6" t="n">
        <s:v>12561</s:v>
      </s:c>
      <s:c r="G697" s="6" t="n">
        <s:v>25516</s:v>
      </s:c>
      <s:c r="H697" s="6" t="n">
        <s:v>23999</s:v>
      </s:c>
      <s:c r="I697" s="6" t="n">
        <s:v>4852</s:v>
      </s:c>
      <s:c r="J697" s="6" t="n">
        <s:f>IF(COUNT(C697:I697)=7,SUM(C697:I697),"")</s:f>
        <s:v>121533</s:v>
      </s:c>
    </s:row>
    <s:row r="698">
      <s:c r="A698" s="5" t="n">
        <s:v>46294</s:v>
      </s:c>
      <s:c r="B698" s="2" t="n">
        <s:v>21</s:v>
      </s:c>
      <s:c r="C698" s="6" t="n">
        <s:v>11245</s:v>
      </s:c>
      <s:c r="D698" s="6" t="n">
        <s:v>29504</s:v>
      </s:c>
      <s:c r="E698" s="6" t="n">
        <s:v>11828</s:v>
      </s:c>
      <s:c r="F698" s="6" t="n">
        <s:v>12024</s:v>
      </s:c>
      <s:c r="G698" s="6" t="n">
        <s:v>24523</s:v>
      </s:c>
      <s:c r="H698" s="6" t="n">
        <s:v>23949</s:v>
      </s:c>
      <s:c r="I698" s="6" t="n">
        <s:v>4860</s:v>
      </s:c>
      <s:c r="J698" s="6" t="n">
        <s:f>IF(COUNT(C698:I698)=7,SUM(C698:I698),"")</s:f>
        <s:v>117933</s:v>
      </s:c>
    </s:row>
    <s:row r="699">
      <s:c r="A699" s="5" t="n">
        <s:v>46294</s:v>
      </s:c>
      <s:c r="B699" s="2" t="n">
        <s:v>22</s:v>
      </s:c>
      <s:c r="C699" s="6" t="n">
        <s:v>10743</s:v>
      </s:c>
      <s:c r="D699" s="6" t="n">
        <s:v>27742</s:v>
      </s:c>
      <s:c r="E699" s="6" t="n">
        <s:v>11135</s:v>
      </s:c>
      <s:c r="F699" s="6" t="n">
        <s:v>11467</s:v>
      </s:c>
      <s:c r="G699" s="6" t="n">
        <s:v>23955</s:v>
      </s:c>
      <s:c r="H699" s="6" t="n">
        <s:v>23842</s:v>
      </s:c>
      <s:c r="I699" s="6" t="n">
        <s:v>4945</s:v>
      </s:c>
      <s:c r="J699" s="6" t="n">
        <s:f>IF(COUNT(C699:I699)=7,SUM(C699:I699),"")</s:f>
        <s:v>113829</s:v>
      </s:c>
    </s:row>
    <s:row r="700">
      <s:c r="A700" s="5" t="n">
        <s:v>46294</s:v>
      </s:c>
      <s:c r="B700" s="2" t="n">
        <s:v>23</s:v>
      </s:c>
      <s:c r="C700" s="6" t="n">
        <s:v>10140</s:v>
      </s:c>
      <s:c r="D700" s="6" t="n">
        <s:v>26457</s:v>
      </s:c>
      <s:c r="E700" s="6" t="n">
        <s:v>10000</s:v>
      </s:c>
      <s:c r="F700" s="6" t="n">
        <s:v>11006</s:v>
      </s:c>
      <s:c r="G700" s="6" t="n">
        <s:v>23477</s:v>
      </s:c>
      <s:c r="H700" s="6" t="n">
        <s:v>23757</s:v>
      </s:c>
      <s:c r="I700" s="6" t="n">
        <s:v>5256</s:v>
      </s:c>
      <s:c r="J700" s="6" t="n">
        <s:f>IF(COUNT(C700:I700)=7,SUM(C700:I700),"")</s:f>
        <s:v>110093</s:v>
      </s:c>
    </s:row>
    <s:row r="701">
      <s:c r="A701" s="5" t="n">
        <s:v>46295</s:v>
      </s:c>
      <s:c r="B701" s="2" t="n">
        <s:v>0</s:v>
      </s:c>
      <s:c r="C701" s="6" t="n">
        <s:v>9718</s:v>
      </s:c>
      <s:c r="D701" s="6" t="n">
        <s:v>24984</s:v>
      </s:c>
      <s:c r="E701" s="6" t="n">
        <s:v>9716</s:v>
      </s:c>
      <s:c r="F701" s="6" t="n">
        <s:v>10707</s:v>
      </s:c>
      <s:c r="G701" s="6" t="n">
        <s:v>23418</s:v>
      </s:c>
      <s:c r="H701" s="6" t="n">
        <s:v>23857</s:v>
      </s:c>
      <s:c r="I701" s="6" t="n">
        <s:v>5464</s:v>
      </s:c>
      <s:c r="J701" s="6" t="n">
        <s:f>IF(COUNT(C701:I701)=7,SUM(C701:I701),"")</s:f>
        <s:v>107864</s:v>
      </s:c>
    </s:row>
    <s:row r="702">
      <s:c r="A702" s="5" t="n">
        <s:v>46295</s:v>
      </s:c>
      <s:c r="B702" s="2" t="n">
        <s:v>1</s:v>
      </s:c>
      <s:c r="C702" s="6" t="n">
        <s:v>9483</s:v>
      </s:c>
      <s:c r="D702" s="6" t="n">
        <s:v>24548</s:v>
      </s:c>
      <s:c r="E702" s="6" t="n">
        <s:v>9355</s:v>
      </s:c>
      <s:c r="F702" s="6" t="n">
        <s:v>10581</s:v>
      </s:c>
      <s:c r="G702" s="6" t="n">
        <s:v>23285</s:v>
      </s:c>
      <s:c r="H702" s="6" t="n">
        <s:v>24451</s:v>
      </s:c>
      <s:c r="I702" s="6" t="n">
        <s:v>5512</s:v>
      </s:c>
      <s:c r="J702" s="6" t="n">
        <s:f>IF(COUNT(C702:I702)=7,SUM(C702:I702),"")</s:f>
        <s:v>107215</s:v>
      </s:c>
    </s:row>
    <s:row r="703">
      <s:c r="A703" s="5" t="n">
        <s:v>46295</s:v>
      </s:c>
      <s:c r="B703" s="2" t="n">
        <s:v>2</s:v>
      </s:c>
      <s:c r="C703" s="6" t="n">
        <s:v>9362</s:v>
      </s:c>
      <s:c r="D703" s="6" t="n">
        <s:v>24458</s:v>
      </s:c>
      <s:c r="E703" s="6" t="n">
        <s:v>9308</s:v>
      </s:c>
      <s:c r="F703" s="6" t="n">
        <s:v>10593</s:v>
      </s:c>
      <s:c r="G703" s="6" t="n">
        <s:v>23422</s:v>
      </s:c>
      <s:c r="H703" s="6" t="n">
        <s:v>25324</s:v>
      </s:c>
      <s:c r="I703" s="6" t="n">
        <s:v>5510</s:v>
      </s:c>
      <s:c r="J703" s="6" t="n">
        <s:f>IF(COUNT(C703:I703)=7,SUM(C703:I703),"")</s:f>
        <s:v>107977</s:v>
      </s:c>
    </s:row>
    <s:row r="704">
      <s:c r="A704" s="5" t="n">
        <s:v>46295</s:v>
      </s:c>
      <s:c r="B704" s="2" t="n">
        <s:v>3</s:v>
      </s:c>
      <s:c r="C704" s="6" t="n">
        <s:v>9265</s:v>
      </s:c>
      <s:c r="D704" s="6" t="n">
        <s:v>24352</s:v>
      </s:c>
      <s:c r="E704" s="6" t="n">
        <s:v>9187</s:v>
      </s:c>
      <s:c r="F704" s="6" t="n">
        <s:v>10530</s:v>
      </s:c>
      <s:c r="G704" s="6" t="n">
        <s:v>24140</s:v>
      </s:c>
      <s:c r="H704" s="6" t="n">
        <s:v>25390</s:v>
      </s:c>
      <s:c r="I704" s="6" t="n">
        <s:v>5425</s:v>
      </s:c>
      <s:c r="J704" s="6" t="n">
        <s:f>IF(COUNT(C704:I704)=7,SUM(C704:I704),"")</s:f>
        <s:v>108289</s:v>
      </s:c>
    </s:row>
    <s:row r="705">
      <s:c r="A705" s="5" t="n">
        <s:v>46295</s:v>
      </s:c>
      <s:c r="B705" s="2" t="n">
        <s:v>4</s:v>
      </s:c>
      <s:c r="C705" s="6" t="n">
        <s:v>9377</s:v>
      </s:c>
      <s:c r="D705" s="6" t="n">
        <s:v>24644</s:v>
      </s:c>
      <s:c r="E705" s="6" t="n">
        <s:v>9462</s:v>
      </s:c>
      <s:c r="F705" s="6" t="n">
        <s:v>10973</s:v>
      </s:c>
      <s:c r="G705" s="6" t="n">
        <s:v>24810</s:v>
      </s:c>
      <s:c r="H705" s="6" t="n">
        <s:v>25906</s:v>
      </s:c>
      <s:c r="I705" s="6" t="n">
        <s:v>5403</s:v>
      </s:c>
      <s:c r="J705" s="6" t="n">
        <s:f>IF(COUNT(C705:I705)=7,SUM(C705:I705),"")</s:f>
        <s:v>110575</s:v>
      </s:c>
    </s:row>
    <s:row r="706">
      <s:c r="A706" s="5" t="n">
        <s:v>46295</s:v>
      </s:c>
      <s:c r="B706" s="2" t="n">
        <s:v>5</s:v>
      </s:c>
      <s:c r="C706" s="6" t="n">
        <s:v>9710</s:v>
      </s:c>
      <s:c r="D706" s="6" t="n">
        <s:v>26238</s:v>
      </s:c>
      <s:c r="E706" s="6" t="n">
        <s:v>9921</s:v>
      </s:c>
      <s:c r="F706" s="6" t="n">
        <s:v>11630</s:v>
      </s:c>
      <s:c r="G706" s="6" t="n">
        <s:v>25473</s:v>
      </s:c>
      <s:c r="H706" s="6" t="n">
        <s:v>26109</s:v>
      </s:c>
      <s:c r="I706" s="6" t="n">
        <s:v>5369</s:v>
      </s:c>
      <s:c r="J706" s="6" t="n">
        <s:f>IF(COUNT(C706:I706)=7,SUM(C706:I706),"")</s:f>
        <s:v>114450</s:v>
      </s:c>
    </s:row>
    <s:row r="707">
      <s:c r="A707" s="5" t="n">
        <s:v>46295</s:v>
      </s:c>
      <s:c r="B707" s="2" t="n">
        <s:v>6</s:v>
      </s:c>
      <s:c r="C707" s="6" t="n">
        <s:v>10111</s:v>
      </s:c>
      <s:c r="D707" s="6" t="n">
        <s:v>27524</s:v>
      </s:c>
      <s:c r="E707" s="6" t="n">
        <s:v>10777</s:v>
      </s:c>
      <s:c r="F707" s="6" t="n">
        <s:v>12251</s:v>
      </s:c>
      <s:c r="G707" s="6" t="n">
        <s:v>26471</s:v>
      </s:c>
      <s:c r="H707" s="6" t="n">
        <s:v>25889</s:v>
      </s:c>
      <s:c r="I707" s="6" t="n">
        <s:v>5375</s:v>
      </s:c>
      <s:c r="J707" s="6" t="n">
        <s:f>IF(COUNT(C707:I707)=7,SUM(C707:I707),"")</s:f>
        <s:v>118398</s:v>
      </s:c>
    </s:row>
    <s:row r="708">
      <s:c r="A708" s="5" t="n">
        <s:v>46295</s:v>
      </s:c>
      <s:c r="B708" s="2" t="n">
        <s:v>7</s:v>
      </s:c>
      <s:c r="C708" s="6" t="n">
        <s:v>10529</s:v>
      </s:c>
      <s:c r="D708" s="6" t="n">
        <s:v>29266</s:v>
      </s:c>
      <s:c r="E708" s="6" t="n">
        <s:v>11454</s:v>
      </s:c>
      <s:c r="F708" s="6" t="n">
        <s:v>13140</s:v>
      </s:c>
      <s:c r="G708" s="6" t="n">
        <s:v>26895</s:v>
      </s:c>
      <s:c r="H708" s="6" t="n">
        <s:v>25759</s:v>
      </s:c>
      <s:c r="I708" s="6" t="n">
        <s:v>5357</s:v>
      </s:c>
      <s:c r="J708" s="6" t="n">
        <s:f>IF(COUNT(C708:I708)=7,SUM(C708:I708),"")</s:f>
        <s:v>122400</s:v>
      </s:c>
    </s:row>
    <s:row r="709">
      <s:c r="A709" s="5" t="n">
        <s:v>46295</s:v>
      </s:c>
      <s:c r="B709" s="2" t="n">
        <s:v>8</s:v>
      </s:c>
      <s:c r="C709" s="6" t="n">
        <s:v>11178</s:v>
      </s:c>
      <s:c r="D709" s="6" t="n">
        <s:v>30920</s:v>
      </s:c>
      <s:c r="E709" s="6" t="n">
        <s:v>11901</s:v>
      </s:c>
      <s:c r="F709" s="6" t="n">
        <s:v>13488</s:v>
      </s:c>
      <s:c r="G709" s="6" t="n">
        <s:v>26795</s:v>
      </s:c>
      <s:c r="H709" s="6" t="n">
        <s:v>26266</s:v>
      </s:c>
      <s:c r="I709" s="6" t="n">
        <s:v>5443</s:v>
      </s:c>
      <s:c r="J709" s="6" t="n">
        <s:f>IF(COUNT(C709:I709)=7,SUM(C709:I709),"")</s:f>
        <s:v>125991</s:v>
      </s:c>
    </s:row>
    <s:row r="710">
      <s:c r="A710" s="5" t="n">
        <s:v>46295</s:v>
      </s:c>
      <s:c r="B710" s="2" t="n">
        <s:v>9</s:v>
      </s:c>
      <s:c r="C710" s="6" t="n">
        <s:v>11361</s:v>
      </s:c>
      <s:c r="D710" s="6" t="n">
        <s:v>31532</s:v>
      </s:c>
      <s:c r="E710" s="6" t="n">
        <s:v>12436</s:v>
      </s:c>
      <s:c r="F710" s="6" t="n">
        <s:v>13593</s:v>
      </s:c>
      <s:c r="G710" s="6" t="n">
        <s:v>26627</s:v>
      </s:c>
      <s:c r="H710" s="6" t="n">
        <s:v>26283</s:v>
      </s:c>
      <s:c r="I710" s="6" t="n">
        <s:v>5363</s:v>
      </s:c>
      <s:c r="J710" s="6" t="n">
        <s:f>IF(COUNT(C710:I710)=7,SUM(C710:I710),"")</s:f>
        <s:v>127195</s:v>
      </s:c>
    </s:row>
    <s:row r="711">
      <s:c r="A711" s="5" t="n">
        <s:v>46295</s:v>
      </s:c>
      <s:c r="B711" s="2" t="n">
        <s:v>10</s:v>
      </s:c>
      <s:c r="C711" s="6" t="n">
        <s:v>11427</s:v>
      </s:c>
      <s:c r="D711" s="6" t="n">
        <s:v>31252</s:v>
      </s:c>
      <s:c r="E711" s="6" t="n">
        <s:v>12462</s:v>
      </s:c>
      <s:c r="F711" s="6" t="n">
        <s:v>13377</s:v>
      </s:c>
      <s:c r="G711" s="6" t="n">
        <s:v>26479</s:v>
      </s:c>
      <s:c r="H711" s="6" t="n">
        <s:v>26272</s:v>
      </s:c>
      <s:c r="I711" s="6" t="n">
        <s:v>5529</s:v>
      </s:c>
      <s:c r="J711" s="6" t="n">
        <s:f>IF(COUNT(C711:I711)=7,SUM(C711:I711),"")</s:f>
        <s:v>126798</s:v>
      </s:c>
    </s:row>
    <s:row r="712">
      <s:c r="A712" s="5" t="n">
        <s:v>46295</s:v>
      </s:c>
      <s:c r="B712" s="2" t="n">
        <s:v>11</s:v>
      </s:c>
      <s:c r="C712" s="6" t="n">
        <s:v>11284</s:v>
      </s:c>
      <s:c r="D712" s="6" t="n">
        <s:v>30721</s:v>
      </s:c>
      <s:c r="E712" s="6" t="n">
        <s:v>12313</s:v>
      </s:c>
      <s:c r="F712" s="6" t="n">
        <s:v>13138</s:v>
      </s:c>
      <s:c r="G712" s="6" t="n">
        <s:v>26263</s:v>
      </s:c>
      <s:c r="H712" s="6" t="n">
        <s:v>25768</s:v>
      </s:c>
      <s:c r="I712" s="6" t="n">
        <s:v>5643</s:v>
      </s:c>
      <s:c r="J712" s="6" t="n">
        <s:f>IF(COUNT(C712:I712)=7,SUM(C712:I712),"")</s:f>
        <s:v>125130</s:v>
      </s:c>
    </s:row>
    <s:row r="713">
      <s:c r="A713" s="5" t="n">
        <s:v>46295</s:v>
      </s:c>
      <s:c r="B713" s="2" t="n">
        <s:v>12</s:v>
      </s:c>
      <s:c r="C713" s="6" t="n">
        <s:v>11204</s:v>
      </s:c>
      <s:c r="D713" s="6" t="n">
        <s:v>30691</s:v>
      </s:c>
      <s:c r="E713" s="6" t="n">
        <s:v>12319</s:v>
      </s:c>
      <s:c r="F713" s="6" t="n">
        <s:v>13174</s:v>
      </s:c>
      <s:c r="G713" s="6" t="n">
        <s:v>26388</s:v>
      </s:c>
      <s:c r="H713" s="6" t="n">
        <s:v>25692</s:v>
      </s:c>
      <s:c r="I713" s="6" t="n">
        <s:v>5806</s:v>
      </s:c>
      <s:c r="J713" s="6" t="n">
        <s:f>IF(COUNT(C713:I713)=7,SUM(C713:I713),"")</s:f>
        <s:v>125274</s:v>
      </s:c>
    </s:row>
    <s:row r="714">
      <s:c r="A714" s="5" t="n">
        <s:v>46295</s:v>
      </s:c>
      <s:c r="B714" s="2" t="n">
        <s:v>13</s:v>
      </s:c>
      <s:c r="C714" s="6" t="n">
        <s:v>11194</s:v>
      </s:c>
      <s:c r="D714" s="6" t="n">
        <s:v>30490</s:v>
      </s:c>
      <s:c r="E714" s="6" t="n">
        <s:v>12343</s:v>
      </s:c>
      <s:c r="F714" s="6" t="n">
        <s:v>13234</s:v>
      </s:c>
      <s:c r="G714" s="6" t="n">
        <s:v>26042</s:v>
      </s:c>
      <s:c r="H714" s="6" t="n">
        <s:v>25758</s:v>
      </s:c>
      <s:c r="I714" s="6" t="n">
        <s:v>5696</s:v>
      </s:c>
      <s:c r="J714" s="6" t="n">
        <s:f>IF(COUNT(C714:I714)=7,SUM(C714:I714),"")</s:f>
        <s:v>124757</s:v>
      </s:c>
    </s:row>
    <s:row r="715">
      <s:c r="A715" s="5" t="n">
        <s:v>46295</s:v>
      </s:c>
      <s:c r="B715" s="2" t="n">
        <s:v>14</s:v>
      </s:c>
      <s:c r="C715" s="6" t="n">
        <s:v>11057</s:v>
      </s:c>
      <s:c r="D715" s="6" t="n">
        <s:v>30459</s:v>
      </s:c>
      <s:c r="E715" s="6" t="n">
        <s:v>12341</s:v>
      </s:c>
      <s:c r="F715" s="6" t="n">
        <s:v>13037</s:v>
      </s:c>
      <s:c r="G715" s="6" t="n">
        <s:v>25987</s:v>
      </s:c>
      <s:c r="H715" s="6" t="n">
        <s:v>26245</s:v>
      </s:c>
      <s:c r="I715" s="6" t="n">
        <s:v>5526</s:v>
      </s:c>
      <s:c r="J715" s="6" t="n">
        <s:f>IF(COUNT(C715:I715)=7,SUM(C715:I715),"")</s:f>
        <s:v>124652</s:v>
      </s:c>
    </s:row>
    <s:row r="716">
      <s:c r="A716" s="5" t="n">
        <s:v>46295</s:v>
      </s:c>
      <s:c r="B716" s="2" t="n">
        <s:v>15</s:v>
      </s:c>
      <s:c r="C716" s="6" t="n">
        <s:v>11222</s:v>
      </s:c>
      <s:c r="D716" s="6" t="n">
        <s:v>30335</s:v>
      </s:c>
      <s:c r="E716" s="6" t="n">
        <s:v>12367</s:v>
      </s:c>
      <s:c r="F716" s="6" t="n">
        <s:v>12815</s:v>
      </s:c>
      <s:c r="G716" s="6" t="n">
        <s:v>26267</s:v>
      </s:c>
      <s:c r="H716" s="6" t="n">
        <s:v>26252</s:v>
      </s:c>
      <s:c r="I716" s="6" t="n">
        <s:v>5363</s:v>
      </s:c>
      <s:c r="J716" s="6" t="n">
        <s:f>IF(COUNT(C716:I716)=7,SUM(C716:I716),"")</s:f>
        <s:v>124621</s:v>
      </s:c>
    </s:row>
    <s:row r="717">
      <s:c r="A717" s="5" t="n">
        <s:v>46295</s:v>
      </s:c>
      <s:c r="B717" s="2" t="n">
        <s:v>16</s:v>
      </s:c>
      <s:c r="C717" s="6" t="n">
        <s:v>10968</s:v>
      </s:c>
      <s:c r="D717" s="6" t="n">
        <s:v>29923</s:v>
      </s:c>
      <s:c r="E717" s="6" t="n">
        <s:v>12347</s:v>
      </s:c>
      <s:c r="F717" s="6" t="n">
        <s:v>12813</s:v>
      </s:c>
      <s:c r="G717" s="6" t="n">
        <s:v>26721</s:v>
      </s:c>
      <s:c r="H717" s="6" t="n">
        <s:v>25946</s:v>
      </s:c>
      <s:c r="I717" s="6" t="n">
        <s:v>5083</s:v>
      </s:c>
      <s:c r="J717" s="6" t="n">
        <s:f>IF(COUNT(C717:I717)=7,SUM(C717:I717),"")</s:f>
        <s:v>123801</s:v>
      </s:c>
    </s:row>
    <s:row r="718">
      <s:c r="A718" s="5" t="n">
        <s:v>46295</s:v>
      </s:c>
      <s:c r="B718" s="2" t="n">
        <s:v>17</s:v>
      </s:c>
      <s:c r="C718" s="6" t="n">
        <s:v>11062</s:v>
      </s:c>
      <s:c r="D718" s="6" t="n">
        <s:v>30517</s:v>
      </s:c>
      <s:c r="E718" s="6" t="n">
        <s:v>12833</s:v>
      </s:c>
      <s:c r="F718" s="6" t="n">
        <s:v>13129</s:v>
      </s:c>
      <s:c r="G718" s="6" t="n">
        <s:v>26776</s:v>
      </s:c>
      <s:c r="H718" s="6" t="n">
        <s:v>26041</s:v>
      </s:c>
      <s:c r="I718" s="6" t="n">
        <s:v>4805</s:v>
      </s:c>
      <s:c r="J718" s="6" t="n">
        <s:f>IF(COUNT(C718:I718)=7,SUM(C718:I718),"")</s:f>
        <s:v>125163</s:v>
      </s:c>
    </s:row>
    <s:row r="719">
      <s:c r="A719" s="5" t="n">
        <s:v>46295</s:v>
      </s:c>
      <s:c r="B719" s="2" t="n">
        <s:v>18</s:v>
      </s:c>
      <s:c r="C719" s="6" t="n">
        <s:v>11308</s:v>
      </s:c>
      <s:c r="D719" s="6" t="n">
        <s:v>31826</s:v>
      </s:c>
      <s:c r="E719" s="6" t="n">
        <s:v>13100</s:v>
      </s:c>
      <s:c r="F719" s="6" t="n">
        <s:v>13180</s:v>
      </s:c>
      <s:c r="G719" s="6" t="n">
        <s:v>26559</s:v>
      </s:c>
      <s:c r="H719" s="6" t="n">
        <s:v>25050</s:v>
      </s:c>
      <s:c r="I719" s="6" t="n">
        <s:v>4790</s:v>
      </s:c>
      <s:c r="J719" s="6" t="n">
        <s:f>IF(COUNT(C719:I719)=7,SUM(C719:I719),"")</s:f>
        <s:v>125813</s:v>
      </s:c>
    </s:row>
    <s:row r="720">
      <s:c r="A720" s="5" t="n">
        <s:v>46295</s:v>
      </s:c>
      <s:c r="B720" s="2" t="n">
        <s:v>19</s:v>
      </s:c>
      <s:c r="C720" s="6" t="n">
        <s:v>11379</s:v>
      </s:c>
      <s:c r="D720" s="6" t="n">
        <s:v>31293</s:v>
      </s:c>
      <s:c r="E720" s="6" t="n">
        <s:v>12870</s:v>
      </s:c>
      <s:c r="F720" s="6" t="n">
        <s:v>12977</s:v>
      </s:c>
      <s:c r="G720" s="6" t="n">
        <s:v>26067</s:v>
      </s:c>
      <s:c r="H720" s="6" t="n">
        <s:v>24412</s:v>
      </s:c>
      <s:c r="I720" s="6" t="n">
        <s:v>4744</s:v>
      </s:c>
      <s:c r="J720" s="6" t="n">
        <s:f>IF(COUNT(C720:I720)=7,SUM(C720:I720),"")</s:f>
        <s:v>123742</s:v>
      </s:c>
    </s:row>
    <s:row r="721">
      <s:c r="A721" s="5" t="n">
        <s:v>46295</s:v>
      </s:c>
      <s:c r="B721" s="2" t="n">
        <s:v>20</s:v>
      </s:c>
      <s:c r="C721" s="6" t="n">
        <s:v>11333</s:v>
      </s:c>
      <s:c r="D721" s="6" t="n">
        <s:v>30880</s:v>
      </s:c>
      <s:c r="E721" s="6" t="n">
        <s:v>12570</s:v>
      </s:c>
      <s:c r="F721" s="6" t="n">
        <s:v>12513</s:v>
      </s:c>
      <s:c r="G721" s="6" t="n">
        <s:v>25269</s:v>
      </s:c>
      <s:c r="H721" s="6" t="n">
        <s:v>24061</s:v>
      </s:c>
      <s:c r="I721" s="6" t="n">
        <s:v>4688</s:v>
      </s:c>
      <s:c r="J721" s="6" t="n">
        <s:f>IF(COUNT(C721:I721)=7,SUM(C721:I721),"")</s:f>
        <s:v>121314</s:v>
      </s:c>
    </s:row>
    <s:row r="722">
      <s:c r="A722" s="5" t="n">
        <s:v>46295</s:v>
      </s:c>
      <s:c r="B722" s="2" t="n">
        <s:v>21</s:v>
      </s:c>
      <s:c r="C722" s="6" t="n">
        <s:v>11113</s:v>
      </s:c>
      <s:c r="D722" s="6" t="n">
        <s:v>29850</s:v>
      </s:c>
      <s:c r="E722" s="6" t="n">
        <s:v>11987</s:v>
      </s:c>
      <s:c r="F722" s="6" t="n">
        <s:v>12111</s:v>
      </s:c>
      <s:c r="G722" s="6" t="n">
        <s:v>24429</s:v>
      </s:c>
      <s:c r="H722" s="6" t="n">
        <s:v>23877</s:v>
      </s:c>
      <s:c r="I722" s="6" t="n">
        <s:v>4732</s:v>
      </s:c>
      <s:c r="J722" s="6" t="n">
        <s:f>IF(COUNT(C722:I722)=7,SUM(C722:I722),"")</s:f>
        <s:v>118099</s:v>
      </s:c>
    </s:row>
    <s:row r="723">
      <s:c r="A723" s="5" t="n">
        <s:v>46295</s:v>
      </s:c>
      <s:c r="B723" s="2" t="n">
        <s:v>22</s:v>
      </s:c>
      <s:c r="C723" s="6" t="n">
        <s:v>10572</s:v>
      </s:c>
      <s:c r="D723" s="6" t="n">
        <s:v>27863</s:v>
      </s:c>
      <s:c r="E723" s="6" t="n">
        <s:v>11131</s:v>
      </s:c>
      <s:c r="F723" s="6" t="n">
        <s:v>11378</s:v>
      </s:c>
      <s:c r="G723" s="6" t="n">
        <s:v>23812</s:v>
      </s:c>
      <s:c r="H723" s="6" t="n">
        <s:v>23517</s:v>
      </s:c>
      <s:c r="I723" s="6" t="n">
        <s:v>4890</s:v>
      </s:c>
      <s:c r="J723" s="6" t="n">
        <s:f>IF(COUNT(C723:I723)=7,SUM(C723:I723),"")</s:f>
        <s:v>113163</s:v>
      </s:c>
    </s:row>
    <s:row r="724">
      <s:c r="A724" s="5" t="n">
        <s:v>46295</s:v>
      </s:c>
      <s:c r="B724" s="2" t="n">
        <s:v>23</s:v>
      </s:c>
      <s:c r="C724" s="6" t="n">
        <s:v>10141</s:v>
      </s:c>
      <s:c r="D724" s="6" t="n">
        <s:v>26160</s:v>
      </s:c>
      <s:c r="E724" s="6" t="n">
        <s:v>10470</s:v>
      </s:c>
      <s:c r="F724" s="6" t="n">
        <s:v>10819</s:v>
      </s:c>
      <s:c r="G724" s="6" t="n">
        <s:v>23818</s:v>
      </s:c>
      <s:c r="H724" s="6" t="n">
        <s:v>23606</s:v>
      </s:c>
      <s:c r="I724" s="6" t="n">
        <s:v>5163</s:v>
      </s:c>
      <s:c r="J724" s="6" t="n">
        <s:f>IF(COUNT(C724:I724)=7,SUM(C724:I724),"")</s:f>
        <s:v>110177</s:v>
      </s:c>
    </s:row>
    <s:row r="725" ht="26" customHeight="1">
      <s:c r="A725" s="7" t="inlineStr">
        <s:is>
          <s:t>Итого за месяц</s:t>
        </s:is>
      </s:c>
      <s:c r="B725" s="8" t="n"/>
      <s:c r="C725" s="9" t="n">
        <s:f>IF(COUNT(C5:C724)=720,SUM(C5:C724),"")</s:f>
        <s:v>7428947</s:v>
      </s:c>
      <s:c r="D725" s="9" t="n">
        <s:f>IF(COUNT(D5:D724)=720,SUM(D5:D724),"")</s:f>
        <s:v>19750492</s:v>
      </s:c>
      <s:c r="E725" s="9" t="n">
        <s:f>IF(COUNT(E5:E724)=720,SUM(E5:E724),"")</s:f>
        <s:v>8193576</s:v>
      </s:c>
      <s:c r="F725" s="9" t="n">
        <s:f>IF(COUNT(F5:F724)=720,SUM(F5:F724),"")</s:f>
        <s:v>8658309</s:v>
      </s:c>
      <s:c r="G725" s="9" t="n">
        <s:f>IF(COUNT(G5:G724)=720,SUM(G5:G724),"")</s:f>
        <s:v>18432656</s:v>
      </s:c>
      <s:c r="H725" s="9" t="n">
        <s:f>IF(COUNT(H5:H724)=720,SUM(H5:H724),"")</s:f>
        <s:v>17333667</s:v>
      </s:c>
      <s:c r="I725" s="9" t="n">
        <s:f>IF(COUNT(I5:I724)=720,SUM(I5:I724),"")</s:f>
        <s:v>3575893</s:v>
      </s:c>
      <s:c r="J725" s="9" t="n">
        <s:f>IF(COUNT(C725:I725)=7,SUM(C725:I725),"")</s:f>
        <s:v>83373540</s:v>
      </s:c>
    </s:row>
  </s:sheetData>
  <s:autoFilter ref="A4:J724"/>
  <s:mergeCells count="3">
    <s:mergeCell ref="A1:J1"/>
    <s:mergeCell ref="A3:J3"/>
    <s:mergeCell ref="A2:J2"/>
  </s:mergeCells>
  <s:conditionalFormatting sqref="C5:I724">
    <s:cfRule type="expression" priority="1" dxfId="0">
      <s:formula>ISBLANK(C5)</s:formula>
    </s:cfRule>
  </s:conditionalFormatting>
  <s:printOptions horizontalCentered="1"/>
  <s:pageMargins left="0.75" right="0.75" top="1" bottom="1" header="0.5" footer="0.5"/>
  <s:pageSetup orientation="landscape" paperSize="8" fitToHeight="0" fitToWidth="1"/>
  <s:legacyDrawing r:id="anysvml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A1:N725"/>
  <s:sheetViews>
    <s:sheetView showGridLines="0" workbookViewId="0">
      <s:pane xSplit="2" ySplit="4" topLeftCell="C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24" customWidth="1" min="1" max="1"/>
    <s:col width="12" customWidth="1" min="2" max="2"/>
    <s:col width="15" customWidth="1" min="3" max="3"/>
    <s:col width="15" customWidth="1" min="4" max="4"/>
    <s:col width="15" customWidth="1" min="5" max="5"/>
    <s:col width="15" customWidth="1" min="6" max="6"/>
    <s:col width="15" customWidth="1" min="7" max="7"/>
    <s:col width="15" customWidth="1" min="8" max="8"/>
    <s:col width="15" customWidth="1" min="9" max="9"/>
    <s:col width="15" customWidth="1" min="10" max="10"/>
    <s:col width="23" customWidth="1" min="11" max="11"/>
    <s:col width="23" customWidth="1" min="12" max="12"/>
    <s:col width="11" customWidth="1" min="13" max="13"/>
    <s:col width="17" customWidth="1" min="14" max="14"/>
  </s:cols>
  <s:sheetData>
    <s:row r="1" ht="26" customHeight="1">
      <s:c r="A1" s="1" t="inlineStr">
        <s:is>
          <s:t>Среднее ИБР (руб./МВт*ч)</s:t>
        </s:is>
      </s:c>
      <s:c r="B1" s="2" t="n"/>
      <s:c r="C1" s="2" t="n"/>
      <s:c r="D1" s="2" t="n"/>
      <s:c r="E1" s="2" t="n"/>
      <s:c r="F1" s="2" t="n"/>
      <s:c r="G1" s="2" t="n"/>
      <s:c r="H1" s="2" t="n"/>
      <s:c r="I1" s="2" t="n"/>
      <s:c r="J1" s="2" t="n"/>
      <s:c r="K1" s="2" t="n"/>
      <s:c r="L1" s="2" t="n"/>
      <s:c r="M1" s="2" t="n"/>
      <s:c r="N1" s="2" t="n"/>
    </s:row>
    <s:row r="2" ht="38" customHeight="1">
      <s:c r="A2" s="3" t="inlineStr">
        <s:is>
          <s:t>НЕПОЛНЫЕ ДАННЫЕ ИБР: 720 цен не опубликованы источником. Интервалы загружены. 01.09.2026 — 30.09.2026. Europe/Moscow. Факт.</s:t>
        </s:is>
      </s:c>
      <s:c r="B2" s="2" t="n"/>
      <s:c r="C2" s="2" t="n"/>
      <s:c r="D2" s="2" t="n"/>
      <s:c r="E2" s="2" t="n"/>
      <s:c r="F2" s="2" t="n"/>
      <s:c r="G2" s="2" t="n"/>
      <s:c r="H2" s="2" t="n"/>
      <s:c r="I2" s="2" t="n"/>
      <s:c r="J2" s="2" t="n"/>
      <s:c r="K2" s="2" t="n"/>
      <s:c r="L2" s="2" t="n"/>
      <s:c r="M2" s="2" t="n"/>
      <s:c r="N2" s="2" t="n"/>
    </s:row>
    <s:row r="3" ht="42" customHeight="1">
      <s:c r="A3" s="3" t="inlineStr">
        <s:is>
          <s:t>Вес: фактическое потребление. ИБР = Σ(цена × вес) / Σ(вес), аналитическое допущение. J — все 7 ОЭС; K:N — только опубликованные цены, иной охват.</s:t>
        </s:is>
      </s:c>
      <s:c r="B3" s="2" t="n"/>
      <s:c r="C3" s="2" t="n"/>
      <s:c r="D3" s="2" t="n"/>
      <s:c r="E3" s="2" t="n"/>
      <s:c r="F3" s="2" t="n"/>
      <s:c r="G3" s="2" t="n"/>
      <s:c r="H3" s="2" t="n"/>
      <s:c r="I3" s="2" t="n"/>
      <s:c r="J3" s="2" t="n"/>
      <s:c r="K3" s="2" t="n"/>
      <s:c r="L3" s="2" t="n"/>
      <s:c r="M3" s="2" t="n"/>
      <s:c r="N3" s="2" t="n"/>
    </s:row>
    <s:row r="4" ht="48" customHeight="1">
      <s:c r="A4" s="4" t="inlineStr">
        <s:is>
          <s:t>Дата</s:t>
        </s:is>
      </s:c>
      <s:c r="B4" s="4" t="inlineStr">
        <s:is>
          <s:t>Час начала</s:t>
        </s:is>
      </s:c>
      <s:c r="C4" s="4" t="inlineStr">
        <s:is>
          <s:t>С-Запад</s:t>
        </s:is>
      </s:c>
      <s:c r="D4" s="4" t="inlineStr">
        <s:is>
          <s:t>Центр</s:t>
        </s:is>
      </s:c>
      <s:c r="E4" s="4" t="inlineStr">
        <s:is>
          <s:t>Юг</s:t>
        </s:is>
      </s:c>
      <s:c r="F4" s="4" t="inlineStr">
        <s:is>
          <s:t>Ср. Волга</s:t>
        </s:is>
      </s:c>
      <s:c r="G4" s="4" t="inlineStr">
        <s:is>
          <s:t>Урал</s:t>
        </s:is>
      </s:c>
      <s:c r="H4" s="4" t="inlineStr">
        <s:is>
          <s:t>Сибирь</s:t>
        </s:is>
      </s:c>
      <s:c r="I4" s="4" t="inlineStr">
        <s:is>
          <s:t>Восток</s:t>
        </s:is>
      </s:c>
      <s:c r="J4" s="4" t="inlineStr">
        <s:is>
          <s:t>Все 7 ОЭС</s:t>
        </s:is>
      </s:c>
      <s:c r="K4" s="4" t="inlineStr">
        <s:is>
          <s:t>По опубликованным: взвешенное</s:t>
        </s:is>
      </s:c>
      <s:c r="L4" s="4" t="inlineStr">
        <s:is>
          <s:t>По опубликованным: простое</s:t>
        </s:is>
      </s:c>
      <s:c r="M4" s="4" t="inlineStr">
        <s:is>
          <s:t>Цен, шт.</s:t>
        </s:is>
      </s:c>
      <s:c r="N4" s="4" t="inlineStr">
        <s:is>
          <s:t>Покрытие веса</s:t>
        </s:is>
      </s:c>
    </s:row>
    <s:row r="5">
      <s:c r="A5" s="5" t="n">
        <s:v>46266</s:v>
      </s:c>
      <s:c r="B5" s="2" t="n">
        <s:v>0</s:v>
      </s:c>
      <s:c r="C5" s="6" t="n">
        <s:v>895.9458</s:v>
      </s:c>
      <s:c r="D5" s="6" t="n">
        <s:v>929.5288</s:v>
      </s:c>
      <s:c r="E5" s="6" t="n">
        <s:v>224.706375</s:v>
      </s:c>
      <s:c r="F5" s="6" t="n">
        <s:v>1030.49536</s:v>
      </s:c>
      <s:c r="G5" s="6" t="n">
        <s:v>1523.94934</s:v>
      </s:c>
      <s:c r="H5" s="6" t="n">
        <s:v>832.1989</s:v>
      </s:c>
      <s:c r="I5" s="6" t="n"/>
      <s:c r="J5" s="6" t="str">
        <s:f>IF(AND(COUNT(C5:I5)=7,COUNT('Потребление (МВт·ч)'!C5:I5)=7,SUM('Потребление (МВт·ч)'!C5:I5)&gt;0),SUMPRODUCT(C5:I5,'Потребление (МВт·ч)'!C5:I5)/SUM('Потребление (МВт·ч)'!C5:I5),"")</s:f>
      </s:c>
      <s:c r="K5" s="6" t="n">
        <s:f>IF(SUMIF(C5:I5,"&lt;&gt;",'Потребление (МВт·ч)'!C5:I5)&gt;0,SUMPRODUCT(C5:I5,'Потребление (МВт·ч)'!C5:I5)/SUMIF(C5:I5,"&lt;&gt;",'Потребление (МВт·ч)'!C5:I5),"")</s:f>
        <s:v>988.1267492850437</s:v>
      </s:c>
      <s:c r="L5" s="6" t="n">
        <s:f>IF(COUNT(C5:I5)&gt;0,AVERAGE(C5:I5),"")</s:f>
        <s:v>906.1374291666667</s:v>
      </s:c>
      <s:c r="M5" s="10" t="n">
        <s:f>COUNT(C5:I5)</s:f>
        <s:v>6</s:v>
      </s:c>
      <s:c r="N5" s="11" t="n">
        <s:f>IF(AND(COUNT('Потребление (МВт·ч)'!C5:I5)=7,SUM('Потребление (МВт·ч)'!C5:I5)&gt;0),SUMIF(C5:I5,"&lt;&gt;",'Потребление (МВт·ч)'!C5:I5)/SUM('Потребление (МВт·ч)'!C5:I5),"")</s:f>
        <s:v>0.9539752211700357</s:v>
      </s:c>
    </s:row>
    <s:row r="6">
      <s:c r="A6" s="5" t="n">
        <s:v>46266</s:v>
      </s:c>
      <s:c r="B6" s="2" t="n">
        <s:v>1</s:v>
      </s:c>
      <s:c r="C6" s="6" t="n">
        <s:v>545.289551</s:v>
      </s:c>
      <s:c r="D6" s="6" t="n">
        <s:v>494.10376</s:v>
      </s:c>
      <s:c r="E6" s="6" t="n">
        <s:v>117.8416</s:v>
      </s:c>
      <s:c r="F6" s="6" t="n">
        <s:v>678.2382</s:v>
      </s:c>
      <s:c r="G6" s="6" t="n">
        <s:v>1184.53625</s:v>
      </s:c>
      <s:c r="H6" s="6" t="n">
        <s:v>594.1438000000001</s:v>
      </s:c>
      <s:c r="I6" s="6" t="n"/>
      <s:c r="J6" s="6" t="str">
        <s:f>IF(AND(COUNT(C6:I6)=7,COUNT('Потребление (МВт·ч)'!C6:I6)=7,SUM('Потребление (МВт·ч)'!C6:I6)&gt;0),SUMPRODUCT(C6:I6,'Потребление (МВт·ч)'!C6:I6)/SUM('Потребление (МВт·ч)'!C6:I6),"")</s:f>
      </s:c>
      <s:c r="K6" s="6" t="n">
        <s:f>IF(SUMIF(C6:I6,"&lt;&gt;",'Потребление (МВт·ч)'!C6:I6)&gt;0,SUMPRODUCT(C6:I6,'Потребление (МВт·ч)'!C6:I6)/SUMIF(C6:I6,"&lt;&gt;",'Потребление (МВт·ч)'!C6:I6),"")</s:f>
        <s:v>671.4445288335058</s:v>
      </s:c>
      <s:c r="L6" s="6" t="n">
        <s:f>IF(COUNT(C6:I6)&gt;0,AVERAGE(C6:I6),"")</s:f>
        <s:v>602.3588601666667</s:v>
      </s:c>
      <s:c r="M6" s="10" t="n">
        <s:f>COUNT(C6:I6)</s:f>
        <s:v>6</s:v>
      </s:c>
      <s:c r="N6" s="11" t="n">
        <s:f>IF(AND(COUNT('Потребление (МВт·ч)'!C6:I6)=7,SUM('Потребление (МВт·ч)'!C6:I6)&gt;0),SUMIF(C6:I6,"&lt;&gt;",'Потребление (МВт·ч)'!C6:I6)/SUM('Потребление (МВт·ч)'!C6:I6),"")</s:f>
        <s:v>0.9505835120933619</s:v>
      </s:c>
    </s:row>
    <s:row r="7">
      <s:c r="A7" s="5" t="n">
        <s:v>46266</s:v>
      </s:c>
      <s:c r="B7" s="2" t="n">
        <s:v>2</s:v>
      </s:c>
      <s:c r="C7" s="6" t="n">
        <s:v>237.205551</s:v>
      </s:c>
      <s:c r="D7" s="6" t="n">
        <s:v>427.4542</s:v>
      </s:c>
      <s:c r="E7" s="6" t="n">
        <s:v>320.9205</s:v>
      </s:c>
      <s:c r="F7" s="6" t="n">
        <s:v>843.0595</s:v>
      </s:c>
      <s:c r="G7" s="6" t="n">
        <s:v>1168.004</s:v>
      </s:c>
      <s:c r="H7" s="6" t="n">
        <s:v>591.9453999999999</s:v>
      </s:c>
      <s:c r="I7" s="6" t="n"/>
      <s:c r="J7" s="6" t="str">
        <s:f>IF(AND(COUNT(C7:I7)=7,COUNT('Потребление (МВт·ч)'!C7:I7)=7,SUM('Потребление (МВт·ч)'!C7:I7)&gt;0),SUMPRODUCT(C7:I7,'Потребление (МВт·ч)'!C7:I7)/SUM('Потребление (МВт·ч)'!C7:I7),"")</s:f>
      </s:c>
      <s:c r="K7" s="6" t="n">
        <s:f>IF(SUMIF(C7:I7,"&lt;&gt;",'Потребление (МВт·ч)'!C7:I7)&gt;0,SUMPRODUCT(C7:I7,'Потребление (МВт·ч)'!C7:I7)/SUMIF(C7:I7,"&lt;&gt;",'Потребление (МВт·ч)'!C7:I7),"")</s:f>
        <s:v>663.0551496151011</s:v>
      </s:c>
      <s:c r="L7" s="6" t="n">
        <s:f>IF(COUNT(C7:I7)&gt;0,AVERAGE(C7:I7),"")</s:f>
        <s:v>598.0981918333333</s:v>
      </s:c>
      <s:c r="M7" s="10" t="n">
        <s:f>COUNT(C7:I7)</s:f>
        <s:v>6</s:v>
      </s:c>
      <s:c r="N7" s="11" t="n">
        <s:f>IF(AND(COUNT('Потребление (МВт·ч)'!C7:I7)=7,SUM('Потребление (МВт·ч)'!C7:I7)&gt;0),SUMIF(C7:I7,"&lt;&gt;",'Потребление (МВт·ч)'!C7:I7)/SUM('Потребление (МВт·ч)'!C7:I7),"")</s:f>
        <s:v>0.9501697642925834</s:v>
      </s:c>
    </s:row>
    <s:row r="8">
      <s:c r="A8" s="5" t="n">
        <s:v>46266</s:v>
      </s:c>
      <s:c r="B8" s="2" t="n">
        <s:v>3</s:v>
      </s:c>
      <s:c r="C8" s="6" t="n">
        <s:v>342.561646</s:v>
      </s:c>
      <s:c r="D8" s="6" t="n">
        <s:v>304.76358</s:v>
      </s:c>
      <s:c r="E8" s="6" t="n">
        <s:v>11.897789</s:v>
      </s:c>
      <s:c r="F8" s="6" t="n">
        <s:v>776.4475</s:v>
      </s:c>
      <s:c r="G8" s="6" t="n">
        <s:v>1246.12659</s:v>
      </s:c>
      <s:c r="H8" s="6" t="n">
        <s:v>674.0857999999999</s:v>
      </s:c>
      <s:c r="I8" s="6" t="n"/>
      <s:c r="J8" s="6" t="str">
        <s:f>IF(AND(COUNT(C8:I8)=7,COUNT('Потребление (МВт·ч)'!C8:I8)=7,SUM('Потребление (МВт·ч)'!C8:I8)&gt;0),SUMPRODUCT(C8:I8,'Потребление (МВт·ч)'!C8:I8)/SUM('Потребление (МВт·ч)'!C8:I8),"")</s:f>
      </s:c>
      <s:c r="K8" s="6" t="n">
        <s:f>IF(SUMIF(C8:I8,"&lt;&gt;",'Потребление (МВт·ч)'!C8:I8)&gt;0,SUMPRODUCT(C8:I8,'Потребление (МВт·ч)'!C8:I8)/SUMIF(C8:I8,"&lt;&gt;",'Потребление (МВт·ч)'!C8:I8),"")</s:f>
        <s:v>646.6941998336998</s:v>
      </s:c>
      <s:c r="L8" s="6" t="n">
        <s:f>IF(COUNT(C8:I8)&gt;0,AVERAGE(C8:I8),"")</s:f>
        <s:v>559.3138174999999</s:v>
      </s:c>
      <s:c r="M8" s="10" t="n">
        <s:f>COUNT(C8:I8)</s:f>
        <s:v>6</s:v>
      </s:c>
      <s:c r="N8" s="11" t="n">
        <s:f>IF(AND(COUNT('Потребление (МВт·ч)'!C8:I8)=7,SUM('Потребление (МВт·ч)'!C8:I8)&gt;0),SUMIF(C8:I8,"&lt;&gt;",'Потребление (МВт·ч)'!C8:I8)/SUM('Потребление (МВт·ч)'!C8:I8),"")</s:f>
        <s:v>0.950182963319043</s:v>
      </s:c>
    </s:row>
    <s:row r="9">
      <s:c r="A9" s="5" t="n">
        <s:v>46266</s:v>
      </s:c>
      <s:c r="B9" s="2" t="n">
        <s:v>4</s:v>
      </s:c>
      <s:c r="C9" s="6" t="n">
        <s:v>342.2957</s:v>
      </s:c>
      <s:c r="D9" s="6" t="n">
        <s:v>316.855865</s:v>
      </s:c>
      <s:c r="E9" s="6" t="n">
        <s:v>46.1629639</s:v>
      </s:c>
      <s:c r="F9" s="6" t="n">
        <s:v>819.436</s:v>
      </s:c>
      <s:c r="G9" s="6" t="n">
        <s:v>1293.65161</s:v>
      </s:c>
      <s:c r="H9" s="6" t="n">
        <s:v>623.0931</s:v>
      </s:c>
      <s:c r="I9" s="6" t="n"/>
      <s:c r="J9" s="6" t="str">
        <s:f>IF(AND(COUNT(C9:I9)=7,COUNT('Потребление (МВт·ч)'!C9:I9)=7,SUM('Потребление (МВт·ч)'!C9:I9)&gt;0),SUMPRODUCT(C9:I9,'Потребление (МВт·ч)'!C9:I9)/SUM('Потребление (МВт·ч)'!C9:I9),"")</s:f>
      </s:c>
      <s:c r="K9" s="6" t="n">
        <s:f>IF(SUMIF(C9:I9,"&lt;&gt;",'Потребление (МВт·ч)'!C9:I9)&gt;0,SUMPRODUCT(C9:I9,'Потребление (МВт·ч)'!C9:I9)/SUMIF(C9:I9,"&lt;&gt;",'Потребление (МВт·ч)'!C9:I9),"")</s:f>
        <s:v>662.2308353477902</s:v>
      </s:c>
      <s:c r="L9" s="6" t="n">
        <s:f>IF(COUNT(C9:I9)&gt;0,AVERAGE(C9:I9),"")</s:f>
        <s:v>573.5825398166667</s:v>
      </s:c>
      <s:c r="M9" s="10" t="n">
        <s:f>COUNT(C9:I9)</s:f>
        <s:v>6</s:v>
      </s:c>
      <s:c r="N9" s="11" t="n">
        <s:f>IF(AND(COUNT('Потребление (МВт·ч)'!C9:I9)=7,SUM('Потребление (МВт·ч)'!C9:I9)&gt;0),SUMIF(C9:I9,"&lt;&gt;",'Потребление (МВт·ч)'!C9:I9)/SUM('Потребление (МВт·ч)'!C9:I9),"")</s:f>
        <s:v>0.9518481556826469</s:v>
      </s:c>
    </s:row>
    <s:row r="10">
      <s:c r="A10" s="5" t="n">
        <s:v>46266</s:v>
      </s:c>
      <s:c r="B10" s="2" t="n">
        <s:v>5</s:v>
      </s:c>
      <s:c r="C10" s="6" t="n">
        <s:v>746.7964480000001</s:v>
      </s:c>
      <s:c r="D10" s="6" t="n">
        <s:v>1327.12939</s:v>
      </s:c>
      <s:c r="E10" s="6" t="n">
        <s:v>1217.46936</s:v>
      </s:c>
      <s:c r="F10" s="6" t="n">
        <s:v>1541.16821</s:v>
      </s:c>
      <s:c r="G10" s="6" t="n">
        <s:v>1679.39844</s:v>
      </s:c>
      <s:c r="H10" s="6" t="n">
        <s:v>840.8469</s:v>
      </s:c>
      <s:c r="I10" s="6" t="n"/>
      <s:c r="J10" s="6" t="str">
        <s:f>IF(AND(COUNT(C10:I10)=7,COUNT('Потребление (МВт·ч)'!C10:I10)=7,SUM('Потребление (МВт·ч)'!C10:I10)&gt;0),SUMPRODUCT(C10:I10,'Потребление (МВт·ч)'!C10:I10)/SUM('Потребление (МВт·ч)'!C10:I10),"")</s:f>
      </s:c>
      <s:c r="K10" s="6" t="n">
        <s:f>IF(SUMIF(C10:I10,"&lt;&gt;",'Потребление (МВт·ч)'!C10:I10)&gt;0,SUMPRODUCT(C10:I10,'Потребление (МВт·ч)'!C10:I10)/SUMIF(C10:I10,"&lt;&gt;",'Потребление (МВт·ч)'!C10:I10),"")</s:f>
        <s:v>1265.1897581533651</s:v>
      </s:c>
      <s:c r="L10" s="6" t="n">
        <s:f>IF(COUNT(C10:I10)&gt;0,AVERAGE(C10:I10),"")</s:f>
        <s:v>1225.4681246666667</s:v>
      </s:c>
      <s:c r="M10" s="10" t="n">
        <s:f>COUNT(C10:I10)</s:f>
        <s:v>6</s:v>
      </s:c>
      <s:c r="N10" s="11" t="n">
        <s:f>IF(AND(COUNT('Потребление (МВт·ч)'!C10:I10)=7,SUM('Потребление (МВт·ч)'!C10:I10)&gt;0),SUMIF(C10:I10,"&lt;&gt;",'Потребление (МВт·ч)'!C10:I10)/SUM('Потребление (МВт·ч)'!C10:I10),"")</s:f>
        <s:v>0.9526807378469783</s:v>
      </s:c>
    </s:row>
    <s:row r="11">
      <s:c r="A11" s="5" t="n">
        <s:v>46266</s:v>
      </s:c>
      <s:c r="B11" s="2" t="n">
        <s:v>6</s:v>
      </s:c>
      <s:c r="C11" s="6" t="n">
        <s:v>1827.60083</s:v>
      </s:c>
      <s:c r="D11" s="6" t="n">
        <s:v>1916.19849</s:v>
      </s:c>
      <s:c r="E11" s="6" t="n">
        <s:v>1651.8114</s:v>
      </s:c>
      <s:c r="F11" s="6" t="n">
        <s:v>2039.07837</s:v>
      </s:c>
      <s:c r="G11" s="6" t="n">
        <s:v>2270.86084</s:v>
      </s:c>
      <s:c r="H11" s="6" t="n">
        <s:v>1098.90125</s:v>
      </s:c>
      <s:c r="I11" s="6" t="n"/>
      <s:c r="J11" s="6" t="str">
        <s:f>IF(AND(COUNT(C11:I11)=7,COUNT('Потребление (МВт·ч)'!C11:I11)=7,SUM('Потребление (МВт·ч)'!C11:I11)&gt;0),SUMPRODUCT(C11:I11,'Потребление (МВт·ч)'!C11:I11)/SUM('Потребление (МВт·ч)'!C11:I11),"")</s:f>
      </s:c>
      <s:c r="K11" s="6" t="n">
        <s:f>IF(SUMIF(C11:I11,"&lt;&gt;",'Потребление (МВт·ч)'!C11:I11)&gt;0,SUMPRODUCT(C11:I11,'Потребление (МВт·ч)'!C11:I11)/SUMIF(C11:I11,"&lt;&gt;",'Потребление (МВт·ч)'!C11:I11),"")</s:f>
        <s:v>1805.5933663993894</s:v>
      </s:c>
      <s:c r="L11" s="6" t="n">
        <s:f>IF(COUNT(C11:I11)&gt;0,AVERAGE(C11:I11),"")</s:f>
        <s:v>1800.7418633333334</s:v>
      </s:c>
      <s:c r="M11" s="10" t="n">
        <s:f>COUNT(C11:I11)</s:f>
        <s:v>6</s:v>
      </s:c>
      <s:c r="N11" s="11" t="n">
        <s:f>IF(AND(COUNT('Потребление (МВт·ч)'!C11:I11)=7,SUM('Потребление (МВт·ч)'!C11:I11)&gt;0),SUMIF(C11:I11,"&lt;&gt;",'Потребление (МВт·ч)'!C11:I11)/SUM('Потребление (МВт·ч)'!C11:I11),"")</s:f>
        <s:v>0.9546290455841722</s:v>
      </s:c>
    </s:row>
    <s:row r="12">
      <s:c r="A12" s="5" t="n">
        <s:v>46266</s:v>
      </s:c>
      <s:c r="B12" s="2" t="n">
        <s:v>7</s:v>
      </s:c>
      <s:c r="C12" s="6" t="n">
        <s:v>2273.41772</s:v>
      </s:c>
      <s:c r="D12" s="6" t="n">
        <s:v>2549.321</s:v>
      </s:c>
      <s:c r="E12" s="6" t="n">
        <s:v>835.749</s:v>
      </s:c>
      <s:c r="F12" s="6" t="n">
        <s:v>2337.81372</s:v>
      </s:c>
      <s:c r="G12" s="6" t="n">
        <s:v>2357.54419</s:v>
      </s:c>
      <s:c r="H12" s="6" t="n">
        <s:v>1141.80261</s:v>
      </s:c>
      <s:c r="I12" s="6" t="n"/>
      <s:c r="J12" s="6" t="str">
        <s:f>IF(AND(COUNT(C12:I12)=7,COUNT('Потребление (МВт·ч)'!C12:I12)=7,SUM('Потребление (МВт·ч)'!C12:I12)&gt;0),SUMPRODUCT(C12:I12,'Потребление (МВт·ч)'!C12:I12)/SUM('Потребление (МВт·ч)'!C12:I12),"")</s:f>
      </s:c>
      <s:c r="K12" s="6" t="n">
        <s:f>IF(SUMIF(C12:I12,"&lt;&gt;",'Потребление (МВт·ч)'!C12:I12)&gt;0,SUMPRODUCT(C12:I12,'Потребление (МВт·ч)'!C12:I12)/SUMIF(C12:I12,"&lt;&gt;",'Потребление (МВт·ч)'!C12:I12),"")</s:f>
        <s:v>1980.5735465692107</s:v>
      </s:c>
      <s:c r="L12" s="6" t="n">
        <s:f>IF(COUNT(C12:I12)&gt;0,AVERAGE(C12:I12),"")</s:f>
        <s:v>1915.9413733333333</s:v>
      </s:c>
      <s:c r="M12" s="10" t="n">
        <s:f>COUNT(C12:I12)</s:f>
        <s:v>6</s:v>
      </s:c>
      <s:c r="N12" s="11" t="n">
        <s:f>IF(AND(COUNT('Потребление (МВт·ч)'!C12:I12)=7,SUM('Потребление (МВт·ч)'!C12:I12)&gt;0),SUMIF(C12:I12,"&lt;&gt;",'Потребление (МВт·ч)'!C12:I12)/SUM('Потребление (МВт·ч)'!C12:I12),"")</s:f>
        <s:v>0.9568259972489683</s:v>
      </s:c>
    </s:row>
    <s:row r="13">
      <s:c r="A13" s="5" t="n">
        <s:v>46266</s:v>
      </s:c>
      <s:c r="B13" s="2" t="n">
        <s:v>8</s:v>
      </s:c>
      <s:c r="C13" s="6" t="n">
        <s:v>2485.39282</s:v>
      </s:c>
      <s:c r="D13" s="6" t="n">
        <s:v>2864.088</s:v>
      </s:c>
      <s:c r="E13" s="6" t="n">
        <s:v>2180.175</s:v>
      </s:c>
      <s:c r="F13" s="6" t="n">
        <s:v>2579.06348</s:v>
      </s:c>
      <s:c r="G13" s="6" t="n">
        <s:v>2551.72144</s:v>
      </s:c>
      <s:c r="H13" s="6" t="n">
        <s:v>1368.84668</s:v>
      </s:c>
      <s:c r="I13" s="6" t="n"/>
      <s:c r="J13" s="6" t="str">
        <s:f>IF(AND(COUNT(C13:I13)=7,COUNT('Потребление (МВт·ч)'!C13:I13)=7,SUM('Потребление (МВт·ч)'!C13:I13)&gt;0),SUMPRODUCT(C13:I13,'Потребление (МВт·ч)'!C13:I13)/SUM('Потребление (МВт·ч)'!C13:I13),"")</s:f>
      </s:c>
      <s:c r="K13" s="6" t="n">
        <s:f>IF(SUMIF(C13:I13,"&lt;&gt;",'Потребление (МВт·ч)'!C13:I13)&gt;0,SUMPRODUCT(C13:I13,'Потребление (МВт·ч)'!C13:I13)/SUMIF(C13:I13,"&lt;&gt;",'Потребление (МВт·ч)'!C13:I13),"")</s:f>
        <s:v>2341.670930903304</s:v>
      </s:c>
      <s:c r="L13" s="6" t="n">
        <s:f>IF(COUNT(C13:I13)&gt;0,AVERAGE(C13:I13),"")</s:f>
        <s:v>2338.21457</s:v>
      </s:c>
      <s:c r="M13" s="10" t="n">
        <s:f>COUNT(C13:I13)</s:f>
        <s:v>6</s:v>
      </s:c>
      <s:c r="N13" s="11" t="n">
        <s:f>IF(AND(COUNT('Потребление (МВт·ч)'!C13:I13)=7,SUM('Потребление (МВт·ч)'!C13:I13)&gt;0),SUMIF(C13:I13,"&lt;&gt;",'Потребление (МВт·ч)'!C13:I13)/SUM('Потребление (МВт·ч)'!C13:I13),"")</s:f>
        <s:v>0.9582138535744477</s:v>
      </s:c>
    </s:row>
    <s:row r="14">
      <s:c r="A14" s="5" t="n">
        <s:v>46266</s:v>
      </s:c>
      <s:c r="B14" s="2" t="n">
        <s:v>9</s:v>
      </s:c>
      <s:c r="C14" s="6" t="n">
        <s:v>2532.78</s:v>
      </s:c>
      <s:c r="D14" s="6" t="n">
        <s:v>2968.10913</s:v>
      </s:c>
      <s:c r="E14" s="6" t="n">
        <s:v>3117.03687</s:v>
      </s:c>
      <s:c r="F14" s="6" t="n">
        <s:v>2684.25122</s:v>
      </s:c>
      <s:c r="G14" s="6" t="n">
        <s:v>2630.157</s:v>
      </s:c>
      <s:c r="H14" s="6" t="n">
        <s:v>1349.41724</s:v>
      </s:c>
      <s:c r="I14" s="6" t="n"/>
      <s:c r="J14" s="6" t="str">
        <s:f>IF(AND(COUNT(C14:I14)=7,COUNT('Потребление (МВт·ч)'!C14:I14)=7,SUM('Потребление (МВт·ч)'!C14:I14)&gt;0),SUMPRODUCT(C14:I14,'Потребление (МВт·ч)'!C14:I14)/SUM('Потребление (МВт·ч)'!C14:I14),"")</s:f>
      </s:c>
      <s:c r="K14" s="6" t="n">
        <s:f>IF(SUMIF(C14:I14,"&lt;&gt;",'Потребление (МВт·ч)'!C14:I14)&gt;0,SUMPRODUCT(C14:I14,'Потребление (МВт·ч)'!C14:I14)/SUMIF(C14:I14,"&lt;&gt;",'Потребление (МВт·ч)'!C14:I14),"")</s:f>
        <s:v>2501.5488043779387</s:v>
      </s:c>
      <s:c r="L14" s="6" t="n">
        <s:f>IF(COUNT(C14:I14)&gt;0,AVERAGE(C14:I14),"")</s:f>
        <s:v>2546.958576666667</s:v>
      </s:c>
      <s:c r="M14" s="10" t="n">
        <s:f>COUNT(C14:I14)</s:f>
        <s:v>6</s:v>
      </s:c>
      <s:c r="N14" s="11" t="n">
        <s:f>IF(AND(COUNT('Потребление (МВт·ч)'!C14:I14)=7,SUM('Потребление (МВт·ч)'!C14:I14)&gt;0),SUMIF(C14:I14,"&lt;&gt;",'Потребление (МВт·ч)'!C14:I14)/SUM('Потребление (МВт·ч)'!C14:I14),"")</s:f>
        <s:v>0.9588506766522139</s:v>
      </s:c>
    </s:row>
    <s:row r="15">
      <s:c r="A15" s="5" t="n">
        <s:v>46266</s:v>
      </s:c>
      <s:c r="B15" s="2" t="n">
        <s:v>10</s:v>
      </s:c>
      <s:c r="C15" s="6" t="n">
        <s:v>2411.04956</s:v>
      </s:c>
      <s:c r="D15" s="6" t="n">
        <s:v>2833.084</s:v>
      </s:c>
      <s:c r="E15" s="6" t="n">
        <s:v>2177.80518</s:v>
      </s:c>
      <s:c r="F15" s="6" t="n">
        <s:v>2534.535</s:v>
      </s:c>
      <s:c r="G15" s="6" t="n">
        <s:v>2489.07178</s:v>
      </s:c>
      <s:c r="H15" s="6" t="n">
        <s:v>1240.77966</s:v>
      </s:c>
      <s:c r="I15" s="6" t="n"/>
      <s:c r="J15" s="6" t="str">
        <s:f>IF(AND(COUNT(C15:I15)=7,COUNT('Потребление (МВт·ч)'!C15:I15)=7,SUM('Потребление (МВт·ч)'!C15:I15)&gt;0),SUMPRODUCT(C15:I15,'Потребление (МВт·ч)'!C15:I15)/SUM('Потребление (МВт·ч)'!C15:I15),"")</s:f>
      </s:c>
      <s:c r="K15" s="6" t="n">
        <s:f>IF(SUMIF(C15:I15,"&lt;&gt;",'Потребление (МВт·ч)'!C15:I15)&gt;0,SUMPRODUCT(C15:I15,'Потребление (МВт·ч)'!C15:I15)/SUMIF(C15:I15,"&lt;&gt;",'Потребление (МВт·ч)'!C15:I15),"")</s:f>
        <s:v>2282.8296863261944</s:v>
      </s:c>
      <s:c r="L15" s="6" t="n">
        <s:f>IF(COUNT(C15:I15)&gt;0,AVERAGE(C15:I15),"")</s:f>
        <s:v>2281.0541966666665</s:v>
      </s:c>
      <s:c r="M15" s="10" t="n">
        <s:f>COUNT(C15:I15)</s:f>
        <s:v>6</s:v>
      </s:c>
      <s:c r="N15" s="11" t="n">
        <s:f>IF(AND(COUNT('Потребление (МВт·ч)'!C15:I15)=7,SUM('Потребление (МВт·ч)'!C15:I15)&gt;0),SUMIF(C15:I15,"&lt;&gt;",'Потребление (МВт·ч)'!C15:I15)/SUM('Потребление (МВт·ч)'!C15:I15),"")</s:f>
        <s:v>0.958651107983372</s:v>
      </s:c>
    </s:row>
    <s:row r="16">
      <s:c r="A16" s="5" t="n">
        <s:v>46266</s:v>
      </s:c>
      <s:c r="B16" s="2" t="n">
        <s:v>11</s:v>
      </s:c>
      <s:c r="C16" s="6" t="n">
        <s:v>1829.9043</s:v>
      </s:c>
      <s:c r="D16" s="6" t="n">
        <s:v>2688.87744</s:v>
      </s:c>
      <s:c r="E16" s="6" t="n">
        <s:v>2183.3186</s:v>
      </s:c>
      <s:c r="F16" s="6" t="n">
        <s:v>2430.9458</s:v>
      </s:c>
      <s:c r="G16" s="6" t="n">
        <s:v>2377.02734</s:v>
      </s:c>
      <s:c r="H16" s="6" t="n">
        <s:v>1058.94861</s:v>
      </s:c>
      <s:c r="I16" s="6" t="n"/>
      <s:c r="J16" s="6" t="str">
        <s:f>IF(AND(COUNT(C16:I16)=7,COUNT('Потребление (МВт·ч)'!C16:I16)=7,SUM('Потребление (МВт·ч)'!C16:I16)&gt;0),SUMPRODUCT(C16:I16,'Потребление (МВт·ч)'!C16:I16)/SUM('Потребление (МВт·ч)'!C16:I16),"")</s:f>
      </s:c>
      <s:c r="K16" s="6" t="n">
        <s:f>IF(SUMIF(C16:I16,"&lt;&gt;",'Потребление (МВт·ч)'!C16:I16)&gt;0,SUMPRODUCT(C16:I16,'Потребление (МВт·ч)'!C16:I16)/SUMIF(C16:I16,"&lt;&gt;",'Потребление (МВт·ч)'!C16:I16),"")</s:f>
        <s:v>2124.215262836179</s:v>
      </s:c>
      <s:c r="L16" s="6" t="n">
        <s:f>IF(COUNT(C16:I16)&gt;0,AVERAGE(C16:I16),"")</s:f>
        <s:v>2094.837015</s:v>
      </s:c>
      <s:c r="M16" s="10" t="n">
        <s:f>COUNT(C16:I16)</s:f>
        <s:v>6</s:v>
      </s:c>
      <s:c r="N16" s="11" t="n">
        <s:f>IF(AND(COUNT('Потребление (МВт·ч)'!C16:I16)=7,SUM('Потребление (МВт·ч)'!C16:I16)&gt;0),SUMIF(C16:I16,"&lt;&gt;",'Потребление (МВт·ч)'!C16:I16)/SUM('Потребление (МВт·ч)'!C16:I16),"")</s:f>
        <s:v>0.9578096874152372</s:v>
      </s:c>
    </s:row>
    <s:row r="17">
      <s:c r="A17" s="5" t="n">
        <s:v>46266</s:v>
      </s:c>
      <s:c r="B17" s="2" t="n">
        <s:v>12</s:v>
      </s:c>
      <s:c r="C17" s="6" t="n">
        <s:v>1436.49426</s:v>
      </s:c>
      <s:c r="D17" s="6" t="n">
        <s:v>2608.86548</s:v>
      </s:c>
      <s:c r="E17" s="6" t="n">
        <s:v>2192.12866</s:v>
      </s:c>
      <s:c r="F17" s="6" t="n">
        <s:v>2359.798</s:v>
      </s:c>
      <s:c r="G17" s="6" t="n">
        <s:v>2277.76367</s:v>
      </s:c>
      <s:c r="H17" s="6" t="n">
        <s:v>1135.10754</s:v>
      </s:c>
      <s:c r="I17" s="6" t="n"/>
      <s:c r="J17" s="6" t="str">
        <s:f>IF(AND(COUNT(C17:I17)=7,COUNT('Потребление (МВт·ч)'!C17:I17)=7,SUM('Потребление (МВт·ч)'!C17:I17)&gt;0),SUMPRODUCT(C17:I17,'Потребление (МВт·ч)'!C17:I17)/SUM('Потребление (МВт·ч)'!C17:I17),"")</s:f>
      </s:c>
      <s:c r="K17" s="6" t="n">
        <s:f>IF(SUMIF(C17:I17,"&lt;&gt;",'Потребление (МВт·ч)'!C17:I17)&gt;0,SUMPRODUCT(C17:I17,'Потребление (МВт·ч)'!C17:I17)/SUMIF(C17:I17,"&lt;&gt;",'Потребление (МВт·ч)'!C17:I17),"")</s:f>
        <s:v>2055.1288620904606</s:v>
      </s:c>
      <s:c r="L17" s="6" t="n">
        <s:f>IF(COUNT(C17:I17)&gt;0,AVERAGE(C17:I17),"")</s:f>
        <s:v>2001.6929350000003</s:v>
      </s:c>
      <s:c r="M17" s="10" t="n">
        <s:f>COUNT(C17:I17)</s:f>
        <s:v>6</s:v>
      </s:c>
      <s:c r="N17" s="11" t="n">
        <s:f>IF(AND(COUNT('Потребление (МВт·ч)'!C17:I17)=7,SUM('Потребление (МВт·ч)'!C17:I17)&gt;0),SUMIF(C17:I17,"&lt;&gt;",'Потребление (МВт·ч)'!C17:I17)/SUM('Потребление (МВт·ч)'!C17:I17),"")</s:f>
        <s:v>0.9573699007401457</s:v>
      </s:c>
    </s:row>
    <s:row r="18">
      <s:c r="A18" s="5" t="n">
        <s:v>46266</s:v>
      </s:c>
      <s:c r="B18" s="2" t="n">
        <s:v>13</s:v>
      </s:c>
      <s:c r="C18" s="6" t="n">
        <s:v>2173.922</s:v>
      </s:c>
      <s:c r="D18" s="6" t="n">
        <s:v>2730.066</s:v>
      </s:c>
      <s:c r="E18" s="6" t="n">
        <s:v>2151.9314</s:v>
      </s:c>
      <s:c r="F18" s="6" t="n">
        <s:v>2437.86963</s:v>
      </s:c>
      <s:c r="G18" s="6" t="n">
        <s:v>2331.334</s:v>
      </s:c>
      <s:c r="H18" s="6" t="n">
        <s:v>1175.193</s:v>
      </s:c>
      <s:c r="I18" s="6" t="n"/>
      <s:c r="J18" s="6" t="str">
        <s:f>IF(AND(COUNT(C18:I18)=7,COUNT('Потребление (МВт·ч)'!C18:I18)=7,SUM('Потребление (МВт·ч)'!C18:I18)&gt;0),SUMPRODUCT(C18:I18,'Потребление (МВт·ч)'!C18:I18)/SUM('Потребление (МВт·ч)'!C18:I18),"")</s:f>
      </s:c>
      <s:c r="K18" s="6" t="n">
        <s:f>IF(SUMIF(C18:I18,"&lt;&gt;",'Потребление (МВт·ч)'!C18:I18)&gt;0,SUMPRODUCT(C18:I18,'Потребление (МВт·ч)'!C18:I18)/SUMIF(C18:I18,"&lt;&gt;",'Потребление (МВт·ч)'!C18:I18),"")</s:f>
        <s:v>2176.3987380183394</s:v>
      </s:c>
      <s:c r="L18" s="6" t="n">
        <s:f>IF(COUNT(C18:I18)&gt;0,AVERAGE(C18:I18),"")</s:f>
        <s:v>2166.719338333333</s:v>
      </s:c>
      <s:c r="M18" s="10" t="n">
        <s:f>COUNT(C18:I18)</s:f>
        <s:v>6</s:v>
      </s:c>
      <s:c r="N18" s="11" t="n">
        <s:f>IF(AND(COUNT('Потребление (МВт·ч)'!C18:I18)=7,SUM('Потребление (МВт·ч)'!C18:I18)&gt;0),SUMIF(C18:I18,"&lt;&gt;",'Потребление (МВт·ч)'!C18:I18)/SUM('Потребление (МВт·ч)'!C18:I18),"")</s:f>
        <s:v>0.9574208652392333</s:v>
      </s:c>
    </s:row>
    <s:row r="19">
      <s:c r="A19" s="5" t="n">
        <s:v>46266</s:v>
      </s:c>
      <s:c r="B19" s="2" t="n">
        <s:v>14</s:v>
      </s:c>
      <s:c r="C19" s="6" t="n">
        <s:v>2408.5188</s:v>
      </s:c>
      <s:c r="D19" s="6" t="n">
        <s:v>2762.275</s:v>
      </s:c>
      <s:c r="E19" s="6" t="n">
        <s:v>1738.39136</s:v>
      </s:c>
      <s:c r="F19" s="6" t="n">
        <s:v>2482.14966</s:v>
      </s:c>
      <s:c r="G19" s="6" t="n">
        <s:v>2427.02441</s:v>
      </s:c>
      <s:c r="H19" s="6" t="n">
        <s:v>1505.82117</s:v>
      </s:c>
      <s:c r="I19" s="6" t="n"/>
      <s:c r="J19" s="6" t="str">
        <s:f>IF(AND(COUNT(C19:I19)=7,COUNT('Потребление (МВт·ч)'!C19:I19)=7,SUM('Потребление (МВт·ч)'!C19:I19)&gt;0),SUMPRODUCT(C19:I19,'Потребление (МВт·ч)'!C19:I19)/SUM('Потребление (МВт·ч)'!C19:I19),"")</s:f>
      </s:c>
      <s:c r="K19" s="6" t="n">
        <s:f>IF(SUMIF(C19:I19,"&lt;&gt;",'Потребление (МВт·ч)'!C19:I19)&gt;0,SUMPRODUCT(C19:I19,'Потребление (МВт·ч)'!C19:I19)/SUMIF(C19:I19,"&lt;&gt;",'Потребление (МВт·ч)'!C19:I19),"")</s:f>
        <s:v>2252.3701704418454</s:v>
      </s:c>
      <s:c r="L19" s="6" t="n">
        <s:f>IF(COUNT(C19:I19)&gt;0,AVERAGE(C19:I19),"")</s:f>
        <s:v>2220.696733333333</s:v>
      </s:c>
      <s:c r="M19" s="10" t="n">
        <s:f>COUNT(C19:I19)</s:f>
        <s:v>6</s:v>
      </s:c>
      <s:c r="N19" s="11" t="n">
        <s:f>IF(AND(COUNT('Потребление (МВт·ч)'!C19:I19)=7,SUM('Потребление (МВт·ч)'!C19:I19)&gt;0),SUMIF(C19:I19,"&lt;&gt;",'Потребление (МВт·ч)'!C19:I19)/SUM('Потребление (МВт·ч)'!C19:I19),"")</s:f>
        <s:v>0.9587723166887179</s:v>
      </s:c>
    </s:row>
    <s:row r="20">
      <s:c r="A20" s="5" t="n">
        <s:v>46266</s:v>
      </s:c>
      <s:c r="B20" s="2" t="n">
        <s:v>15</s:v>
      </s:c>
      <s:c r="C20" s="6" t="n">
        <s:v>2545.355</s:v>
      </s:c>
      <s:c r="D20" s="6" t="n">
        <s:v>2982.656</s:v>
      </s:c>
      <s:c r="E20" s="6" t="n">
        <s:v>1862.05383</s:v>
      </s:c>
      <s:c r="F20" s="6" t="n">
        <s:v>2513.52441</s:v>
      </s:c>
      <s:c r="G20" s="6" t="n">
        <s:v>2455.575</s:v>
      </s:c>
      <s:c r="H20" s="6" t="n">
        <s:v>1277.0636</s:v>
      </s:c>
      <s:c r="I20" s="6" t="n"/>
      <s:c r="J20" s="6" t="str">
        <s:f>IF(AND(COUNT(C20:I20)=7,COUNT('Потребление (МВт·ч)'!C20:I20)=7,SUM('Потребление (МВт·ч)'!C20:I20)&gt;0),SUMPRODUCT(C20:I20,'Потребление (МВт·ч)'!C20:I20)/SUM('Потребление (МВт·ч)'!C20:I20),"")</s:f>
      </s:c>
      <s:c r="K20" s="6" t="n">
        <s:f>IF(SUMIF(C20:I20,"&lt;&gt;",'Потребление (МВт·ч)'!C20:I20)&gt;0,SUMPRODUCT(C20:I20,'Потребление (МВт·ч)'!C20:I20)/SUMIF(C20:I20,"&lt;&gt;",'Потребление (МВт·ч)'!C20:I20),"")</s:f>
        <s:v>2295.893253619339</s:v>
      </s:c>
      <s:c r="L20" s="6" t="n">
        <s:f>IF(COUNT(C20:I20)&gt;0,AVERAGE(C20:I20),"")</s:f>
        <s:v>2272.7046400000004</s:v>
      </s:c>
      <s:c r="M20" s="10" t="n">
        <s:f>COUNT(C20:I20)</s:f>
        <s:v>6</s:v>
      </s:c>
      <s:c r="N20" s="11" t="n">
        <s:f>IF(AND(COUNT('Потребление (МВт·ч)'!C20:I20)=7,SUM('Потребление (МВт·ч)'!C20:I20)&gt;0),SUMIF(C20:I20,"&lt;&gt;",'Потребление (МВт·ч)'!C20:I20)/SUM('Потребление (МВт·ч)'!C20:I20),"")</s:f>
        <s:v>0.9608429294501138</s:v>
      </s:c>
    </s:row>
    <s:row r="21">
      <s:c r="A21" s="5" t="n">
        <s:v>46266</s:v>
      </s:c>
      <s:c r="B21" s="2" t="n">
        <s:v>16</s:v>
      </s:c>
      <s:c r="C21" s="6" t="n">
        <s:v>2459.561</s:v>
      </s:c>
      <s:c r="D21" s="6" t="n">
        <s:v>2833.99829</s:v>
      </s:c>
      <s:c r="E21" s="6" t="n">
        <s:v>2340.06372</s:v>
      </s:c>
      <s:c r="F21" s="6" t="n">
        <s:v>2520.51514</s:v>
      </s:c>
      <s:c r="G21" s="6" t="n">
        <s:v>2546.40747</s:v>
      </s:c>
      <s:c r="H21" s="6" t="n">
        <s:v>1320.554</s:v>
      </s:c>
      <s:c r="I21" s="6" t="n"/>
      <s:c r="J21" s="6" t="str">
        <s:f>IF(AND(COUNT(C21:I21)=7,COUNT('Потребление (МВт·ч)'!C21:I21)=7,SUM('Потребление (МВт·ч)'!C21:I21)&gt;0),SUMPRODUCT(C21:I21,'Потребление (МВт·ч)'!C21:I21)/SUM('Потребление (МВт·ч)'!C21:I21),"")</s:f>
      </s:c>
      <s:c r="K21" s="6" t="n">
        <s:f>IF(SUMIF(C21:I21,"&lt;&gt;",'Потребление (МВт·ч)'!C21:I21)&gt;0,SUMPRODUCT(C21:I21,'Потребление (МВт·ч)'!C21:I21)/SUMIF(C21:I21,"&lt;&gt;",'Потребление (МВт·ч)'!C21:I21),"")</s:f>
        <s:v>2330.6953396050517</s:v>
      </s:c>
      <s:c r="L21" s="6" t="n">
        <s:f>IF(COUNT(C21:I21)&gt;0,AVERAGE(C21:I21),"")</s:f>
        <s:v>2336.849936666667</s:v>
      </s:c>
      <s:c r="M21" s="10" t="n">
        <s:f>COUNT(C21:I21)</s:f>
        <s:v>6</s:v>
      </s:c>
      <s:c r="N21" s="11" t="n">
        <s:f>IF(AND(COUNT('Потребление (МВт·ч)'!C21:I21)=7,SUM('Потребление (МВт·ч)'!C21:I21)&gt;0),SUMIF(C21:I21,"&lt;&gt;",'Потребление (МВт·ч)'!C21:I21)/SUM('Потребление (МВт·ч)'!C21:I21),"")</s:f>
        <s:v>0.9615047612749636</s:v>
      </s:c>
    </s:row>
    <s:row r="22">
      <s:c r="A22" s="5" t="n">
        <s:v>46266</s:v>
      </s:c>
      <s:c r="B22" s="2" t="n">
        <s:v>17</s:v>
      </s:c>
      <s:c r="C22" s="6" t="n">
        <s:v>2454.96265</s:v>
      </s:c>
      <s:c r="D22" s="6" t="n">
        <s:v>2820.45239</s:v>
      </s:c>
      <s:c r="E22" s="6" t="n">
        <s:v>2783.92773</s:v>
      </s:c>
      <s:c r="F22" s="6" t="n">
        <s:v>2593.01025</s:v>
      </s:c>
      <s:c r="G22" s="6" t="n">
        <s:v>2452.5332</s:v>
      </s:c>
      <s:c r="H22" s="6" t="n">
        <s:v>1259.07092</s:v>
      </s:c>
      <s:c r="I22" s="6" t="n"/>
      <s:c r="J22" s="6" t="str">
        <s:f>IF(AND(COUNT(C22:I22)=7,COUNT('Потребление (МВт·ч)'!C22:I22)=7,SUM('Потребление (МВт·ч)'!C22:I22)&gt;0),SUMPRODUCT(C22:I22,'Потребление (МВт·ч)'!C22:I22)/SUM('Потребление (МВт·ч)'!C22:I22),"")</s:f>
      </s:c>
      <s:c r="K22" s="6" t="n">
        <s:f>IF(SUMIF(C22:I22,"&lt;&gt;",'Потребление (МВт·ч)'!C22:I22)&gt;0,SUMPRODUCT(C22:I22,'Потребление (МВт·ч)'!C22:I22)/SUMIF(C22:I22,"&lt;&gt;",'Потребление (МВт·ч)'!C22:I22),"")</s:f>
        <s:v>2348.3250583846925</s:v>
      </s:c>
      <s:c r="L22" s="6" t="n">
        <s:f>IF(COUNT(C22:I22)&gt;0,AVERAGE(C22:I22),"")</s:f>
        <s:v>2393.9928566666663</s:v>
      </s:c>
      <s:c r="M22" s="10" t="n">
        <s:f>COUNT(C22:I22)</s:f>
        <s:v>6</s:v>
      </s:c>
      <s:c r="N22" s="11" t="n">
        <s:f>IF(AND(COUNT('Потребление (МВт·ч)'!C22:I22)=7,SUM('Потребление (МВт·ч)'!C22:I22)&gt;0),SUMIF(C22:I22,"&lt;&gt;",'Потребление (МВт·ч)'!C22:I22)/SUM('Потребление (МВт·ч)'!C22:I22),"")</s:f>
        <s:v>0.9628065088609493</s:v>
      </s:c>
    </s:row>
    <s:row r="23">
      <s:c r="A23" s="5" t="n">
        <s:v>46266</s:v>
      </s:c>
      <s:c r="B23" s="2" t="n">
        <s:v>18</s:v>
      </s:c>
      <s:c r="C23" s="6" t="n">
        <s:v>2351.67871</s:v>
      </s:c>
      <s:c r="D23" s="6" t="n">
        <s:v>2814.792</s:v>
      </s:c>
      <s:c r="E23" s="6" t="n">
        <s:v>2749.162</s:v>
      </s:c>
      <s:c r="F23" s="6" t="n">
        <s:v>2603.82642</s:v>
      </s:c>
      <s:c r="G23" s="6" t="n">
        <s:v>2451.50366</s:v>
      </s:c>
      <s:c r="H23" s="6" t="n">
        <s:v>1231.81653</s:v>
      </s:c>
      <s:c r="I23" s="6" t="n"/>
      <s:c r="J23" s="6" t="str">
        <s:f>IF(AND(COUNT(C23:I23)=7,COUNT('Потребление (МВт·ч)'!C23:I23)=7,SUM('Потребление (МВт·ч)'!C23:I23)&gt;0),SUMPRODUCT(C23:I23,'Потребление (МВт·ч)'!C23:I23)/SUM('Потребление (МВт·ч)'!C23:I23),"")</s:f>
      </s:c>
      <s:c r="K23" s="6" t="n">
        <s:f>IF(SUMIF(C23:I23,"&lt;&gt;",'Потребление (МВт·ч)'!C23:I23)&gt;0,SUMPRODUCT(C23:I23,'Потребление (МВт·ч)'!C23:I23)/SUMIF(C23:I23,"&lt;&gt;",'Потребление (МВт·ч)'!C23:I23),"")</s:f>
        <s:v>2342.079766144197</s:v>
      </s:c>
      <s:c r="L23" s="6" t="n">
        <s:f>IF(COUNT(C23:I23)&gt;0,AVERAGE(C23:I23),"")</s:f>
        <s:v>2367.1298866666666</s:v>
      </s:c>
      <s:c r="M23" s="10" t="n">
        <s:f>COUNT(C23:I23)</s:f>
        <s:v>6</s:v>
      </s:c>
      <s:c r="N23" s="11" t="n">
        <s:f>IF(AND(COUNT('Потребление (МВт·ч)'!C23:I23)=7,SUM('Потребление (МВт·ч)'!C23:I23)&gt;0),SUMIF(C23:I23,"&lt;&gt;",'Потребление (МВт·ч)'!C23:I23)/SUM('Потребление (МВт·ч)'!C23:I23),"")</s:f>
        <s:v>0.9631507326706384</s:v>
      </s:c>
    </s:row>
    <s:row r="24">
      <s:c r="A24" s="5" t="n">
        <s:v>46266</s:v>
      </s:c>
      <s:c r="B24" s="2" t="n">
        <s:v>19</s:v>
      </s:c>
      <s:c r="C24" s="6" t="n">
        <s:v>2398.36548</s:v>
      </s:c>
      <s:c r="D24" s="6" t="n">
        <s:v>2728.01</s:v>
      </s:c>
      <s:c r="E24" s="6" t="n">
        <s:v>2692.03345</s:v>
      </s:c>
      <s:c r="F24" s="6" t="n">
        <s:v>2517.22534</s:v>
      </s:c>
      <s:c r="G24" s="6" t="n">
        <s:v>2108.97729</s:v>
      </s:c>
      <s:c r="H24" s="6" t="n">
        <s:v>1052.593</s:v>
      </s:c>
      <s:c r="I24" s="6" t="n"/>
      <s:c r="J24" s="6" t="str">
        <s:f>IF(AND(COUNT(C24:I24)=7,COUNT('Потребление (МВт·ч)'!C24:I24)=7,SUM('Потребление (МВт·ч)'!C24:I24)&gt;0),SUMPRODUCT(C24:I24,'Потребление (МВт·ч)'!C24:I24)/SUM('Потребление (МВт·ч)'!C24:I24),"")</s:f>
      </s:c>
      <s:c r="K24" s="6" t="n">
        <s:f>IF(SUMIF(C24:I24,"&lt;&gt;",'Потребление (МВт·ч)'!C24:I24)&gt;0,SUMPRODUCT(C24:I24,'Потребление (МВт·ч)'!C24:I24)/SUMIF(C24:I24,"&lt;&gt;",'Потребление (МВт·ч)'!C24:I24),"")</s:f>
        <s:v>2204.045773501044</s:v>
      </s:c>
      <s:c r="L24" s="6" t="n">
        <s:f>IF(COUNT(C24:I24)&gt;0,AVERAGE(C24:I24),"")</s:f>
        <s:v>2249.5340933333337</s:v>
      </s:c>
      <s:c r="M24" s="10" t="n">
        <s:f>COUNT(C24:I24)</s:f>
        <s:v>6</s:v>
      </s:c>
      <s:c r="N24" s="11" t="n">
        <s:f>IF(AND(COUNT('Потребление (МВт·ч)'!C24:I24)=7,SUM('Потребление (МВт·ч)'!C24:I24)&gt;0),SUMIF(C24:I24,"&lt;&gt;",'Потребление (МВт·ч)'!C24:I24)/SUM('Потребление (МВт·ч)'!C24:I24),"")</s:f>
        <s:v>0.963717722882212</s:v>
      </s:c>
    </s:row>
    <s:row r="25">
      <s:c r="A25" s="5" t="n">
        <s:v>46266</s:v>
      </s:c>
      <s:c r="B25" s="2" t="n">
        <s:v>20</s:v>
      </s:c>
      <s:c r="C25" s="6" t="n">
        <s:v>2017.94678</s:v>
      </s:c>
      <s:c r="D25" s="6" t="n">
        <s:v>2614.2085</s:v>
      </s:c>
      <s:c r="E25" s="6" t="n">
        <s:v>2701.29</s:v>
      </s:c>
      <s:c r="F25" s="6" t="n">
        <s:v>2421.91113</s:v>
      </s:c>
      <s:c r="G25" s="6" t="n">
        <s:v>1991.91382</s:v>
      </s:c>
      <s:c r="H25" s="6" t="n">
        <s:v>513.854248</s:v>
      </s:c>
      <s:c r="I25" s="6" t="n"/>
      <s:c r="J25" s="6" t="str">
        <s:f>IF(AND(COUNT(C25:I25)=7,COUNT('Потребление (МВт·ч)'!C25:I25)=7,SUM('Потребление (МВт·ч)'!C25:I25)&gt;0),SUMPRODUCT(C25:I25,'Потребление (МВт·ч)'!C25:I25)/SUM('Потребление (МВт·ч)'!C25:I25),"")</s:f>
      </s:c>
      <s:c r="K25" s="6" t="n">
        <s:f>IF(SUMIF(C25:I25,"&lt;&gt;",'Потребление (МВт·ч)'!C25:I25)&gt;0,SUMPRODUCT(C25:I25,'Потребление (МВт·ч)'!C25:I25)/SUMIF(C25:I25,"&lt;&gt;",'Потребление (МВт·ч)'!C25:I25),"")</s:f>
        <s:v>1999.7234264661136</s:v>
      </s:c>
      <s:c r="L25" s="6" t="n">
        <s:f>IF(COUNT(C25:I25)&gt;0,AVERAGE(C25:I25),"")</s:f>
        <s:v>2043.5207463333334</s:v>
      </s:c>
      <s:c r="M25" s="10" t="n">
        <s:f>COUNT(C25:I25)</s:f>
        <s:v>6</s:v>
      </s:c>
      <s:c r="N25" s="11" t="n">
        <s:f>IF(AND(COUNT('Потребление (МВт·ч)'!C25:I25)=7,SUM('Потребление (МВт·ч)'!C25:I25)&gt;0),SUMIF(C25:I25,"&lt;&gt;",'Потребление (МВт·ч)'!C25:I25)/SUM('Потребление (МВт·ч)'!C25:I25),"")</s:f>
        <s:v>0.9639610361843511</s:v>
      </s:c>
    </s:row>
    <s:row r="26">
      <s:c r="A26" s="5" t="n">
        <s:v>46266</s:v>
      </s:c>
      <s:c r="B26" s="2" t="n">
        <s:v>21</s:v>
      </s:c>
      <s:c r="C26" s="6" t="n">
        <s:v>2245.06836</s:v>
      </s:c>
      <s:c r="D26" s="6" t="n">
        <s:v>2393.00244</s:v>
      </s:c>
      <s:c r="E26" s="6" t="n">
        <s:v>2497.563</s:v>
      </s:c>
      <s:c r="F26" s="6" t="n">
        <s:v>2141.06665</s:v>
      </s:c>
      <s:c r="G26" s="6" t="n">
        <s:v>1900.1759</s:v>
      </s:c>
      <s:c r="H26" s="6" t="n">
        <s:v>568.0940000000001</s:v>
      </s:c>
      <s:c r="I26" s="6" t="n"/>
      <s:c r="J26" s="6" t="str">
        <s:f>IF(AND(COUNT(C26:I26)=7,COUNT('Потребление (МВт·ч)'!C26:I26)=7,SUM('Потребление (МВт·ч)'!C26:I26)&gt;0),SUMPRODUCT(C26:I26,'Потребление (МВт·ч)'!C26:I26)/SUM('Потребление (МВт·ч)'!C26:I26),"")</s:f>
      </s:c>
      <s:c r="K26" s="6" t="n">
        <s:f>IF(SUMIF(C26:I26,"&lt;&gt;",'Потребление (МВт·ч)'!C26:I26)&gt;0,SUMPRODUCT(C26:I26,'Потребление (МВт·ч)'!C26:I26)/SUMIF(C26:I26,"&lt;&gt;",'Потребление (МВт·ч)'!C26:I26),"")</s:f>
        <s:v>1890.1193646413694</s:v>
      </s:c>
      <s:c r="L26" s="6" t="n">
        <s:f>IF(COUNT(C26:I26)&gt;0,AVERAGE(C26:I26),"")</s:f>
        <s:v>1957.4950583333332</s:v>
      </s:c>
      <s:c r="M26" s="10" t="n">
        <s:f>COUNT(C26:I26)</s:f>
        <s:v>6</s:v>
      </s:c>
      <s:c r="N26" s="11" t="n">
        <s:f>IF(AND(COUNT('Потребление (МВт·ч)'!C26:I26)=7,SUM('Потребление (МВт·ч)'!C26:I26)&gt;0),SUMIF(C26:I26,"&lt;&gt;",'Потребление (МВт·ч)'!C26:I26)/SUM('Потребление (МВт·ч)'!C26:I26),"")</s:f>
        <s:v>0.9623066104078762</s:v>
      </s:c>
    </s:row>
    <s:row r="27">
      <s:c r="A27" s="5" t="n">
        <s:v>46266</s:v>
      </s:c>
      <s:c r="B27" s="2" t="n">
        <s:v>22</s:v>
      </s:c>
      <s:c r="C27" s="6" t="n">
        <s:v>1317.44324</s:v>
      </s:c>
      <s:c r="D27" s="6" t="n">
        <s:v>1309.36926</s:v>
      </s:c>
      <s:c r="E27" s="6" t="n">
        <s:v>1691.50366</s:v>
      </s:c>
      <s:c r="F27" s="6" t="n">
        <s:v>1341.588</s:v>
      </s:c>
      <s:c r="G27" s="6" t="n">
        <s:v>1280.78162</s:v>
      </s:c>
      <s:c r="H27" s="6" t="n">
        <s:v>597.1422</s:v>
      </s:c>
      <s:c r="I27" s="6" t="n"/>
      <s:c r="J27" s="6" t="str">
        <s:f>IF(AND(COUNT(C27:I27)=7,COUNT('Потребление (МВт·ч)'!C27:I27)=7,SUM('Потребление (МВт·ч)'!C27:I27)&gt;0),SUMPRODUCT(C27:I27,'Потребление (МВт·ч)'!C27:I27)/SUM('Потребление (МВт·ч)'!C27:I27),"")</s:f>
      </s:c>
      <s:c r="K27" s="6" t="n">
        <s:f>IF(SUMIF(C27:I27,"&lt;&gt;",'Потребление (МВт·ч)'!C27:I27)&gt;0,SUMPRODUCT(C27:I27,'Потребление (МВт·ч)'!C27:I27)/SUMIF(C27:I27,"&lt;&gt;",'Потребление (МВт·ч)'!C27:I27),"")</s:f>
        <s:v>1201.2623698334335</s:v>
      </s:c>
      <s:c r="L27" s="6" t="n">
        <s:f>IF(COUNT(C27:I27)&gt;0,AVERAGE(C27:I27),"")</s:f>
        <s:v>1256.3046633333333</s:v>
      </s:c>
      <s:c r="M27" s="10" t="n">
        <s:f>COUNT(C27:I27)</s:f>
        <s:v>6</s:v>
      </s:c>
      <s:c r="N27" s="11" t="n">
        <s:f>IF(AND(COUNT('Потребление (МВт·ч)'!C27:I27)=7,SUM('Потребление (МВт·ч)'!C27:I27)&gt;0),SUMIF(C27:I27,"&lt;&gt;",'Потребление (МВт·ч)'!C27:I27)/SUM('Потребление (МВт·ч)'!C27:I27),"")</s:f>
        <s:v>0.9592530800821355</s:v>
      </s:c>
    </s:row>
    <s:row r="28">
      <s:c r="A28" s="5" t="n">
        <s:v>46266</s:v>
      </s:c>
      <s:c r="B28" s="2" t="n">
        <s:v>23</s:v>
      </s:c>
      <s:c r="C28" s="6" t="n">
        <s:v>337.98465</s:v>
      </s:c>
      <s:c r="D28" s="6" t="n">
        <s:v>1206.66064</s:v>
      </s:c>
      <s:c r="E28" s="6" t="n">
        <s:v>1126.26392</s:v>
      </s:c>
      <s:c r="F28" s="6" t="n">
        <s:v>1215.36841</s:v>
      </s:c>
      <s:c r="G28" s="6" t="n">
        <s:v>1246.45374</s:v>
      </s:c>
      <s:c r="H28" s="6" t="n">
        <s:v>584.5241</s:v>
      </s:c>
      <s:c r="I28" s="6" t="n"/>
      <s:c r="J28" s="6" t="str">
        <s:f>IF(AND(COUNT(C28:I28)=7,COUNT('Потребление (МВт·ч)'!C28:I28)=7,SUM('Потребление (МВт·ч)'!C28:I28)&gt;0),SUMPRODUCT(C28:I28,'Потребление (МВт·ч)'!C28:I28)/SUM('Потребление (МВт·ч)'!C28:I28),"")</s:f>
      </s:c>
      <s:c r="K28" s="6" t="n">
        <s:f>IF(SUMIF(C28:I28,"&lt;&gt;",'Потребление (МВт·ч)'!C28:I28)&gt;0,SUMPRODUCT(C28:I28,'Потребление (МВт·ч)'!C28:I28)/SUMIF(C28:I28,"&lt;&gt;",'Потребление (МВт·ч)'!C28:I28),"")</s:f>
        <s:v>993.5397954201999</s:v>
      </s:c>
      <s:c r="L28" s="6" t="n">
        <s:f>IF(COUNT(C28:I28)&gt;0,AVERAGE(C28:I28),"")</s:f>
        <s:v>952.8759099999999</s:v>
      </s:c>
      <s:c r="M28" s="10" t="n">
        <s:f>COUNT(C28:I28)</s:f>
        <s:v>6</s:v>
      </s:c>
      <s:c r="N28" s="11" t="n">
        <s:f>IF(AND(COUNT('Потребление (МВт·ч)'!C28:I28)=7,SUM('Потребление (МВт·ч)'!C28:I28)&gt;0),SUMIF(C28:I28,"&lt;&gt;",'Потребление (МВт·ч)'!C28:I28)/SUM('Потребление (МВт·ч)'!C28:I28),"")</s:f>
        <s:v>0.9556578859556293</s:v>
      </s:c>
    </s:row>
    <s:row r="29">
      <s:c r="A29" s="5" t="n">
        <s:v>46267</s:v>
      </s:c>
      <s:c r="B29" s="2" t="n">
        <s:v>0</s:v>
      </s:c>
      <s:c r="C29" s="6" t="n">
        <s:v>886.859741</s:v>
      </s:c>
      <s:c r="D29" s="6" t="n">
        <s:v>1020.19629</s:v>
      </s:c>
      <s:c r="E29" s="6" t="n">
        <s:v>711.914368</s:v>
      </s:c>
      <s:c r="F29" s="6" t="n">
        <s:v>1141.61279</s:v>
      </s:c>
      <s:c r="G29" s="6" t="n">
        <s:v>1268.48938</s:v>
      </s:c>
      <s:c r="H29" s="6" t="n">
        <s:v>604.1584</s:v>
      </s:c>
      <s:c r="I29" s="6" t="n"/>
      <s:c r="J29" s="6" t="str">
        <s:f>IF(AND(COUNT(C29:I29)=7,COUNT('Потребление (МВт·ч)'!C29:I29)=7,SUM('Потребление (МВт·ч)'!C29:I29)&gt;0),SUMPRODUCT(C29:I29,'Потребление (МВт·ч)'!C29:I29)/SUM('Потребление (МВт·ч)'!C29:I29),"")</s:f>
      </s:c>
      <s:c r="K29" s="6" t="n">
        <s:f>IF(SUMIF(C29:I29,"&lt;&gt;",'Потребление (МВт·ч)'!C29:I29)&gt;0,SUMPRODUCT(C29:I29,'Потребление (МВт·ч)'!C29:I29)/SUMIF(C29:I29,"&lt;&gt;",'Потребление (МВт·ч)'!C29:I29),"")</s:f>
        <s:v>956.1065320922086</s:v>
      </s:c>
      <s:c r="L29" s="6" t="n">
        <s:f>IF(COUNT(C29:I29)&gt;0,AVERAGE(C29:I29),"")</s:f>
        <s:v>938.8718281666667</s:v>
      </s:c>
      <s:c r="M29" s="10" t="n">
        <s:f>COUNT(C29:I29)</s:f>
        <s:v>6</s:v>
      </s:c>
      <s:c r="N29" s="11" t="n">
        <s:f>IF(AND(COUNT('Потребление (МВт·ч)'!C29:I29)=7,SUM('Потребление (МВт·ч)'!C29:I29)&gt;0),SUMIF(C29:I29,"&lt;&gt;",'Потребление (МВт·ч)'!C29:I29)/SUM('Потребление (МВт·ч)'!C29:I29),"")</s:f>
        <s:v>0.9517890808730637</s:v>
      </s:c>
    </s:row>
    <s:row r="30">
      <s:c r="A30" s="5" t="n">
        <s:v>46267</s:v>
      </s:c>
      <s:c r="B30" s="2" t="n">
        <s:v>1</s:v>
      </s:c>
      <s:c r="C30" s="6" t="n">
        <s:v>123.843163</s:v>
      </s:c>
      <s:c r="D30" s="6" t="n">
        <s:v>438.573364</s:v>
      </s:c>
      <s:c r="E30" s="6" t="n">
        <s:v>387.836639</s:v>
      </s:c>
      <s:c r="F30" s="6" t="n">
        <s:v>670.1412350000001</s:v>
      </s:c>
      <s:c r="G30" s="6" t="n">
        <s:v>832.297852</s:v>
      </s:c>
      <s:c r="H30" s="6" t="n">
        <s:v>230.09166</s:v>
      </s:c>
      <s:c r="I30" s="6" t="n"/>
      <s:c r="J30" s="6" t="str">
        <s:f>IF(AND(COUNT(C30:I30)=7,COUNT('Потребление (МВт·ч)'!C30:I30)=7,SUM('Потребление (МВт·ч)'!C30:I30)&gt;0),SUMPRODUCT(C30:I30,'Потребление (МВт·ч)'!C30:I30)/SUM('Потребление (МВт·ч)'!C30:I30),"")</s:f>
      </s:c>
      <s:c r="K30" s="6" t="n">
        <s:f>IF(SUMIF(C30:I30,"&lt;&gt;",'Потребление (МВт·ч)'!C30:I30)&gt;0,SUMPRODUCT(C30:I30,'Потребление (МВт·ч)'!C30:I30)/SUMIF(C30:I30,"&lt;&gt;",'Потребление (МВт·ч)'!C30:I30),"")</s:f>
        <s:v>477.49604718920256</s:v>
      </s:c>
      <s:c r="L30" s="6" t="n">
        <s:f>IF(COUNT(C30:I30)&gt;0,AVERAGE(C30:I30),"")</s:f>
        <s:v>447.1306521666667</s:v>
      </s:c>
      <s:c r="M30" s="10" t="n">
        <s:f>COUNT(C30:I30)</s:f>
        <s:v>6</s:v>
      </s:c>
      <s:c r="N30" s="11" t="n">
        <s:f>IF(AND(COUNT('Потребление (МВт·ч)'!C30:I30)=7,SUM('Потребление (МВт·ч)'!C30:I30)&gt;0),SUMIF(C30:I30,"&lt;&gt;",'Потребление (МВт·ч)'!C30:I30)/SUM('Потребление (МВт·ч)'!C30:I30),"")</s:f>
        <s:v>0.9499138459741245</s:v>
      </s:c>
    </s:row>
    <s:row r="31">
      <s:c r="A31" s="5" t="n">
        <s:v>46267</s:v>
      </s:c>
      <s:c r="B31" s="2" t="n">
        <s:v>2</s:v>
      </s:c>
      <s:c r="C31" s="6" t="n">
        <s:v>420.114471</s:v>
      </s:c>
      <s:c r="D31" s="6" t="n">
        <s:v>320.494568</s:v>
      </s:c>
      <s:c r="E31" s="6" t="n">
        <s:v>10.1780386</s:v>
      </s:c>
      <s:c r="F31" s="6" t="n">
        <s:v>708.9059</s:v>
      </s:c>
      <s:c r="G31" s="6" t="n">
        <s:v>1171.2644</s:v>
      </s:c>
      <s:c r="H31" s="6" t="n">
        <s:v>594.2893</s:v>
      </s:c>
      <s:c r="I31" s="6" t="n"/>
      <s:c r="J31" s="6" t="str">
        <s:f>IF(AND(COUNT(C31:I31)=7,COUNT('Потребление (МВт·ч)'!C31:I31)=7,SUM('Потребление (МВт·ч)'!C31:I31)&gt;0),SUMPRODUCT(C31:I31,'Потребление (МВт·ч)'!C31:I31)/SUM('Потребление (МВт·ч)'!C31:I31),"")</s:f>
      </s:c>
      <s:c r="K31" s="6" t="n">
        <s:f>IF(SUMIF(C31:I31,"&lt;&gt;",'Потребление (МВт·ч)'!C31:I31)&gt;0,SUMPRODUCT(C31:I31,'Потребление (МВт·ч)'!C31:I31)/SUMIF(C31:I31,"&lt;&gt;",'Потребление (МВт·ч)'!C31:I31),"")</s:f>
        <s:v>610.679338277567</s:v>
      </s:c>
      <s:c r="L31" s="6" t="n">
        <s:f>IF(COUNT(C31:I31)&gt;0,AVERAGE(C31:I31),"")</s:f>
        <s:v>537.5411129333332</s:v>
      </s:c>
      <s:c r="M31" s="10" t="n">
        <s:f>COUNT(C31:I31)</s:f>
        <s:v>6</s:v>
      </s:c>
      <s:c r="N31" s="11" t="n">
        <s:f>IF(AND(COUNT('Потребление (МВт·ч)'!C31:I31)=7,SUM('Потребление (МВт·ч)'!C31:I31)&gt;0),SUMIF(C31:I31,"&lt;&gt;",'Потребление (МВт·ч)'!C31:I31)/SUM('Потребление (МВт·ч)'!C31:I31),"")</s:f>
        <s:v>0.9496534182474807</s:v>
      </s:c>
    </s:row>
    <s:row r="32">
      <s:c r="A32" s="5" t="n">
        <s:v>46267</s:v>
      </s:c>
      <s:c r="B32" s="2" t="n">
        <s:v>3</s:v>
      </s:c>
      <s:c r="C32" s="6" t="n">
        <s:v>420.891052</s:v>
      </s:c>
      <s:c r="D32" s="6" t="n">
        <s:v>330.5816</s:v>
      </s:c>
      <s:c r="E32" s="6" t="n">
        <s:v>15.9494734</s:v>
      </s:c>
      <s:c r="F32" s="6" t="n">
        <s:v>737.9893</s:v>
      </s:c>
      <s:c r="G32" s="6" t="n">
        <s:v>1214.378</s:v>
      </s:c>
      <s:c r="H32" s="6" t="n">
        <s:v>671.0694999999999</s:v>
      </s:c>
      <s:c r="I32" s="6" t="n"/>
      <s:c r="J32" s="6" t="str">
        <s:f>IF(AND(COUNT(C32:I32)=7,COUNT('Потребление (МВт·ч)'!C32:I32)=7,SUM('Потребление (МВт·ч)'!C32:I32)&gt;0),SUMPRODUCT(C32:I32,'Потребление (МВт·ч)'!C32:I32)/SUM('Потребление (МВт·ч)'!C32:I32),"")</s:f>
      </s:c>
      <s:c r="K32" s="6" t="n">
        <s:f>IF(SUMIF(C32:I32,"&lt;&gt;",'Потребление (МВт·ч)'!C32:I32)&gt;0,SUMPRODUCT(C32:I32,'Потребление (МВт·ч)'!C32:I32)/SUMIF(C32:I32,"&lt;&gt;",'Потребление (МВт·ч)'!C32:I32),"")</s:f>
        <s:v>648.8108600640156</s:v>
      </s:c>
      <s:c r="L32" s="6" t="n">
        <s:f>IF(COUNT(C32:I32)&gt;0,AVERAGE(C32:I32),"")</s:f>
        <s:v>565.1431542333333</s:v>
      </s:c>
      <s:c r="M32" s="10" t="n">
        <s:f>COUNT(C32:I32)</s:f>
        <s:v>6</s:v>
      </s:c>
      <s:c r="N32" s="11" t="n">
        <s:f>IF(AND(COUNT('Потребление (МВт·ч)'!C32:I32)=7,SUM('Потребление (МВт·ч)'!C32:I32)&gt;0),SUMIF(C32:I32,"&lt;&gt;",'Потребление (МВт·ч)'!C32:I32)/SUM('Потребление (МВт·ч)'!C32:I32),"")</s:f>
        <s:v>0.9511203993962615</s:v>
      </s:c>
    </s:row>
    <s:row r="33">
      <s:c r="A33" s="5" t="n">
        <s:v>46267</s:v>
      </s:c>
      <s:c r="B33" s="2" t="n">
        <s:v>4</s:v>
      </s:c>
      <s:c r="C33" s="6" t="n">
        <s:v>832.9497</s:v>
      </s:c>
      <s:c r="D33" s="6" t="n">
        <s:v>1115.44507</s:v>
      </s:c>
      <s:c r="E33" s="6" t="n">
        <s:v>141.699234</s:v>
      </s:c>
      <s:c r="F33" s="6" t="n">
        <s:v>1321.24951</s:v>
      </s:c>
      <s:c r="G33" s="6" t="n">
        <s:v>1558.89709</s:v>
      </s:c>
      <s:c r="H33" s="6" t="n">
        <s:v>760.9633</s:v>
      </s:c>
      <s:c r="I33" s="6" t="n"/>
      <s:c r="J33" s="6" t="str">
        <s:f>IF(AND(COUNT(C33:I33)=7,COUNT('Потребление (МВт·ч)'!C33:I33)=7,SUM('Потребление (МВт·ч)'!C33:I33)&gt;0),SUMPRODUCT(C33:I33,'Потребление (МВт·ч)'!C33:I33)/SUM('Потребление (МВт·ч)'!C33:I33),"")</s:f>
      </s:c>
      <s:c r="K33" s="6" t="n">
        <s:f>IF(SUMIF(C33:I33,"&lt;&gt;",'Потребление (МВт·ч)'!C33:I33)&gt;0,SUMPRODUCT(C33:I33,'Потребление (МВт·ч)'!C33:I33)/SUMIF(C33:I33,"&lt;&gt;",'Потребление (МВт·ч)'!C33:I33),"")</s:f>
        <s:v>1045.7980924237918</s:v>
      </s:c>
      <s:c r="L33" s="6" t="n">
        <s:f>IF(COUNT(C33:I33)&gt;0,AVERAGE(C33:I33),"")</s:f>
        <s:v>955.2006506666668</s:v>
      </s:c>
      <s:c r="M33" s="10" t="n">
        <s:f>COUNT(C33:I33)</s:f>
        <s:v>6</s:v>
      </s:c>
      <s:c r="N33" s="11" t="n">
        <s:f>IF(AND(COUNT('Потребление (МВт·ч)'!C33:I33)=7,SUM('Потребление (МВт·ч)'!C33:I33)&gt;0),SUMIF(C33:I33,"&lt;&gt;",'Потребление (МВт·ч)'!C33:I33)/SUM('Потребление (МВт·ч)'!C33:I33),"")</s:f>
        <s:v>0.9526870489935435</s:v>
      </s:c>
    </s:row>
    <s:row r="34">
      <s:c r="A34" s="5" t="n">
        <s:v>46267</s:v>
      </s:c>
      <s:c r="B34" s="2" t="n">
        <s:v>5</s:v>
      </s:c>
      <s:c r="C34" s="6" t="n">
        <s:v>1363.76611</s:v>
      </s:c>
      <s:c r="D34" s="6" t="n">
        <s:v>1534.621</s:v>
      </s:c>
      <s:c r="E34" s="6" t="n">
        <s:v>134.390442</s:v>
      </s:c>
      <s:c r="F34" s="6" t="n">
        <s:v>1686.46179</s:v>
      </s:c>
      <s:c r="G34" s="6" t="n">
        <s:v>1820.06909</s:v>
      </s:c>
      <s:c r="H34" s="6" t="n">
        <s:v>1002.896</s:v>
      </s:c>
      <s:c r="I34" s="6" t="n"/>
      <s:c r="J34" s="6" t="str">
        <s:f>IF(AND(COUNT(C34:I34)=7,COUNT('Потребление (МВт·ч)'!C34:I34)=7,SUM('Потребление (МВт·ч)'!C34:I34)&gt;0),SUMPRODUCT(C34:I34,'Потребление (МВт·ч)'!C34:I34)/SUM('Потребление (МВт·ч)'!C34:I34),"")</s:f>
      </s:c>
      <s:c r="K34" s="6" t="n">
        <s:f>IF(SUMIF(C34:I34,"&lt;&gt;",'Потребление (МВт·ч)'!C34:I34)&gt;0,SUMPRODUCT(C34:I34,'Потребление (МВт·ч)'!C34:I34)/SUMIF(C34:I34,"&lt;&gt;",'Потребление (МВт·ч)'!C34:I34),"")</s:f>
        <s:v>1353.9779111619941</s:v>
      </s:c>
      <s:c r="L34" s="6" t="n">
        <s:f>IF(COUNT(C34:I34)&gt;0,AVERAGE(C34:I34),"")</s:f>
        <s:v>1257.034072</s:v>
      </s:c>
      <s:c r="M34" s="10" t="n">
        <s:f>COUNT(C34:I34)</s:f>
        <s:v>6</s:v>
      </s:c>
      <s:c r="N34" s="11" t="n">
        <s:f>IF(AND(COUNT('Потребление (МВт·ч)'!C34:I34)=7,SUM('Потребление (МВт·ч)'!C34:I34)&gt;0),SUMIF(C34:I34,"&lt;&gt;",'Потребление (МВт·ч)'!C34:I34)/SUM('Потребление (МВт·ч)'!C34:I34),"")</s:f>
        <s:v>0.9518381464194731</s:v>
      </s:c>
    </s:row>
    <s:row r="35">
      <s:c r="A35" s="5" t="n">
        <s:v>46267</s:v>
      </s:c>
      <s:c r="B35" s="2" t="n">
        <s:v>6</s:v>
      </s:c>
      <s:c r="C35" s="6" t="n">
        <s:v>1878.34253</s:v>
      </s:c>
      <s:c r="D35" s="6" t="n">
        <s:v>1986.75488</s:v>
      </s:c>
      <s:c r="E35" s="6" t="n">
        <s:v>971.6429000000001</s:v>
      </s:c>
      <s:c r="F35" s="6" t="n">
        <s:v>2131.88354</s:v>
      </s:c>
      <s:c r="G35" s="6" t="n">
        <s:v>2044.99548</s:v>
      </s:c>
      <s:c r="H35" s="6" t="n">
        <s:v>1089.09863</s:v>
      </s:c>
      <s:c r="I35" s="6" t="n"/>
      <s:c r="J35" s="6" t="str">
        <s:f>IF(AND(COUNT(C35:I35)=7,COUNT('Потребление (МВт·ч)'!C35:I35)=7,SUM('Потребление (МВт·ч)'!C35:I35)&gt;0),SUMPRODUCT(C35:I35,'Потребление (МВт·ч)'!C35:I35)/SUM('Потребление (МВт·ч)'!C35:I35),"")</s:f>
      </s:c>
      <s:c r="K35" s="6" t="n">
        <s:f>IF(SUMIF(C35:I35,"&lt;&gt;",'Потребление (МВт·ч)'!C35:I35)&gt;0,SUMPRODUCT(C35:I35,'Потребление (МВт·ч)'!C35:I35)/SUMIF(C35:I35,"&lt;&gt;",'Потребление (МВт·ч)'!C35:I35),"")</s:f>
        <s:v>1708.8961324679362</s:v>
      </s:c>
      <s:c r="L35" s="6" t="n">
        <s:f>IF(COUNT(C35:I35)&gt;0,AVERAGE(C35:I35),"")</s:f>
        <s:v>1683.7863266666666</s:v>
      </s:c>
      <s:c r="M35" s="10" t="n">
        <s:f>COUNT(C35:I35)</s:f>
        <s:v>6</s:v>
      </s:c>
      <s:c r="N35" s="11" t="n">
        <s:f>IF(AND(COUNT('Потребление (МВт·ч)'!C35:I35)=7,SUM('Потребление (МВт·ч)'!C35:I35)&gt;0),SUMIF(C35:I35,"&lt;&gt;",'Потребление (МВт·ч)'!C35:I35)/SUM('Потребление (МВт·ч)'!C35:I35),"")</s:f>
        <s:v>0.9545892113277558</s:v>
      </s:c>
    </s:row>
    <s:row r="36">
      <s:c r="A36" s="5" t="n">
        <s:v>46267</s:v>
      </s:c>
      <s:c r="B36" s="2" t="n">
        <s:v>7</s:v>
      </s:c>
      <s:c r="C36" s="6" t="n">
        <s:v>2188.915</s:v>
      </s:c>
      <s:c r="D36" s="6" t="n">
        <s:v>2368.952</s:v>
      </s:c>
      <s:c r="E36" s="6" t="n">
        <s:v>1932.24792</s:v>
      </s:c>
      <s:c r="F36" s="6" t="n">
        <s:v>2469.16919</s:v>
      </s:c>
      <s:c r="G36" s="6" t="n">
        <s:v>2244.64038</s:v>
      </s:c>
      <s:c r="H36" s="6" t="n">
        <s:v>1110.835</s:v>
      </s:c>
      <s:c r="I36" s="6" t="n"/>
      <s:c r="J36" s="6" t="str">
        <s:f>IF(AND(COUNT(C36:I36)=7,COUNT('Потребление (МВт·ч)'!C36:I36)=7,SUM('Потребление (МВт·ч)'!C36:I36)&gt;0),SUMPRODUCT(C36:I36,'Потребление (МВт·ч)'!C36:I36)/SUM('Потребление (МВт·ч)'!C36:I36),"")</s:f>
      </s:c>
      <s:c r="K36" s="6" t="n">
        <s:f>IF(SUMIF(C36:I36,"&lt;&gt;",'Потребление (МВт·ч)'!C36:I36)&gt;0,SUMPRODUCT(C36:I36,'Потребление (МВт·ч)'!C36:I36)/SUMIF(C36:I36,"&lt;&gt;",'Потребление (МВт·ч)'!C36:I36),"")</s:f>
        <s:v>2021.4037046678375</s:v>
      </s:c>
      <s:c r="L36" s="6" t="n">
        <s:f>IF(COUNT(C36:I36)&gt;0,AVERAGE(C36:I36),"")</s:f>
        <s:v>2052.459915</s:v>
      </s:c>
      <s:c r="M36" s="10" t="n">
        <s:f>COUNT(C36:I36)</s:f>
        <s:v>6</s:v>
      </s:c>
      <s:c r="N36" s="11" t="n">
        <s:f>IF(AND(COUNT('Потребление (МВт·ч)'!C36:I36)=7,SUM('Потребление (МВт·ч)'!C36:I36)&gt;0),SUMIF(C36:I36,"&lt;&gt;",'Потребление (МВт·ч)'!C36:I36)/SUM('Потребление (МВт·ч)'!C36:I36),"")</s:f>
        <s:v>0.956403685916473</s:v>
      </s:c>
    </s:row>
    <s:row r="37">
      <s:c r="A37" s="5" t="n">
        <s:v>46267</s:v>
      </s:c>
      <s:c r="B37" s="2" t="n">
        <s:v>8</s:v>
      </s:c>
      <s:c r="C37" s="6" t="n">
        <s:v>2638.24731</s:v>
      </s:c>
      <s:c r="D37" s="6" t="n">
        <s:v>2875.39648</s:v>
      </s:c>
      <s:c r="E37" s="6" t="n">
        <s:v>2329.19751</s:v>
      </s:c>
      <s:c r="F37" s="6" t="n">
        <s:v>2780.91919</s:v>
      </s:c>
      <s:c r="G37" s="6" t="n">
        <s:v>2572.82129</s:v>
      </s:c>
      <s:c r="H37" s="6" t="n">
        <s:v>1270.88147</s:v>
      </s:c>
      <s:c r="I37" s="6" t="n"/>
      <s:c r="J37" s="6" t="str">
        <s:f>IF(AND(COUNT(C37:I37)=7,COUNT('Потребление (МВт·ч)'!C37:I37)=7,SUM('Потребление (МВт·ч)'!C37:I37)&gt;0),SUMPRODUCT(C37:I37,'Потребление (МВт·ч)'!C37:I37)/SUM('Потребление (МВт·ч)'!C37:I37),"")</s:f>
      </s:c>
      <s:c r="K37" s="6" t="n">
        <s:f>IF(SUMIF(C37:I37,"&lt;&gt;",'Потребление (МВт·ч)'!C37:I37)&gt;0,SUMPRODUCT(C37:I37,'Потребление (МВт·ч)'!C37:I37)/SUMIF(C37:I37,"&lt;&gt;",'Потребление (МВт·ч)'!C37:I37),"")</s:f>
        <s:v>2379.65729003946</s:v>
      </s:c>
      <s:c r="L37" s="6" t="n">
        <s:f>IF(COUNT(C37:I37)&gt;0,AVERAGE(C37:I37),"")</s:f>
        <s:v>2411.243875</s:v>
      </s:c>
      <s:c r="M37" s="10" t="n">
        <s:f>COUNT(C37:I37)</s:f>
        <s:v>6</s:v>
      </s:c>
      <s:c r="N37" s="11" t="n">
        <s:f>IF(AND(COUNT('Потребление (МВт·ч)'!C37:I37)=7,SUM('Потребление (МВт·ч)'!C37:I37)&gt;0),SUMIF(C37:I37,"&lt;&gt;",'Потребление (МВт·ч)'!C37:I37)/SUM('Потребление (МВт·ч)'!C37:I37),"")</s:f>
        <s:v>0.9567875902823375</s:v>
      </s:c>
    </s:row>
    <s:row r="38">
      <s:c r="A38" s="5" t="n">
        <s:v>46267</s:v>
      </s:c>
      <s:c r="B38" s="2" t="n">
        <s:v>9</s:v>
      </s:c>
      <s:c r="C38" s="6" t="n">
        <s:v>2471.20166</s:v>
      </s:c>
      <s:c r="D38" s="6" t="n">
        <s:v>2915.99536</s:v>
      </s:c>
      <s:c r="E38" s="6" t="n">
        <s:v>2399.89014</s:v>
      </s:c>
      <s:c r="F38" s="6" t="n">
        <s:v>2944.68945</s:v>
      </s:c>
      <s:c r="G38" s="6" t="n">
        <s:v>3542.888</s:v>
      </s:c>
      <s:c r="H38" s="6" t="n">
        <s:v>1670.11218</s:v>
      </s:c>
      <s:c r="I38" s="6" t="n"/>
      <s:c r="J38" s="6" t="str">
        <s:f>IF(AND(COUNT(C38:I38)=7,COUNT('Потребление (МВт·ч)'!C38:I38)=7,SUM('Потребление (МВт·ч)'!C38:I38)&gt;0),SUMPRODUCT(C38:I38,'Потребление (МВт·ч)'!C38:I38)/SUM('Потребление (МВт·ч)'!C38:I38),"")</s:f>
      </s:c>
      <s:c r="K38" s="6" t="n">
        <s:f>IF(SUMIF(C38:I38,"&lt;&gt;",'Потребление (МВт·ч)'!C38:I38)&gt;0,SUMPRODUCT(C38:I38,'Потребление (МВт·ч)'!C38:I38)/SUMIF(C38:I38,"&lt;&gt;",'Потребление (МВт·ч)'!C38:I38),"")</s:f>
        <s:v>2708.2066528860096</s:v>
      </s:c>
      <s:c r="L38" s="6" t="n">
        <s:f>IF(COUNT(C38:I38)&gt;0,AVERAGE(C38:I38),"")</s:f>
        <s:v>2657.4627983333335</s:v>
      </s:c>
      <s:c r="M38" s="10" t="n">
        <s:f>COUNT(C38:I38)</s:f>
        <s:v>6</s:v>
      </s:c>
      <s:c r="N38" s="11" t="n">
        <s:f>IF(AND(COUNT('Потребление (МВт·ч)'!C38:I38)=7,SUM('Потребление (МВт·ч)'!C38:I38)&gt;0),SUMIF(C38:I38,"&lt;&gt;",'Потребление (МВт·ч)'!C38:I38)/SUM('Потребление (МВт·ч)'!C38:I38),"")</s:f>
        <s:v>0.9594856708746181</s:v>
      </s:c>
    </s:row>
    <s:row r="39">
      <s:c r="A39" s="5" t="n">
        <s:v>46267</s:v>
      </s:c>
      <s:c r="B39" s="2" t="n">
        <s:v>10</s:v>
      </s:c>
      <s:c r="C39" s="6" t="n">
        <s:v>2046.07727</s:v>
      </s:c>
      <s:c r="D39" s="6" t="n">
        <s:v>2716.858</s:v>
      </s:c>
      <s:c r="E39" s="6" t="n">
        <s:v>2233.872</s:v>
      </s:c>
      <s:c r="F39" s="6" t="n">
        <s:v>2649.83618</s:v>
      </s:c>
      <s:c r="G39" s="6" t="n">
        <s:v>2377.87256</s:v>
      </s:c>
      <s:c r="H39" s="6" t="n">
        <s:v>1242.59387</s:v>
      </s:c>
      <s:c r="I39" s="6" t="n"/>
      <s:c r="J39" s="6" t="str">
        <s:f>IF(AND(COUNT(C39:I39)=7,COUNT('Потребление (МВт·ч)'!C39:I39)=7,SUM('Потребление (МВт·ч)'!C39:I39)&gt;0),SUMPRODUCT(C39:I39,'Потребление (МВт·ч)'!C39:I39)/SUM('Потребление (МВт·ч)'!C39:I39),"")</s:f>
      </s:c>
      <s:c r="K39" s="6" t="n">
        <s:f>IF(SUMIF(C39:I39,"&lt;&gt;",'Потребление (МВт·ч)'!C39:I39)&gt;0,SUMPRODUCT(C39:I39,'Потребление (МВт·ч)'!C39:I39)/SUMIF(C39:I39,"&lt;&gt;",'Потребление (МВт·ч)'!C39:I39),"")</s:f>
        <s:v>2213.760163409579</s:v>
      </s:c>
      <s:c r="L39" s="6" t="n">
        <s:f>IF(COUNT(C39:I39)&gt;0,AVERAGE(C39:I39),"")</s:f>
        <s:v>2211.18498</s:v>
      </s:c>
      <s:c r="M39" s="10" t="n">
        <s:f>COUNT(C39:I39)</s:f>
        <s:v>6</s:v>
      </s:c>
      <s:c r="N39" s="11" t="n">
        <s:f>IF(AND(COUNT('Потребление (МВт·ч)'!C39:I39)=7,SUM('Потребление (МВт·ч)'!C39:I39)&gt;0),SUMIF(C39:I39,"&lt;&gt;",'Потребление (МВт·ч)'!C39:I39)/SUM('Потребление (МВт·ч)'!C39:I39),"")</s:f>
        <s:v>0.9579527190198122</s:v>
      </s:c>
    </s:row>
    <s:row r="40">
      <s:c r="A40" s="5" t="n">
        <s:v>46267</s:v>
      </s:c>
      <s:c r="B40" s="2" t="n">
        <s:v>11</s:v>
      </s:c>
      <s:c r="C40" s="6" t="n">
        <s:v>2347.01563</s:v>
      </s:c>
      <s:c r="D40" s="6" t="n">
        <s:v>2544.75146</s:v>
      </s:c>
      <s:c r="E40" s="6" t="n">
        <s:v>3334.68384</s:v>
      </s:c>
      <s:c r="F40" s="6" t="n">
        <s:v>2588.51123</s:v>
      </s:c>
      <s:c r="G40" s="6" t="n">
        <s:v>2293.83325</s:v>
      </s:c>
      <s:c r="H40" s="6" t="n">
        <s:v>1181.30115</s:v>
      </s:c>
      <s:c r="I40" s="6" t="n"/>
      <s:c r="J40" s="6" t="str">
        <s:f>IF(AND(COUNT(C40:I40)=7,COUNT('Потребление (МВт·ч)'!C40:I40)=7,SUM('Потребление (МВт·ч)'!C40:I40)&gt;0),SUMPRODUCT(C40:I40,'Потребление (МВт·ч)'!C40:I40)/SUM('Потребление (МВт·ч)'!C40:I40),"")</s:f>
      </s:c>
      <s:c r="K40" s="6" t="n">
        <s:f>IF(SUMIF(C40:I40,"&lt;&gt;",'Потребление (МВт·ч)'!C40:I40)&gt;0,SUMPRODUCT(C40:I40,'Потребление (МВт·ч)'!C40:I40)/SUMIF(C40:I40,"&lt;&gt;",'Потребление (МВт·ч)'!C40:I40),"")</s:f>
        <s:v>2287.1870594678185</s:v>
      </s:c>
      <s:c r="L40" s="6" t="n">
        <s:f>IF(COUNT(C40:I40)&gt;0,AVERAGE(C40:I40),"")</s:f>
        <s:v>2381.6827599999997</s:v>
      </s:c>
      <s:c r="M40" s="10" t="n">
        <s:f>COUNT(C40:I40)</s:f>
        <s:v>6</s:v>
      </s:c>
      <s:c r="N40" s="11" t="n">
        <s:f>IF(AND(COUNT('Потребление (МВт·ч)'!C40:I40)=7,SUM('Потребление (МВт·ч)'!C40:I40)&gt;0),SUMIF(C40:I40,"&lt;&gt;",'Потребление (МВт·ч)'!C40:I40)/SUM('Потребление (МВт·ч)'!C40:I40),"")</s:f>
        <s:v>0.9581959807584304</s:v>
      </s:c>
    </s:row>
    <s:row r="41">
      <s:c r="A41" s="5" t="n">
        <s:v>46267</s:v>
      </s:c>
      <s:c r="B41" s="2" t="n">
        <s:v>12</s:v>
      </s:c>
      <s:c r="C41" s="6" t="n">
        <s:v>2403.3186</s:v>
      </s:c>
      <s:c r="D41" s="6" t="n">
        <s:v>2695.41113</s:v>
      </s:c>
      <s:c r="E41" s="6" t="n">
        <s:v>3085.39087</s:v>
      </s:c>
      <s:c r="F41" s="6" t="n">
        <s:v>2689.73657</s:v>
      </s:c>
      <s:c r="G41" s="6" t="n">
        <s:v>2360.10156</s:v>
      </s:c>
      <s:c r="H41" s="6" t="n">
        <s:v>1010.11719</s:v>
      </s:c>
      <s:c r="I41" s="6" t="n"/>
      <s:c r="J41" s="6" t="str">
        <s:f>IF(AND(COUNT(C41:I41)=7,COUNT('Потребление (МВт·ч)'!C41:I41)=7,SUM('Потребление (МВт·ч)'!C41:I41)&gt;0),SUMPRODUCT(C41:I41,'Потребление (МВт·ч)'!C41:I41)/SUM('Потребление (МВт·ч)'!C41:I41),"")</s:f>
      </s:c>
      <s:c r="K41" s="6" t="n">
        <s:f>IF(SUMIF(C41:I41,"&lt;&gt;",'Потребление (МВт·ч)'!C41:I41)&gt;0,SUMPRODUCT(C41:I41,'Потребление (МВт·ч)'!C41:I41)/SUMIF(C41:I41,"&lt;&gt;",'Потребление (МВт·ч)'!C41:I41),"")</s:f>
        <s:v>2297.5998341666736</s:v>
      </s:c>
      <s:c r="L41" s="6" t="n">
        <s:f>IF(COUNT(C41:I41)&gt;0,AVERAGE(C41:I41),"")</s:f>
        <s:v>2374.012653333333</s:v>
      </s:c>
      <s:c r="M41" s="10" t="n">
        <s:f>COUNT(C41:I41)</s:f>
        <s:v>6</s:v>
      </s:c>
      <s:c r="N41" s="11" t="n">
        <s:f>IF(AND(COUNT('Потребление (МВт·ч)'!C41:I41)=7,SUM('Потребление (МВт·ч)'!C41:I41)&gt;0),SUMIF(C41:I41,"&lt;&gt;",'Потребление (МВт·ч)'!C41:I41)/SUM('Потребление (МВт·ч)'!C41:I41),"")</s:f>
        <s:v>0.9571859247613336</s:v>
      </s:c>
    </s:row>
    <s:row r="42">
      <s:c r="A42" s="5" t="n">
        <s:v>46267</s:v>
      </s:c>
      <s:c r="B42" s="2" t="n">
        <s:v>13</s:v>
      </s:c>
      <s:c r="C42" s="6" t="n">
        <s:v>2283.53442</s:v>
      </s:c>
      <s:c r="D42" s="6" t="n">
        <s:v>2605.23315</s:v>
      </s:c>
      <s:c r="E42" s="6" t="n">
        <s:v>3385.76758</s:v>
      </s:c>
      <s:c r="F42" s="6" t="n">
        <s:v>2654.88428</s:v>
      </s:c>
      <s:c r="G42" s="6" t="n">
        <s:v>2379.16577</s:v>
      </s:c>
      <s:c r="H42" s="6" t="n">
        <s:v>1473.00085</s:v>
      </s:c>
      <s:c r="I42" s="6" t="n"/>
      <s:c r="J42" s="6" t="str">
        <s:f>IF(AND(COUNT(C42:I42)=7,COUNT('Потребление (МВт·ч)'!C42:I42)=7,SUM('Потребление (МВт·ч)'!C42:I42)&gt;0),SUMPRODUCT(C42:I42,'Потребление (МВт·ч)'!C42:I42)/SUM('Потребление (МВт·ч)'!C42:I42),"")</s:f>
      </s:c>
      <s:c r="K42" s="6" t="n">
        <s:f>IF(SUMIF(C42:I42,"&lt;&gt;",'Потребление (МВт·ч)'!C42:I42)&gt;0,SUMPRODUCT(C42:I42,'Потребление (МВт·ч)'!C42:I42)/SUMIF(C42:I42,"&lt;&gt;",'Потребление (МВт·ч)'!C42:I42),"")</s:f>
        <s:v>2393.830421155978</s:v>
      </s:c>
      <s:c r="L42" s="6" t="n">
        <s:f>IF(COUNT(C42:I42)&gt;0,AVERAGE(C42:I42),"")</s:f>
        <s:v>2463.597675</s:v>
      </s:c>
      <s:c r="M42" s="10" t="n">
        <s:f>COUNT(C42:I42)</s:f>
        <s:v>6</s:v>
      </s:c>
      <s:c r="N42" s="11" t="n">
        <s:f>IF(AND(COUNT('Потребление (МВт·ч)'!C42:I42)=7,SUM('Потребление (МВт·ч)'!C42:I42)&gt;0),SUMIF(C42:I42,"&lt;&gt;",'Потребление (МВт·ч)'!C42:I42)/SUM('Потребление (МВт·ч)'!C42:I42),"")</s:f>
        <s:v>0.9570971459889902</s:v>
      </s:c>
    </s:row>
    <s:row r="43">
      <s:c r="A43" s="5" t="n">
        <s:v>46267</s:v>
      </s:c>
      <s:c r="B43" s="2" t="n">
        <s:v>14</s:v>
      </s:c>
      <s:c r="C43" s="6" t="n">
        <s:v>2064.30127</s:v>
      </s:c>
      <s:c r="D43" s="6" t="n">
        <s:v>4309.45459</s:v>
      </s:c>
      <s:c r="E43" s="6" t="n">
        <s:v>4620.59</s:v>
      </s:c>
      <s:c r="F43" s="6" t="n">
        <s:v>2442.15869</s:v>
      </s:c>
      <s:c r="G43" s="6" t="n">
        <s:v>2064.46021</s:v>
      </s:c>
      <s:c r="H43" s="6" t="n">
        <s:v>1219.83765</s:v>
      </s:c>
      <s:c r="I43" s="6" t="n"/>
      <s:c r="J43" s="6" t="str">
        <s:f>IF(AND(COUNT(C43:I43)=7,COUNT('Потребление (МВт·ч)'!C43:I43)=7,SUM('Потребление (МВт·ч)'!C43:I43)&gt;0),SUMPRODUCT(C43:I43,'Потребление (МВт·ч)'!C43:I43)/SUM('Потребление (МВт·ч)'!C43:I43),"")</s:f>
      </s:c>
      <s:c r="K43" s="6" t="n">
        <s:f>IF(SUMIF(C43:I43,"&lt;&gt;",'Потребление (МВт·ч)'!C43:I43)&gt;0,SUMPRODUCT(C43:I43,'Потребление (МВт·ч)'!C43:I43)/SUMIF(C43:I43,"&lt;&gt;",'Потребление (МВт·ч)'!C43:I43),"")</s:f>
        <s:v>2796.7951317860216</s:v>
      </s:c>
      <s:c r="L43" s="6" t="n">
        <s:f>IF(COUNT(C43:I43)&gt;0,AVERAGE(C43:I43),"")</s:f>
        <s:v>2786.8004016666673</s:v>
      </s:c>
      <s:c r="M43" s="10" t="n">
        <s:f>COUNT(C43:I43)</s:f>
        <s:v>6</s:v>
      </s:c>
      <s:c r="N43" s="11" t="n">
        <s:f>IF(AND(COUNT('Потребление (МВт·ч)'!C43:I43)=7,SUM('Потребление (МВт·ч)'!C43:I43)&gt;0),SUMIF(C43:I43,"&lt;&gt;",'Потребление (МВт·ч)'!C43:I43)/SUM('Потребление (МВт·ч)'!C43:I43),"")</s:f>
        <s:v>0.9582771021051356</s:v>
      </s:c>
    </s:row>
    <s:row r="44">
      <s:c r="A44" s="5" t="n">
        <s:v>46267</s:v>
      </s:c>
      <s:c r="B44" s="2" t="n">
        <s:v>15</s:v>
      </s:c>
      <s:c r="C44" s="6" t="n">
        <s:v>1743.886</s:v>
      </s:c>
      <s:c r="D44" s="6" t="n">
        <s:v>2479.794</s:v>
      </s:c>
      <s:c r="E44" s="6" t="n">
        <s:v>3639.445</s:v>
      </s:c>
      <s:c r="F44" s="6" t="n">
        <s:v>2720.27344</s:v>
      </s:c>
      <s:c r="G44" s="6" t="n">
        <s:v>2447.095</s:v>
      </s:c>
      <s:c r="H44" s="6" t="n">
        <s:v>1396.34009</s:v>
      </s:c>
      <s:c r="I44" s="6" t="n"/>
      <s:c r="J44" s="6" t="str">
        <s:f>IF(AND(COUNT(C44:I44)=7,COUNT('Потребление (МВт·ч)'!C44:I44)=7,SUM('Потребление (МВт·ч)'!C44:I44)&gt;0),SUMPRODUCT(C44:I44,'Потребление (МВт·ч)'!C44:I44)/SUM('Потребление (МВт·ч)'!C44:I44),"")</s:f>
      </s:c>
      <s:c r="K44" s="6" t="n">
        <s:f>IF(SUMIF(C44:I44,"&lt;&gt;",'Потребление (МВт·ч)'!C44:I44)&gt;0,SUMPRODUCT(C44:I44,'Потребление (МВт·ч)'!C44:I44)/SUMIF(C44:I44,"&lt;&gt;",'Потребление (МВт·ч)'!C44:I44),"")</s:f>
        <s:v>2349.859976294298</s:v>
      </s:c>
      <s:c r="L44" s="6" t="n">
        <s:f>IF(COUNT(C44:I44)&gt;0,AVERAGE(C44:I44),"")</s:f>
        <s:v>2404.472255</s:v>
      </s:c>
      <s:c r="M44" s="10" t="n">
        <s:f>COUNT(C44:I44)</s:f>
        <s:v>6</s:v>
      </s:c>
      <s:c r="N44" s="11" t="n">
        <s:f>IF(AND(COUNT('Потребление (МВт·ч)'!C44:I44)=7,SUM('Потребление (МВт·ч)'!C44:I44)&gt;0),SUMIF(C44:I44,"&lt;&gt;",'Потребление (МВт·ч)'!C44:I44)/SUM('Потребление (МВт·ч)'!C44:I44),"")</s:f>
        <s:v>0.9598210674475417</s:v>
      </s:c>
    </s:row>
    <s:row r="45">
      <s:c r="A45" s="5" t="n">
        <s:v>46267</s:v>
      </s:c>
      <s:c r="B45" s="2" t="n">
        <s:v>16</s:v>
      </s:c>
      <s:c r="C45" s="6" t="n">
        <s:v>1755.95959</s:v>
      </s:c>
      <s:c r="D45" s="6" t="n">
        <s:v>2510.7168</s:v>
      </s:c>
      <s:c r="E45" s="6" t="n">
        <s:v>3770.35522</s:v>
      </s:c>
      <s:c r="F45" s="6" t="n">
        <s:v>2709.878</s:v>
      </s:c>
      <s:c r="G45" s="6" t="n">
        <s:v>2454.15845</s:v>
      </s:c>
      <s:c r="H45" s="6" t="n">
        <s:v>1292.51575</s:v>
      </s:c>
      <s:c r="I45" s="6" t="n"/>
      <s:c r="J45" s="6" t="str">
        <s:f>IF(AND(COUNT(C45:I45)=7,COUNT('Потребление (МВт·ч)'!C45:I45)=7,SUM('Потребление (МВт·ч)'!C45:I45)&gt;0),SUMPRODUCT(C45:I45,'Потребление (МВт·ч)'!C45:I45)/SUM('Потребление (МВт·ч)'!C45:I45),"")</s:f>
      </s:c>
      <s:c r="K45" s="6" t="n">
        <s:f>IF(SUMIF(C45:I45,"&lt;&gt;",'Потребление (МВт·ч)'!C45:I45)&gt;0,SUMPRODUCT(C45:I45,'Потребление (МВт·ч)'!C45:I45)/SUMIF(C45:I45,"&lt;&gt;",'Потребление (МВт·ч)'!C45:I45),"")</s:f>
        <s:v>2344.6718014293133</s:v>
      </s:c>
      <s:c r="L45" s="6" t="n">
        <s:f>IF(COUNT(C45:I45)&gt;0,AVERAGE(C45:I45),"")</s:f>
        <s:v>2415.597301666667</s:v>
      </s:c>
      <s:c r="M45" s="10" t="n">
        <s:f>COUNT(C45:I45)</s:f>
        <s:v>6</s:v>
      </s:c>
      <s:c r="N45" s="11" t="n">
        <s:f>IF(AND(COUNT('Потребление (МВт·ч)'!C45:I45)=7,SUM('Потребление (МВт·ч)'!C45:I45)&gt;0),SUMIF(C45:I45,"&lt;&gt;",'Потребление (МВт·ч)'!C45:I45)/SUM('Потребление (МВт·ч)'!C45:I45),"")</s:f>
        <s:v>0.9614288755342317</s:v>
      </s:c>
    </s:row>
    <s:row r="46">
      <s:c r="A46" s="5" t="n">
        <s:v>46267</s:v>
      </s:c>
      <s:c r="B46" s="2" t="n">
        <s:v>17</s:v>
      </s:c>
      <s:c r="C46" s="6" t="n">
        <s:v>1765.65442</s:v>
      </s:c>
      <s:c r="D46" s="6" t="n">
        <s:v>2517.65381</s:v>
      </s:c>
      <s:c r="E46" s="6" t="n">
        <s:v>3763.882</s:v>
      </s:c>
      <s:c r="F46" s="6" t="n">
        <s:v>2710.79419</s:v>
      </s:c>
      <s:c r="G46" s="6" t="n">
        <s:v>2495.10083</s:v>
      </s:c>
      <s:c r="H46" s="6" t="n">
        <s:v>1290.92651</s:v>
      </s:c>
      <s:c r="I46" s="6" t="n"/>
      <s:c r="J46" s="6" t="str">
        <s:f>IF(AND(COUNT(C46:I46)=7,COUNT('Потребление (МВт·ч)'!C46:I46)=7,SUM('Потребление (МВт·ч)'!C46:I46)&gt;0),SUMPRODUCT(C46:I46,'Потребление (МВт·ч)'!C46:I46)/SUM('Потребление (МВт·ч)'!C46:I46),"")</s:f>
      </s:c>
      <s:c r="K46" s="6" t="n">
        <s:f>IF(SUMIF(C46:I46,"&lt;&gt;",'Потребление (МВт·ч)'!C46:I46)&gt;0,SUMPRODUCT(C46:I46,'Потребление (МВт·ч)'!C46:I46)/SUMIF(C46:I46,"&lt;&gt;",'Потребление (МВт·ч)'!C46:I46),"")</s:f>
        <s:v>2350.3806488513487</s:v>
      </s:c>
      <s:c r="L46" s="6" t="n">
        <s:f>IF(COUNT(C46:I46)&gt;0,AVERAGE(C46:I46),"")</s:f>
        <s:v>2424.00196</s:v>
      </s:c>
      <s:c r="M46" s="10" t="n">
        <s:f>COUNT(C46:I46)</s:f>
        <s:v>6</s:v>
      </s:c>
      <s:c r="N46" s="11" t="n">
        <s:f>IF(AND(COUNT('Потребление (МВт·ч)'!C46:I46)=7,SUM('Потребление (МВт·ч)'!C46:I46)&gt;0),SUMIF(C46:I46,"&lt;&gt;",'Потребление (МВт·ч)'!C46:I46)/SUM('Потребление (МВт·ч)'!C46:I46),"")</s:f>
        <s:v>0.9643001593079596</s:v>
      </s:c>
    </s:row>
    <s:row r="47">
      <s:c r="A47" s="5" t="n">
        <s:v>46267</s:v>
      </s:c>
      <s:c r="B47" s="2" t="n">
        <s:v>18</s:v>
      </s:c>
      <s:c r="C47" s="6" t="n">
        <s:v>1794.99573</s:v>
      </s:c>
      <s:c r="D47" s="6" t="n">
        <s:v>2554.52783</s:v>
      </s:c>
      <s:c r="E47" s="6" t="n">
        <s:v>3841.47534</s:v>
      </s:c>
      <s:c r="F47" s="6" t="n">
        <s:v>2763.48535</s:v>
      </s:c>
      <s:c r="G47" s="6" t="n">
        <s:v>2584.41113</s:v>
      </s:c>
      <s:c r="H47" s="6" t="n">
        <s:v>1330.52332</s:v>
      </s:c>
      <s:c r="I47" s="6" t="n"/>
      <s:c r="J47" s="6" t="str">
        <s:f>IF(AND(COUNT(C47:I47)=7,COUNT('Потребление (МВт·ч)'!C47:I47)=7,SUM('Потребление (МВт·ч)'!C47:I47)&gt;0),SUMPRODUCT(C47:I47,'Потребление (МВт·ч)'!C47:I47)/SUM('Потребление (МВт·ч)'!C47:I47),"")</s:f>
      </s:c>
      <s:c r="K47" s="6" t="n">
        <s:f>IF(SUMIF(C47:I47,"&lt;&gt;",'Потребление (МВт·ч)'!C47:I47)&gt;0,SUMPRODUCT(C47:I47,'Потребление (МВт·ч)'!C47:I47)/SUMIF(C47:I47,"&lt;&gt;",'Потребление (МВт·ч)'!C47:I47),"")</s:f>
        <s:v>2421.7883051057024</s:v>
      </s:c>
      <s:c r="L47" s="6" t="n">
        <s:f>IF(COUNT(C47:I47)&gt;0,AVERAGE(C47:I47),"")</s:f>
        <s:v>2478.23645</s:v>
      </s:c>
      <s:c r="M47" s="10" t="n">
        <s:f>COUNT(C47:I47)</s:f>
        <s:v>6</s:v>
      </s:c>
      <s:c r="N47" s="11" t="n">
        <s:f>IF(AND(COUNT('Потребление (МВт·ч)'!C47:I47)=7,SUM('Потребление (МВт·ч)'!C47:I47)&gt;0),SUMIF(C47:I47,"&lt;&gt;",'Потребление (МВт·ч)'!C47:I47)/SUM('Потребление (МВт·ч)'!C47:I47),"")</s:f>
        <s:v>0.9644729899083174</s:v>
      </s:c>
    </s:row>
    <s:row r="48">
      <s:c r="A48" s="5" t="n">
        <s:v>46267</s:v>
      </s:c>
      <s:c r="B48" s="2" t="n">
        <s:v>19</s:v>
      </s:c>
      <s:c r="C48" s="6" t="n">
        <s:v>1807.29871</s:v>
      </s:c>
      <s:c r="D48" s="6" t="n">
        <s:v>2653.79761</s:v>
      </s:c>
      <s:c r="E48" s="6" t="n">
        <s:v>3889.145</s:v>
      </s:c>
      <s:c r="F48" s="6" t="n">
        <s:v>2656.70825</s:v>
      </s:c>
      <s:c r="G48" s="6" t="n">
        <s:v>2384.82666</s:v>
      </s:c>
      <s:c r="H48" s="6" t="n">
        <s:v>1151.61365</s:v>
      </s:c>
      <s:c r="I48" s="6" t="n"/>
      <s:c r="J48" s="6" t="str">
        <s:f>IF(AND(COUNT(C48:I48)=7,COUNT('Потребление (МВт·ч)'!C48:I48)=7,SUM('Потребление (МВт·ч)'!C48:I48)&gt;0),SUMPRODUCT(C48:I48,'Потребление (МВт·ч)'!C48:I48)/SUM('Потребление (МВт·ч)'!C48:I48),"")</s:f>
      </s:c>
      <s:c r="K48" s="6" t="n">
        <s:f>IF(SUMIF(C48:I48,"&lt;&gt;",'Потребление (МВт·ч)'!C48:I48)&gt;0,SUMPRODUCT(C48:I48,'Потребление (МВт·ч)'!C48:I48)/SUMIF(C48:I48,"&lt;&gt;",'Потребление (МВт·ч)'!C48:I48),"")</s:f>
        <s:v>2372.2033205010757</s:v>
      </s:c>
      <s:c r="L48" s="6" t="n">
        <s:f>IF(COUNT(C48:I48)&gt;0,AVERAGE(C48:I48),"")</s:f>
        <s:v>2423.8983133333336</s:v>
      </s:c>
      <s:c r="M48" s="10" t="n">
        <s:f>COUNT(C48:I48)</s:f>
        <s:v>6</s:v>
      </s:c>
      <s:c r="N48" s="11" t="n">
        <s:f>IF(AND(COUNT('Потребление (МВт·ч)'!C48:I48)=7,SUM('Потребление (МВт·ч)'!C48:I48)&gt;0),SUMIF(C48:I48,"&lt;&gt;",'Потребление (МВт·ч)'!C48:I48)/SUM('Потребление (МВт·ч)'!C48:I48),"")</s:f>
        <s:v>0.9640723531364089</s:v>
      </s:c>
    </s:row>
    <s:row r="49">
      <s:c r="A49" s="5" t="n">
        <s:v>46267</s:v>
      </s:c>
      <s:c r="B49" s="2" t="n">
        <s:v>20</s:v>
      </s:c>
      <s:c r="C49" s="6" t="n">
        <s:v>1779.10779</s:v>
      </s:c>
      <s:c r="D49" s="6" t="n">
        <s:v>2470.92554</s:v>
      </s:c>
      <s:c r="E49" s="6" t="n">
        <s:v>3879.45728</s:v>
      </s:c>
      <s:c r="F49" s="6" t="n">
        <s:v>2639.38232</s:v>
      </s:c>
      <s:c r="G49" s="6" t="n">
        <s:v>2201.50049</s:v>
      </s:c>
      <s:c r="H49" s="6" t="n">
        <s:v>929.900269</s:v>
      </s:c>
      <s:c r="I49" s="6" t="n"/>
      <s:c r="J49" s="6" t="str">
        <s:f>IF(AND(COUNT(C49:I49)=7,COUNT('Потребление (МВт·ч)'!C49:I49)=7,SUM('Потребление (МВт·ч)'!C49:I49)&gt;0),SUMPRODUCT(C49:I49,'Потребление (МВт·ч)'!C49:I49)/SUM('Потребление (МВт·ч)'!C49:I49),"")</s:f>
      </s:c>
      <s:c r="K49" s="6" t="n">
        <s:f>IF(SUMIF(C49:I49,"&lt;&gt;",'Потребление (МВт·ч)'!C49:I49)&gt;0,SUMPRODUCT(C49:I49,'Потребление (МВт·ч)'!C49:I49)/SUMIF(C49:I49,"&lt;&gt;",'Потребление (МВт·ч)'!C49:I49),"")</s:f>
        <s:v>2229.460131179854</s:v>
      </s:c>
      <s:c r="L49" s="6" t="n">
        <s:f>IF(COUNT(C49:I49)&gt;0,AVERAGE(C49:I49),"")</s:f>
        <s:v>2316.7122815000002</s:v>
      </s:c>
      <s:c r="M49" s="10" t="n">
        <s:f>COUNT(C49:I49)</s:f>
        <s:v>6</s:v>
      </s:c>
      <s:c r="N49" s="11" t="n">
        <s:f>IF(AND(COUNT('Потребление (МВт·ч)'!C49:I49)=7,SUM('Потребление (МВт·ч)'!C49:I49)&gt;0),SUMIF(C49:I49,"&lt;&gt;",'Потребление (МВт·ч)'!C49:I49)/SUM('Потребление (МВт·ч)'!C49:I49),"")</s:f>
        <s:v>0.9637244376062017</s:v>
      </s:c>
    </s:row>
    <s:row r="50">
      <s:c r="A50" s="5" t="n">
        <s:v>46267</s:v>
      </s:c>
      <s:c r="B50" s="2" t="n">
        <s:v>21</s:v>
      </s:c>
      <s:c r="C50" s="6" t="n">
        <s:v>1084.98669</s:v>
      </s:c>
      <s:c r="D50" s="6" t="n">
        <s:v>2390.66455</s:v>
      </s:c>
      <s:c r="E50" s="6" t="n">
        <s:v>2901.207</s:v>
      </s:c>
      <s:c r="F50" s="6" t="n">
        <s:v>2335.826</s:v>
      </s:c>
      <s:c r="G50" s="6" t="n">
        <s:v>1668.19055</s:v>
      </s:c>
      <s:c r="H50" s="6" t="n">
        <s:v>732.3467000000001</s:v>
      </s:c>
      <s:c r="I50" s="6" t="n"/>
      <s:c r="J50" s="6" t="str">
        <s:f>IF(AND(COUNT(C50:I50)=7,COUNT('Потребление (МВт·ч)'!C50:I50)=7,SUM('Потребление (МВт·ч)'!C50:I50)&gt;0),SUMPRODUCT(C50:I50,'Потребление (МВт·ч)'!C50:I50)/SUM('Потребление (МВт·ч)'!C50:I50),"")</s:f>
      </s:c>
      <s:c r="K50" s="6" t="n">
        <s:f>IF(SUMIF(C50:I50,"&lt;&gt;",'Потребление (МВт·ч)'!C50:I50)&gt;0,SUMPRODUCT(C50:I50,'Потребление (МВт·ч)'!C50:I50)/SUMIF(C50:I50,"&lt;&gt;",'Потребление (МВт·ч)'!C50:I50),"")</s:f>
        <s:v>1823.6010292149247</s:v>
      </s:c>
      <s:c r="L50" s="6" t="n">
        <s:f>IF(COUNT(C50:I50)&gt;0,AVERAGE(C50:I50),"")</s:f>
        <s:v>1852.2035816666664</s:v>
      </s:c>
      <s:c r="M50" s="10" t="n">
        <s:f>COUNT(C50:I50)</s:f>
        <s:v>6</s:v>
      </s:c>
      <s:c r="N50" s="11" t="n">
        <s:f>IF(AND(COUNT('Потребление (МВт·ч)'!C50:I50)=7,SUM('Потребление (МВт·ч)'!C50:I50)&gt;0),SUMIF(C50:I50,"&lt;&gt;",'Потребление (МВт·ч)'!C50:I50)/SUM('Потребление (МВт·ч)'!C50:I50),"")</s:f>
        <s:v>0.962127592378145</s:v>
      </s:c>
    </s:row>
    <s:row r="51">
      <s:c r="A51" s="5" t="n">
        <s:v>46267</s:v>
      </s:c>
      <s:c r="B51" s="2" t="n">
        <s:v>22</s:v>
      </s:c>
      <s:c r="C51" s="6" t="n">
        <s:v>1267.2655</s:v>
      </s:c>
      <s:c r="D51" s="6" t="n">
        <s:v>1877.15332</s:v>
      </s:c>
      <s:c r="E51" s="6" t="n">
        <s:v>2253.70459</s:v>
      </s:c>
      <s:c r="F51" s="6" t="n">
        <s:v>1704.20935</s:v>
      </s:c>
      <s:c r="G51" s="6" t="n">
        <s:v>1435.03906</s:v>
      </s:c>
      <s:c r="H51" s="6" t="n">
        <s:v>213.476349</s:v>
      </s:c>
      <s:c r="I51" s="6" t="n"/>
      <s:c r="J51" s="6" t="str">
        <s:f>IF(AND(COUNT(C51:I51)=7,COUNT('Потребление (МВт·ч)'!C51:I51)=7,SUM('Потребление (МВт·ч)'!C51:I51)&gt;0),SUMPRODUCT(C51:I51,'Потребление (МВт·ч)'!C51:I51)/SUM('Потребление (МВт·ч)'!C51:I51),"")</s:f>
      </s:c>
      <s:c r="K51" s="6" t="n">
        <s:f>IF(SUMIF(C51:I51,"&lt;&gt;",'Потребление (МВт·ч)'!C51:I51)&gt;0,SUMPRODUCT(C51:I51,'Потребление (МВт·ч)'!C51:I51)/SUMIF(C51:I51,"&lt;&gt;",'Потребление (МВт·ч)'!C51:I51),"")</s:f>
        <s:v>1397.716174157778</s:v>
      </s:c>
      <s:c r="L51" s="6" t="n">
        <s:f>IF(COUNT(C51:I51)&gt;0,AVERAGE(C51:I51),"")</s:f>
        <s:v>1458.4746948333334</s:v>
      </s:c>
      <s:c r="M51" s="10" t="n">
        <s:f>COUNT(C51:I51)</s:f>
        <s:v>6</s:v>
      </s:c>
      <s:c r="N51" s="11" t="n">
        <s:f>IF(AND(COUNT('Потребление (МВт·ч)'!C51:I51)=7,SUM('Потребление (МВт·ч)'!C51:I51)&gt;0),SUMIF(C51:I51,"&lt;&gt;",'Потребление (МВт·ч)'!C51:I51)/SUM('Потребление (МВт·ч)'!C51:I51),"")</s:f>
        <s:v>0.9602201720208777</s:v>
      </s:c>
    </s:row>
    <s:row r="52">
      <s:c r="A52" s="5" t="n">
        <s:v>46267</s:v>
      </s:c>
      <s:c r="B52" s="2" t="n">
        <s:v>23</s:v>
      </s:c>
      <s:c r="C52" s="6" t="n">
        <s:v>998.1161</s:v>
      </s:c>
      <s:c r="D52" s="6" t="n">
        <s:v>1465.277</s:v>
      </s:c>
      <s:c r="E52" s="6" t="n">
        <s:v>1142.72668</s:v>
      </s:c>
      <s:c r="F52" s="6" t="n">
        <s:v>1334.46155</s:v>
      </s:c>
      <s:c r="G52" s="6" t="n">
        <s:v>1292.59119</s:v>
      </s:c>
      <s:c r="H52" s="6" t="n">
        <s:v>621.297058</s:v>
      </s:c>
      <s:c r="I52" s="6" t="n"/>
      <s:c r="J52" s="6" t="str">
        <s:f>IF(AND(COUNT(C52:I52)=7,COUNT('Потребление (МВт·ч)'!C52:I52)=7,SUM('Потребление (МВт·ч)'!C52:I52)&gt;0),SUMPRODUCT(C52:I52,'Потребление (МВт·ч)'!C52:I52)/SUM('Потребление (МВт·ч)'!C52:I52),"")</s:f>
      </s:c>
      <s:c r="K52" s="6" t="n">
        <s:f>IF(SUMIF(C52:I52,"&lt;&gt;",'Потребление (МВт·ч)'!C52:I52)&gt;0,SUMPRODUCT(C52:I52,'Потребление (МВт·ч)'!C52:I52)/SUMIF(C52:I52,"&lt;&gt;",'Потребление (МВт·ч)'!C52:I52),"")</s:f>
        <s:v>1152.417600104149</s:v>
      </s:c>
      <s:c r="L52" s="6" t="n">
        <s:f>IF(COUNT(C52:I52)&gt;0,AVERAGE(C52:I52),"")</s:f>
        <s:v>1142.4115963333334</s:v>
      </s:c>
      <s:c r="M52" s="10" t="n">
        <s:f>COUNT(C52:I52)</s:f>
        <s:v>6</s:v>
      </s:c>
      <s:c r="N52" s="11" t="n">
        <s:f>IF(AND(COUNT('Потребление (МВт·ч)'!C52:I52)=7,SUM('Потребление (МВт·ч)'!C52:I52)&gt;0),SUMIF(C52:I52,"&lt;&gt;",'Потребление (МВт·ч)'!C52:I52)/SUM('Потребление (МВт·ч)'!C52:I52),"")</s:f>
        <s:v>0.955734158237337</s:v>
      </s:c>
    </s:row>
    <s:row r="53">
      <s:c r="A53" s="5" t="n">
        <s:v>46268</s:v>
      </s:c>
      <s:c r="B53" s="2" t="n">
        <s:v>0</s:v>
      </s:c>
      <s:c r="C53" s="6" t="n">
        <s:v>1218.53845</s:v>
      </s:c>
      <s:c r="D53" s="6" t="n">
        <s:v>1497.23181</s:v>
      </s:c>
      <s:c r="E53" s="6" t="n">
        <s:v>1454.67529</s:v>
      </s:c>
      <s:c r="F53" s="6" t="n">
        <s:v>1525.43225</s:v>
      </s:c>
      <s:c r="G53" s="6" t="n">
        <s:v>1556.26782</s:v>
      </s:c>
      <s:c r="H53" s="6" t="n">
        <s:v>1443.57263</s:v>
      </s:c>
      <s:c r="I53" s="6" t="n"/>
      <s:c r="J53" s="6" t="str">
        <s:f>IF(AND(COUNT(C53:I53)=7,COUNT('Потребление (МВт·ч)'!C53:I53)=7,SUM('Потребление (МВт·ч)'!C53:I53)&gt;0),SUMPRODUCT(C53:I53,'Потребление (МВт·ч)'!C53:I53)/SUM('Потребление (МВт·ч)'!C53:I53),"")</s:f>
      </s:c>
      <s:c r="K53" s="6" t="n">
        <s:f>IF(SUMIF(C53:I53,"&lt;&gt;",'Потребление (МВт·ч)'!C53:I53)&gt;0,SUMPRODUCT(C53:I53,'Потребление (МВт·ч)'!C53:I53)/SUMIF(C53:I53,"&lt;&gt;",'Потребление (МВт·ч)'!C53:I53),"")</s:f>
        <s:v>1472.5416167199714</s:v>
      </s:c>
      <s:c r="L53" s="6" t="n">
        <s:f>IF(COUNT(C53:I53)&gt;0,AVERAGE(C53:I53),"")</s:f>
        <s:v>1449.286375</s:v>
      </s:c>
      <s:c r="M53" s="10" t="n">
        <s:f>COUNT(C53:I53)</s:f>
        <s:v>6</s:v>
      </s:c>
      <s:c r="N53" s="11" t="n">
        <s:f>IF(AND(COUNT('Потребление (МВт·ч)'!C53:I53)=7,SUM('Потребление (МВт·ч)'!C53:I53)&gt;0),SUMIF(C53:I53,"&lt;&gt;",'Потребление (МВт·ч)'!C53:I53)/SUM('Потребление (МВт·ч)'!C53:I53),"")</s:f>
        <s:v>0.9529553094815978</s:v>
      </s:c>
    </s:row>
    <s:row r="54">
      <s:c r="A54" s="5" t="n">
        <s:v>46268</s:v>
      </s:c>
      <s:c r="B54" s="2" t="n">
        <s:v>1</s:v>
      </s:c>
      <s:c r="C54" s="6" t="n">
        <s:v>1185.51648</s:v>
      </s:c>
      <s:c r="D54" s="6" t="n">
        <s:v>1319.52051</s:v>
      </s:c>
      <s:c r="E54" s="6" t="n">
        <s:v>1255.813</s:v>
      </s:c>
      <s:c r="F54" s="6" t="n">
        <s:v>1350.398</s:v>
      </s:c>
      <s:c r="G54" s="6" t="n">
        <s:v>1341.49231</s:v>
      </s:c>
      <s:c r="H54" s="6" t="n">
        <s:v>775.4363</s:v>
      </s:c>
      <s:c r="I54" s="6" t="n"/>
      <s:c r="J54" s="6" t="str">
        <s:f>IF(AND(COUNT(C54:I54)=7,COUNT('Потребление (МВт·ч)'!C54:I54)=7,SUM('Потребление (МВт·ч)'!C54:I54)&gt;0),SUMPRODUCT(C54:I54,'Потребление (МВт·ч)'!C54:I54)/SUM('Потребление (МВт·ч)'!C54:I54),"")</s:f>
      </s:c>
      <s:c r="K54" s="6" t="n">
        <s:f>IF(SUMIF(C54:I54,"&lt;&gt;",'Потребление (МВт·ч)'!C54:I54)&gt;0,SUMPRODUCT(C54:I54,'Потребление (МВт·ч)'!C54:I54)/SUMIF(C54:I54,"&lt;&gt;",'Потребление (МВт·ч)'!C54:I54),"")</s:f>
        <s:v>1185.393386185</s:v>
      </s:c>
      <s:c r="L54" s="6" t="n">
        <s:f>IF(COUNT(C54:I54)&gt;0,AVERAGE(C54:I54),"")</s:f>
        <s:v>1204.6961</s:v>
      </s:c>
      <s:c r="M54" s="10" t="n">
        <s:f>COUNT(C54:I54)</s:f>
        <s:v>6</s:v>
      </s:c>
      <s:c r="N54" s="11" t="n">
        <s:f>IF(AND(COUNT('Потребление (МВт·ч)'!C54:I54)=7,SUM('Потребление (МВт·ч)'!C54:I54)&gt;0),SUMIF(C54:I54,"&lt;&gt;",'Потребление (МВт·ч)'!C54:I54)/SUM('Потребление (МВт·ч)'!C54:I54),"")</s:f>
        <s:v>0.9509492286605815</s:v>
      </s:c>
    </s:row>
    <s:row r="55">
      <s:c r="A55" s="5" t="n">
        <s:v>46268</s:v>
      </s:c>
      <s:c r="B55" s="2" t="n">
        <s:v>2</s:v>
      </s:c>
      <s:c r="C55" s="6" t="n">
        <s:v>1130.15015</s:v>
      </s:c>
      <s:c r="D55" s="6" t="n">
        <s:v>1263.08325</s:v>
      </s:c>
      <s:c r="E55" s="6" t="n">
        <s:v>1207.85828</s:v>
      </s:c>
      <s:c r="F55" s="6" t="n">
        <s:v>1314.24939</s:v>
      </s:c>
      <s:c r="G55" s="6" t="n">
        <s:v>1353.558</s:v>
      </s:c>
      <s:c r="H55" s="6" t="n">
        <s:v>795.8551639999999</s:v>
      </s:c>
      <s:c r="I55" s="6" t="n"/>
      <s:c r="J55" s="6" t="str">
        <s:f>IF(AND(COUNT(C55:I55)=7,COUNT('Потребление (МВт·ч)'!C55:I55)=7,SUM('Потребление (МВт·ч)'!C55:I55)&gt;0),SUMPRODUCT(C55:I55,'Потребление (МВт·ч)'!C55:I55)/SUM('Потребление (МВт·ч)'!C55:I55),"")</s:f>
      </s:c>
      <s:c r="K55" s="6" t="n">
        <s:f>IF(SUMIF(C55:I55,"&lt;&gt;",'Потребление (МВт·ч)'!C55:I55)&gt;0,SUMPRODUCT(C55:I55,'Потребление (МВт·ч)'!C55:I55)/SUMIF(C55:I55,"&lt;&gt;",'Потребление (МВт·ч)'!C55:I55),"")</s:f>
        <s:v>1162.7855270656796</s:v>
      </s:c>
      <s:c r="L55" s="6" t="n">
        <s:f>IF(COUNT(C55:I55)&gt;0,AVERAGE(C55:I55),"")</s:f>
        <s:v>1177.459039</s:v>
      </s:c>
      <s:c r="M55" s="10" t="n">
        <s:f>COUNT(C55:I55)</s:f>
        <s:v>6</s:v>
      </s:c>
      <s:c r="N55" s="11" t="n">
        <s:f>IF(AND(COUNT('Потребление (МВт·ч)'!C55:I55)=7,SUM('Потребление (МВт·ч)'!C55:I55)&gt;0),SUMIF(C55:I55,"&lt;&gt;",'Потребление (МВт·ч)'!C55:I55)/SUM('Потребление (МВт·ч)'!C55:I55),"")</s:f>
        <s:v>0.9497374562427071</s:v>
      </s:c>
    </s:row>
    <s:row r="56">
      <s:c r="A56" s="5" t="n">
        <s:v>46268</s:v>
      </s:c>
      <s:c r="B56" s="2" t="n">
        <s:v>3</s:v>
      </s:c>
      <s:c r="C56" s="6" t="n">
        <s:v>1173.26331</s:v>
      </s:c>
      <s:c r="D56" s="6" t="n">
        <s:v>1308.28418</s:v>
      </s:c>
      <s:c r="E56" s="6" t="n">
        <s:v>1216.06042</s:v>
      </s:c>
      <s:c r="F56" s="6" t="n">
        <s:v>1371.97729</s:v>
      </s:c>
      <s:c r="G56" s="6" t="n">
        <s:v>1473.54565</s:v>
      </s:c>
      <s:c r="H56" s="6" t="n">
        <s:v>776.5621</s:v>
      </s:c>
      <s:c r="I56" s="6" t="n"/>
      <s:c r="J56" s="6" t="str">
        <s:f>IF(AND(COUNT(C56:I56)=7,COUNT('Потребление (МВт·ч)'!C56:I56)=7,SUM('Потребление (МВт·ч)'!C56:I56)&gt;0),SUMPRODUCT(C56:I56,'Потребление (МВт·ч)'!C56:I56)/SUM('Потребление (МВт·ч)'!C56:I56),"")</s:f>
      </s:c>
      <s:c r="K56" s="6" t="n">
        <s:f>IF(SUMIF(C56:I56,"&lt;&gt;",'Потребление (МВт·ч)'!C56:I56)&gt;0,SUMPRODUCT(C56:I56,'Потребление (МВт·ч)'!C56:I56)/SUMIF(C56:I56,"&lt;&gt;",'Потребление (МВт·ч)'!C56:I56),"")</s:f>
        <s:v>1208.6685399600558</s:v>
      </s:c>
      <s:c r="L56" s="6" t="n">
        <s:f>IF(COUNT(C56:I56)&gt;0,AVERAGE(C56:I56),"")</s:f>
        <s:v>1219.948825</s:v>
      </s:c>
      <s:c r="M56" s="10" t="n">
        <s:f>COUNT(C56:I56)</s:f>
        <s:v>6</s:v>
      </s:c>
      <s:c r="N56" s="11" t="n">
        <s:f>IF(AND(COUNT('Потребление (МВт·ч)'!C56:I56)=7,SUM('Потребление (МВт·ч)'!C56:I56)&gt;0),SUMIF(C56:I56,"&lt;&gt;",'Потребление (МВт·ч)'!C56:I56)/SUM('Потребление (МВт·ч)'!C56:I56),"")</s:f>
        <s:v>0.9498189892358933</s:v>
      </s:c>
    </s:row>
    <s:row r="57">
      <s:c r="A57" s="5" t="n">
        <s:v>46268</s:v>
      </s:c>
      <s:c r="B57" s="2" t="n">
        <s:v>4</s:v>
      </s:c>
      <s:c r="C57" s="6" t="n">
        <s:v>1278.94446</s:v>
      </s:c>
      <s:c r="D57" s="6" t="n">
        <s:v>1384.47461</s:v>
      </s:c>
      <s:c r="E57" s="6" t="n">
        <s:v>1190.99768</s:v>
      </s:c>
      <s:c r="F57" s="6" t="n">
        <s:v>1464.3158</s:v>
      </s:c>
      <s:c r="G57" s="6" t="n">
        <s:v>1714.09973</s:v>
      </s:c>
      <s:c r="H57" s="6" t="n">
        <s:v>889.1265</s:v>
      </s:c>
      <s:c r="I57" s="6" t="n"/>
      <s:c r="J57" s="6" t="str">
        <s:f>IF(AND(COUNT(C57:I57)=7,COUNT('Потребление (МВт·ч)'!C57:I57)=7,SUM('Потребление (МВт·ч)'!C57:I57)&gt;0),SUMPRODUCT(C57:I57,'Потребление (МВт·ч)'!C57:I57)/SUM('Потребление (МВт·ч)'!C57:I57),"")</s:f>
      </s:c>
      <s:c r="K57" s="6" t="n">
        <s:f>IF(SUMIF(C57:I57,"&lt;&gt;",'Потребление (МВт·ч)'!C57:I57)&gt;0,SUMPRODUCT(C57:I57,'Потребление (МВт·ч)'!C57:I57)/SUMIF(C57:I57,"&lt;&gt;",'Потребление (МВт·ч)'!C57:I57),"")</s:f>
        <s:v>1329.8501813885907</s:v>
      </s:c>
      <s:c r="L57" s="6" t="n">
        <s:f>IF(COUNT(C57:I57)&gt;0,AVERAGE(C57:I57),"")</s:f>
        <s:v>1320.3264633333333</s:v>
      </s:c>
      <s:c r="M57" s="10" t="n">
        <s:f>COUNT(C57:I57)</s:f>
        <s:v>6</s:v>
      </s:c>
      <s:c r="N57" s="11" t="n">
        <s:f>IF(AND(COUNT('Потребление (МВт·ч)'!C57:I57)=7,SUM('Потребление (МВт·ч)'!C57:I57)&gt;0),SUMIF(C57:I57,"&lt;&gt;",'Потребление (МВт·ч)'!C57:I57)/SUM('Потребление (МВт·ч)'!C57:I57),"")</s:f>
        <s:v>0.9517895514052309</s:v>
      </s:c>
    </s:row>
    <s:row r="58">
      <s:c r="A58" s="5" t="n">
        <s:v>46268</s:v>
      </s:c>
      <s:c r="B58" s="2" t="n">
        <s:v>5</s:v>
      </s:c>
      <s:c r="C58" s="6" t="n">
        <s:v>1296.83484</s:v>
      </s:c>
      <s:c r="D58" s="6" t="n">
        <s:v>1384.41223</s:v>
      </s:c>
      <s:c r="E58" s="6" t="n">
        <s:v>890.669739</s:v>
      </s:c>
      <s:c r="F58" s="6" t="n">
        <s:v>1558.31519</s:v>
      </s:c>
      <s:c r="G58" s="6" t="n">
        <s:v>1833.466</s:v>
      </s:c>
      <s:c r="H58" s="6" t="n">
        <s:v>984.1466</s:v>
      </s:c>
      <s:c r="I58" s="6" t="n"/>
      <s:c r="J58" s="6" t="str">
        <s:f>IF(AND(COUNT(C58:I58)=7,COUNT('Потребление (МВт·ч)'!C58:I58)=7,SUM('Потребление (МВт·ч)'!C58:I58)&gt;0),SUMPRODUCT(C58:I58,'Потребление (МВт·ч)'!C58:I58)/SUM('Потребление (МВт·ч)'!C58:I58),"")</s:f>
      </s:c>
      <s:c r="K58" s="6" t="n">
        <s:f>IF(SUMIF(C58:I58,"&lt;&gt;",'Потребление (МВт·ч)'!C58:I58)&gt;0,SUMPRODUCT(C58:I58,'Потребление (МВт·ч)'!C58:I58)/SUMIF(C58:I58,"&lt;&gt;",'Потребление (МВт·ч)'!C58:I58),"")</s:f>
        <s:v>1368.4965996963217</s:v>
      </s:c>
      <s:c r="L58" s="6" t="n">
        <s:f>IF(COUNT(C58:I58)&gt;0,AVERAGE(C58:I58),"")</s:f>
        <s:v>1324.6407665</s:v>
      </s:c>
      <s:c r="M58" s="10" t="n">
        <s:f>COUNT(C58:I58)</s:f>
        <s:v>6</s:v>
      </s:c>
      <s:c r="N58" s="11" t="n">
        <s:f>IF(AND(COUNT('Потребление (МВт·ч)'!C58:I58)=7,SUM('Потребление (МВт·ч)'!C58:I58)&gt;0),SUMIF(C58:I58,"&lt;&gt;",'Потребление (МВт·ч)'!C58:I58)/SUM('Потребление (МВт·ч)'!C58:I58),"")</s:f>
        <s:v>0.9528074817182964</s:v>
      </s:c>
    </s:row>
    <s:row r="59">
      <s:c r="A59" s="5" t="n">
        <s:v>46268</s:v>
      </s:c>
      <s:c r="B59" s="2" t="n">
        <s:v>6</s:v>
      </s:c>
      <s:c r="C59" s="6" t="n">
        <s:v>1792.74463</s:v>
      </s:c>
      <s:c r="D59" s="6" t="n">
        <s:v>1880.94873</s:v>
      </s:c>
      <s:c r="E59" s="6" t="n">
        <s:v>1403.919</s:v>
      </s:c>
      <s:c r="F59" s="6" t="n">
        <s:v>2036.78589</s:v>
      </s:c>
      <s:c r="G59" s="6" t="n">
        <s:v>2232.53247</s:v>
      </s:c>
      <s:c r="H59" s="6" t="n">
        <s:v>1067.3114</s:v>
      </s:c>
      <s:c r="I59" s="6" t="n"/>
      <s:c r="J59" s="6" t="str">
        <s:f>IF(AND(COUNT(C59:I59)=7,COUNT('Потребление (МВт·ч)'!C59:I59)=7,SUM('Потребление (МВт·ч)'!C59:I59)&gt;0),SUMPRODUCT(C59:I59,'Потребление (МВт·ч)'!C59:I59)/SUM('Потребление (МВт·ч)'!C59:I59),"")</s:f>
      </s:c>
      <s:c r="K59" s="6" t="n">
        <s:f>IF(SUMIF(C59:I59,"&lt;&gt;",'Потребление (МВт·ч)'!C59:I59)&gt;0,SUMPRODUCT(C59:I59,'Потребление (МВт·ч)'!C59:I59)/SUMIF(C59:I59,"&lt;&gt;",'Потребление (МВт·ч)'!C59:I59),"")</s:f>
        <s:v>1750.105293810228</s:v>
      </s:c>
      <s:c r="L59" s="6" t="n">
        <s:f>IF(COUNT(C59:I59)&gt;0,AVERAGE(C59:I59),"")</s:f>
        <s:v>1735.70702</s:v>
      </s:c>
      <s:c r="M59" s="10" t="n">
        <s:f>COUNT(C59:I59)</s:f>
        <s:v>6</s:v>
      </s:c>
      <s:c r="N59" s="11" t="n">
        <s:f>IF(AND(COUNT('Потребление (МВт·ч)'!C59:I59)=7,SUM('Потребление (МВт·ч)'!C59:I59)&gt;0),SUMIF(C59:I59,"&lt;&gt;",'Потребление (МВт·ч)'!C59:I59)/SUM('Потребление (МВт·ч)'!C59:I59),"")</s:f>
        <s:v>0.9550031576731457</s:v>
      </s:c>
    </s:row>
    <s:row r="60">
      <s:c r="A60" s="5" t="n">
        <s:v>46268</s:v>
      </s:c>
      <s:c r="B60" s="2" t="n">
        <s:v>7</s:v>
      </s:c>
      <s:c r="C60" s="6" t="n">
        <s:v>2344.569</s:v>
      </s:c>
      <s:c r="D60" s="6" t="n">
        <s:v>2634.875</s:v>
      </s:c>
      <s:c r="E60" s="6" t="n">
        <s:v>2605.81421</s:v>
      </s:c>
      <s:c r="F60" s="6" t="n">
        <s:v>2588.47144</s:v>
      </s:c>
      <s:c r="G60" s="6" t="n">
        <s:v>2255.48022</s:v>
      </s:c>
      <s:c r="H60" s="6" t="n">
        <s:v>1129.04236</s:v>
      </s:c>
      <s:c r="I60" s="6" t="n"/>
      <s:c r="J60" s="6" t="str">
        <s:f>IF(AND(COUNT(C60:I60)=7,COUNT('Потребление (МВт·ч)'!C60:I60)=7,SUM('Потребление (МВт·ч)'!C60:I60)&gt;0),SUMPRODUCT(C60:I60,'Потребление (МВт·ч)'!C60:I60)/SUM('Потребление (МВт·ч)'!C60:I60),"")</s:f>
      </s:c>
      <s:c r="K60" s="6" t="n">
        <s:f>IF(SUMIF(C60:I60,"&lt;&gt;",'Потребление (МВт·ч)'!C60:I60)&gt;0,SUMPRODUCT(C60:I60,'Потребление (МВт·ч)'!C60:I60)/SUMIF(C60:I60,"&lt;&gt;",'Потребление (МВт·ч)'!C60:I60),"")</s:f>
        <s:v>2187.585234795791</s:v>
      </s:c>
      <s:c r="L60" s="6" t="n">
        <s:f>IF(COUNT(C60:I60)&gt;0,AVERAGE(C60:I60),"")</s:f>
        <s:v>2259.7087049999996</s:v>
      </s:c>
      <s:c r="M60" s="10" t="n">
        <s:f>COUNT(C60:I60)</s:f>
        <s:v>6</s:v>
      </s:c>
      <s:c r="N60" s="11" t="n">
        <s:f>IF(AND(COUNT('Потребление (МВт·ч)'!C60:I60)=7,SUM('Потребление (МВт·ч)'!C60:I60)&gt;0),SUMIF(C60:I60,"&lt;&gt;",'Потребление (МВт·ч)'!C60:I60)/SUM('Потребление (МВт·ч)'!C60:I60),"")</s:f>
        <s:v>0.9572090256235924</s:v>
      </s:c>
    </s:row>
    <s:row r="61">
      <s:c r="A61" s="5" t="n">
        <s:v>46268</s:v>
      </s:c>
      <s:c r="B61" s="2" t="n">
        <s:v>8</s:v>
      </s:c>
      <s:c r="C61" s="6" t="n">
        <s:v>2535.06</s:v>
      </s:c>
      <s:c r="D61" s="6" t="n">
        <s:v>2833.2937</s:v>
      </s:c>
      <s:c r="E61" s="6" t="n">
        <s:v>2983.67188</s:v>
      </s:c>
      <s:c r="F61" s="6" t="n">
        <s:v>2690.04443</s:v>
      </s:c>
      <s:c r="G61" s="6" t="n">
        <s:v>2239.30933</s:v>
      </s:c>
      <s:c r="H61" s="6" t="n">
        <s:v>1142.10767</s:v>
      </s:c>
      <s:c r="I61" s="6" t="n"/>
      <s:c r="J61" s="6" t="str">
        <s:f>IF(AND(COUNT(C61:I61)=7,COUNT('Потребление (МВт·ч)'!C61:I61)=7,SUM('Потребление (МВт·ч)'!C61:I61)&gt;0),SUMPRODUCT(C61:I61,'Потребление (МВт·ч)'!C61:I61)/SUM('Потребление (МВт·ч)'!C61:I61),"")</s:f>
      </s:c>
      <s:c r="K61" s="6" t="n">
        <s:f>IF(SUMIF(C61:I61,"&lt;&gt;",'Потребление (МВт·ч)'!C61:I61)&gt;0,SUMPRODUCT(C61:I61,'Потребление (МВт·ч)'!C61:I61)/SUMIF(C61:I61,"&lt;&gt;",'Потребление (МВт·ч)'!C61:I61),"")</s:f>
        <s:v>2314.3003751534457</s:v>
      </s:c>
      <s:c r="L61" s="6" t="n">
        <s:f>IF(COUNT(C61:I61)&gt;0,AVERAGE(C61:I61),"")</s:f>
        <s:v>2403.9145016666666</s:v>
      </s:c>
      <s:c r="M61" s="10" t="n">
        <s:f>COUNT(C61:I61)</s:f>
        <s:v>6</s:v>
      </s:c>
      <s:c r="N61" s="11" t="n">
        <s:f>IF(AND(COUNT('Потребление (МВт·ч)'!C61:I61)=7,SUM('Потребление (МВт·ч)'!C61:I61)&gt;0),SUMIF(C61:I61,"&lt;&gt;",'Потребление (МВт·ч)'!C61:I61)/SUM('Потребление (МВт·ч)'!C61:I61),"")</s:f>
        <s:v>0.9582285222663771</s:v>
      </s:c>
    </s:row>
    <s:row r="62">
      <s:c r="A62" s="5" t="n">
        <s:v>46268</s:v>
      </s:c>
      <s:c r="B62" s="2" t="n">
        <s:v>9</s:v>
      </s:c>
      <s:c r="C62" s="6" t="n">
        <s:v>2574.39722</s:v>
      </s:c>
      <s:c r="D62" s="6" t="n">
        <s:v>2873.254</s:v>
      </s:c>
      <s:c r="E62" s="6" t="n">
        <s:v>3037.11816</s:v>
      </s:c>
      <s:c r="F62" s="6" t="n">
        <s:v>2703.6875</s:v>
      </s:c>
      <s:c r="G62" s="6" t="n">
        <s:v>2207.703</s:v>
      </s:c>
      <s:c r="H62" s="6" t="n">
        <s:v>1178.71765</s:v>
      </s:c>
      <s:c r="I62" s="6" t="n"/>
      <s:c r="J62" s="6" t="str">
        <s:f>IF(AND(COUNT(C62:I62)=7,COUNT('Потребление (МВт·ч)'!C62:I62)=7,SUM('Потребление (МВт·ч)'!C62:I62)&gt;0),SUMPRODUCT(C62:I62,'Потребление (МВт·ч)'!C62:I62)/SUM('Потребление (МВт·ч)'!C62:I62),"")</s:f>
      </s:c>
      <s:c r="K62" s="6" t="n">
        <s:f>IF(SUMIF(C62:I62,"&lt;&gt;",'Потребление (МВт·ч)'!C62:I62)&gt;0,SUMPRODUCT(C62:I62,'Потребление (МВт·ч)'!C62:I62)/SUMIF(C62:I62,"&lt;&gt;",'Потребление (МВт·ч)'!C62:I62),"")</s:f>
        <s:v>2339.5769385125504</s:v>
      </s:c>
      <s:c r="L62" s="6" t="n">
        <s:f>IF(COUNT(C62:I62)&gt;0,AVERAGE(C62:I62),"")</s:f>
        <s:v>2429.146255</s:v>
      </s:c>
      <s:c r="M62" s="10" t="n">
        <s:f>COUNT(C62:I62)</s:f>
        <s:v>6</s:v>
      </s:c>
      <s:c r="N62" s="11" t="n">
        <s:f>IF(AND(COUNT('Потребление (МВт·ч)'!C62:I62)=7,SUM('Потребление (МВт·ч)'!C62:I62)&gt;0),SUMIF(C62:I62,"&lt;&gt;",'Потребление (МВт·ч)'!C62:I62)/SUM('Потребление (МВт·ч)'!C62:I62),"")</s:f>
        <s:v>0.9601836184492822</s:v>
      </s:c>
    </s:row>
    <s:row r="63">
      <s:c r="A63" s="5" t="n">
        <s:v>46268</s:v>
      </s:c>
      <s:c r="B63" s="2" t="n">
        <s:v>10</s:v>
      </s:c>
      <s:c r="C63" s="6" t="n">
        <s:v>2650.9248</s:v>
      </s:c>
      <s:c r="D63" s="6" t="n">
        <s:v>2862.74316</s:v>
      </s:c>
      <s:c r="E63" s="6" t="n">
        <s:v>3149.63037</s:v>
      </s:c>
      <s:c r="F63" s="6" t="n">
        <s:v>2684.94287</s:v>
      </s:c>
      <s:c r="G63" s="6" t="n">
        <s:v>2201.41919</s:v>
      </s:c>
      <s:c r="H63" s="6" t="n">
        <s:v>1084.88184</s:v>
      </s:c>
      <s:c r="I63" s="6" t="n"/>
      <s:c r="J63" s="6" t="str">
        <s:f>IF(AND(COUNT(C63:I63)=7,COUNT('Потребление (МВт·ч)'!C63:I63)=7,SUM('Потребление (МВт·ч)'!C63:I63)&gt;0),SUMPRODUCT(C63:I63,'Потребление (МВт·ч)'!C63:I63)/SUM('Потребление (МВт·ч)'!C63:I63),"")</s:f>
      </s:c>
      <s:c r="K63" s="6" t="n">
        <s:f>IF(SUMIF(C63:I63,"&lt;&gt;",'Потребление (МВт·ч)'!C63:I63)&gt;0,SUMPRODUCT(C63:I63,'Потребление (МВт·ч)'!C63:I63)/SUMIF(C63:I63,"&lt;&gt;",'Потребление (МВт·ч)'!C63:I63),"")</s:f>
        <s:v>2338.1339558324626</s:v>
      </s:c>
      <s:c r="L63" s="6" t="n">
        <s:f>IF(COUNT(C63:I63)&gt;0,AVERAGE(C63:I63),"")</s:f>
        <s:v>2439.0903716666667</s:v>
      </s:c>
      <s:c r="M63" s="10" t="n">
        <s:f>COUNT(C63:I63)</s:f>
        <s:v>6</s:v>
      </s:c>
      <s:c r="N63" s="11" t="n">
        <s:f>IF(AND(COUNT('Потребление (МВт·ч)'!C63:I63)=7,SUM('Потребление (МВт·ч)'!C63:I63)&gt;0),SUMIF(C63:I63,"&lt;&gt;",'Потребление (МВт·ч)'!C63:I63)/SUM('Потребление (МВт·ч)'!C63:I63),"")</s:f>
        <s:v>0.9595588829778633</s:v>
      </s:c>
    </s:row>
    <s:row r="64">
      <s:c r="A64" s="5" t="n">
        <s:v>46268</s:v>
      </s:c>
      <s:c r="B64" s="2" t="n">
        <s:v>11</s:v>
      </s:c>
      <s:c r="C64" s="6" t="n">
        <s:v>2455.631</s:v>
      </s:c>
      <s:c r="D64" s="6" t="n">
        <s:v>2789.787</s:v>
      </s:c>
      <s:c r="E64" s="6" t="n">
        <s:v>3045.569</s:v>
      </s:c>
      <s:c r="F64" s="6" t="n">
        <s:v>2643.30127</s:v>
      </s:c>
      <s:c r="G64" s="6" t="n">
        <s:v>2164.04956</s:v>
      </s:c>
      <s:c r="H64" s="6" t="n">
        <s:v>1390.67786</s:v>
      </s:c>
      <s:c r="I64" s="6" t="n"/>
      <s:c r="J64" s="6" t="str">
        <s:f>IF(AND(COUNT(C64:I64)=7,COUNT('Потребление (МВт·ч)'!C64:I64)=7,SUM('Потребление (МВт·ч)'!C64:I64)&gt;0),SUMPRODUCT(C64:I64,'Потребление (МВт·ч)'!C64:I64)/SUM('Потребление (МВт·ч)'!C64:I64),"")</s:f>
      </s:c>
      <s:c r="K64" s="6" t="n">
        <s:f>IF(SUMIF(C64:I64,"&lt;&gt;",'Потребление (МВт·ч)'!C64:I64)&gt;0,SUMPRODUCT(C64:I64,'Потребление (МВт·ч)'!C64:I64)/SUMIF(C64:I64,"&lt;&gt;",'Потребление (МВт·ч)'!C64:I64),"")</s:f>
        <s:v>2344.3851384452</s:v>
      </s:c>
      <s:c r="L64" s="6" t="n">
        <s:f>IF(COUNT(C64:I64)&gt;0,AVERAGE(C64:I64),"")</s:f>
        <s:v>2414.835948333333</s:v>
      </s:c>
      <s:c r="M64" s="10" t="n">
        <s:f>COUNT(C64:I64)</s:f>
        <s:v>6</s:v>
      </s:c>
      <s:c r="N64" s="11" t="n">
        <s:f>IF(AND(COUNT('Потребление (МВт·ч)'!C64:I64)=7,SUM('Потребление (МВт·ч)'!C64:I64)&gt;0),SUMIF(C64:I64,"&lt;&gt;",'Потребление (МВт·ч)'!C64:I64)/SUM('Потребление (МВт·ч)'!C64:I64),"")</s:f>
        <s:v>0.9593127950552393</s:v>
      </s:c>
    </s:row>
    <s:row r="65">
      <s:c r="A65" s="5" t="n">
        <s:v>46268</s:v>
      </s:c>
      <s:c r="B65" s="2" t="n">
        <s:v>12</s:v>
      </s:c>
      <s:c r="C65" s="6" t="n">
        <s:v>2372.29614</s:v>
      </s:c>
      <s:c r="D65" s="6" t="n">
        <s:v>2742.54053</s:v>
      </s:c>
      <s:c r="E65" s="6" t="n">
        <s:v>3036.868</s:v>
      </s:c>
      <s:c r="F65" s="6" t="n">
        <s:v>2591.608</s:v>
      </s:c>
      <s:c r="G65" s="6" t="n">
        <s:v>2139.23364</s:v>
      </s:c>
      <s:c r="H65" s="6" t="n">
        <s:v>1390.34033</s:v>
      </s:c>
      <s:c r="I65" s="6" t="n"/>
      <s:c r="J65" s="6" t="str">
        <s:f>IF(AND(COUNT(C65:I65)=7,COUNT('Потребление (МВт·ч)'!C65:I65)=7,SUM('Потребление (МВт·ч)'!C65:I65)&gt;0),SUMPRODUCT(C65:I65,'Потребление (МВт·ч)'!C65:I65)/SUM('Потребление (МВт·ч)'!C65:I65),"")</s:f>
      </s:c>
      <s:c r="K65" s="6" t="n">
        <s:f>IF(SUMIF(C65:I65,"&lt;&gt;",'Потребление (МВт·ч)'!C65:I65)&gt;0,SUMPRODUCT(C65:I65,'Потребление (МВт·ч)'!C65:I65)/SUMIF(C65:I65,"&lt;&gt;",'Потребление (МВт·ч)'!C65:I65),"")</s:f>
        <s:v>2310.6099211724772</s:v>
      </s:c>
      <s:c r="L65" s="6" t="n">
        <s:f>IF(COUNT(C65:I65)&gt;0,AVERAGE(C65:I65),"")</s:f>
        <s:v>2378.81444</s:v>
      </s:c>
      <s:c r="M65" s="10" t="n">
        <s:f>COUNT(C65:I65)</s:f>
        <s:v>6</s:v>
      </s:c>
      <s:c r="N65" s="11" t="n">
        <s:f>IF(AND(COUNT('Потребление (МВт·ч)'!C65:I65)=7,SUM('Потребление (МВт·ч)'!C65:I65)&gt;0),SUMIF(C65:I65,"&lt;&gt;",'Потребление (МВт·ч)'!C65:I65)/SUM('Потребление (МВт·ч)'!C65:I65),"")</s:f>
        <s:v>0.9584261742519385</s:v>
      </s:c>
    </s:row>
    <s:row r="66">
      <s:c r="A66" s="5" t="n">
        <s:v>46268</s:v>
      </s:c>
      <s:c r="B66" s="2" t="n">
        <s:v>13</s:v>
      </s:c>
      <s:c r="C66" s="6" t="n">
        <s:v>2439.13525</s:v>
      </s:c>
      <s:c r="D66" s="6" t="n">
        <s:v>2751.221</s:v>
      </s:c>
      <s:c r="E66" s="6" t="n">
        <s:v>2992.95947</s:v>
      </s:c>
      <s:c r="F66" s="6" t="n">
        <s:v>2613.22241</s:v>
      </s:c>
      <s:c r="G66" s="6" t="n">
        <s:v>2190.41772</s:v>
      </s:c>
      <s:c r="H66" s="6" t="n">
        <s:v>1473.238</s:v>
      </s:c>
      <s:c r="I66" s="6" t="n"/>
      <s:c r="J66" s="6" t="str">
        <s:f>IF(AND(COUNT(C66:I66)=7,COUNT('Потребление (МВт·ч)'!C66:I66)=7,SUM('Потребление (МВт·ч)'!C66:I66)&gt;0),SUMPRODUCT(C66:I66,'Потребление (МВт·ч)'!C66:I66)/SUM('Потребление (МВт·ч)'!C66:I66),"")</s:f>
      </s:c>
      <s:c r="K66" s="6" t="n">
        <s:f>IF(SUMIF(C66:I66,"&lt;&gt;",'Потребление (МВт·ч)'!C66:I66)&gt;0,SUMPRODUCT(C66:I66,'Потребление (МВт·ч)'!C66:I66)/SUMIF(C66:I66,"&lt;&gt;",'Потребление (МВт·ч)'!C66:I66),"")</s:f>
        <s:v>2348.972696609162</s:v>
      </s:c>
      <s:c r="L66" s="6" t="n">
        <s:f>IF(COUNT(C66:I66)&gt;0,AVERAGE(C66:I66),"")</s:f>
        <s:v>2410.032308333333</s:v>
      </s:c>
      <s:c r="M66" s="10" t="n">
        <s:f>COUNT(C66:I66)</s:f>
        <s:v>6</s:v>
      </s:c>
      <s:c r="N66" s="11" t="n">
        <s:f>IF(AND(COUNT('Потребление (МВт·ч)'!C66:I66)=7,SUM('Потребление (МВт·ч)'!C66:I66)&gt;0),SUMIF(C66:I66,"&lt;&gt;",'Потребление (МВт·ч)'!C66:I66)/SUM('Потребление (МВт·ч)'!C66:I66),"")</s:f>
        <s:v>0.9586201324931329</s:v>
      </s:c>
    </s:row>
    <s:row r="67">
      <s:c r="A67" s="5" t="n">
        <s:v>46268</s:v>
      </s:c>
      <s:c r="B67" s="2" t="n">
        <s:v>14</s:v>
      </s:c>
      <s:c r="C67" s="6" t="n">
        <s:v>2145.24146</s:v>
      </s:c>
      <s:c r="D67" s="6" t="n">
        <s:v>2726.266</s:v>
      </s:c>
      <s:c r="E67" s="6" t="n">
        <s:v>2982.19653</s:v>
      </s:c>
      <s:c r="F67" s="6" t="n">
        <s:v>2590.78345</s:v>
      </s:c>
      <s:c r="G67" s="6" t="n">
        <s:v>2167.24951</s:v>
      </s:c>
      <s:c r="H67" s="6" t="n">
        <s:v>1598.03357</s:v>
      </s:c>
      <s:c r="I67" s="6" t="n"/>
      <s:c r="J67" s="6" t="str">
        <s:f>IF(AND(COUNT(C67:I67)=7,COUNT('Потребление (МВт·ч)'!C67:I67)=7,SUM('Потребление (МВт·ч)'!C67:I67)&gt;0),SUMPRODUCT(C67:I67,'Потребление (МВт·ч)'!C67:I67)/SUM('Потребление (МВт·ч)'!C67:I67),"")</s:f>
      </s:c>
      <s:c r="K67" s="6" t="n">
        <s:f>IF(SUMIF(C67:I67,"&lt;&gt;",'Потребление (МВт·ч)'!C67:I67)&gt;0,SUMPRODUCT(C67:I67,'Потребление (МВт·ч)'!C67:I67)/SUMIF(C67:I67,"&lt;&gt;",'Потребление (МВт·ч)'!C67:I67),"")</s:f>
        <s:v>2330.2131580076757</s:v>
      </s:c>
      <s:c r="L67" s="6" t="n">
        <s:f>IF(COUNT(C67:I67)&gt;0,AVERAGE(C67:I67),"")</s:f>
        <s:v>2368.2950866666665</s:v>
      </s:c>
      <s:c r="M67" s="10" t="n">
        <s:f>COUNT(C67:I67)</s:f>
        <s:v>6</s:v>
      </s:c>
      <s:c r="N67" s="11" t="n">
        <s:f>IF(AND(COUNT('Потребление (МВт·ч)'!C67:I67)=7,SUM('Потребление (МВт·ч)'!C67:I67)&gt;0),SUMIF(C67:I67,"&lt;&gt;",'Потребление (МВт·ч)'!C67:I67)/SUM('Потребление (МВт·ч)'!C67:I67),"")</s:f>
        <s:v>0.960181997446217</s:v>
      </s:c>
    </s:row>
    <s:row r="68">
      <s:c r="A68" s="5" t="n">
        <s:v>46268</s:v>
      </s:c>
      <s:c r="B68" s="2" t="n">
        <s:v>15</s:v>
      </s:c>
      <s:c r="C68" s="6" t="n">
        <s:v>2161.83032</s:v>
      </s:c>
      <s:c r="D68" s="6" t="n">
        <s:v>2861.53</s:v>
      </s:c>
      <s:c r="E68" s="6" t="n">
        <s:v>2987.48755</s:v>
      </s:c>
      <s:c r="F68" s="6" t="n">
        <s:v>2691.15356</s:v>
      </s:c>
      <s:c r="G68" s="6" t="n">
        <s:v>2238.007</s:v>
      </s:c>
      <s:c r="H68" s="6" t="n">
        <s:v>1632.66724</s:v>
      </s:c>
      <s:c r="I68" s="6" t="n"/>
      <s:c r="J68" s="6" t="str">
        <s:f>IF(AND(COUNT(C68:I68)=7,COUNT('Потребление (МВт·ч)'!C68:I68)=7,SUM('Потребление (МВт·ч)'!C68:I68)&gt;0),SUMPRODUCT(C68:I68,'Потребление (МВт·ч)'!C68:I68)/SUM('Потребление (МВт·ч)'!C68:I68),"")</s:f>
      </s:c>
      <s:c r="K68" s="6" t="n">
        <s:f>IF(SUMIF(C68:I68,"&lt;&gt;",'Потребление (МВт·ч)'!C68:I68)&gt;0,SUMPRODUCT(C68:I68,'Потребление (МВт·ч)'!C68:I68)/SUMIF(C68:I68,"&lt;&gt;",'Потребление (МВт·ч)'!C68:I68),"")</s:f>
        <s:v>2399.9143535825783</s:v>
      </s:c>
      <s:c r="L68" s="6" t="n">
        <s:f>IF(COUNT(C68:I68)&gt;0,AVERAGE(C68:I68),"")</s:f>
        <s:v>2428.7792783333334</s:v>
      </s:c>
      <s:c r="M68" s="10" t="n">
        <s:f>COUNT(C68:I68)</s:f>
        <s:v>6</s:v>
      </s:c>
      <s:c r="N68" s="11" t="n">
        <s:f>IF(AND(COUNT('Потребление (МВт·ч)'!C68:I68)=7,SUM('Потребление (МВт·ч)'!C68:I68)&gt;0),SUMIF(C68:I68,"&lt;&gt;",'Потребление (МВт·ч)'!C68:I68)/SUM('Потребление (МВт·ч)'!C68:I68),"")</s:f>
        <s:v>0.9615039199980582</s:v>
      </s:c>
    </s:row>
    <s:row r="69">
      <s:c r="A69" s="5" t="n">
        <s:v>46268</s:v>
      </s:c>
      <s:c r="B69" s="2" t="n">
        <s:v>16</s:v>
      </s:c>
      <s:c r="C69" s="6" t="n">
        <s:v>2218.50562</s:v>
      </s:c>
      <s:c r="D69" s="6" t="n">
        <s:v>2852.974</s:v>
      </s:c>
      <s:c r="E69" s="6" t="n">
        <s:v>3054.73</s:v>
      </s:c>
      <s:c r="F69" s="6" t="n">
        <s:v>2736.3186</s:v>
      </s:c>
      <s:c r="G69" s="6" t="n">
        <s:v>2346.06885</s:v>
      </s:c>
      <s:c r="H69" s="6" t="n">
        <s:v>1646.52612</s:v>
      </s:c>
      <s:c r="I69" s="6" t="n"/>
      <s:c r="J69" s="6" t="str">
        <s:f>IF(AND(COUNT(C69:I69)=7,COUNT('Потребление (МВт·ч)'!C69:I69)=7,SUM('Потребление (МВт·ч)'!C69:I69)&gt;0),SUMPRODUCT(C69:I69,'Потребление (МВт·ч)'!C69:I69)/SUM('Потребление (МВт·ч)'!C69:I69),"")</s:f>
      </s:c>
      <s:c r="K69" s="6" t="n">
        <s:f>IF(SUMIF(C69:I69,"&lt;&gt;",'Потребление (МВт·ч)'!C69:I69)&gt;0,SUMPRODUCT(C69:I69,'Потребление (МВт·ч)'!C69:I69)/SUMIF(C69:I69,"&lt;&gt;",'Потребление (МВт·ч)'!C69:I69),"")</s:f>
        <s:v>2438.3869377500278</s:v>
      </s:c>
      <s:c r="L69" s="6" t="n">
        <s:f>IF(COUNT(C69:I69)&gt;0,AVERAGE(C69:I69),"")</s:f>
        <s:v>2475.853865</s:v>
      </s:c>
      <s:c r="M69" s="10" t="n">
        <s:f>COUNT(C69:I69)</s:f>
        <s:v>6</s:v>
      </s:c>
      <s:c r="N69" s="11" t="n">
        <s:f>IF(AND(COUNT('Потребление (МВт·ч)'!C69:I69)=7,SUM('Потребление (МВт·ч)'!C69:I69)&gt;0),SUMIF(C69:I69,"&lt;&gt;",'Потребление (МВт·ч)'!C69:I69)/SUM('Потребление (МВт·ч)'!C69:I69),"")</s:f>
        <s:v>0.9620049099836334</s:v>
      </s:c>
    </s:row>
    <s:row r="70">
      <s:c r="A70" s="5" t="n">
        <s:v>46268</s:v>
      </s:c>
      <s:c r="B70" s="2" t="n">
        <s:v>17</s:v>
      </s:c>
      <s:c r="C70" s="6" t="n">
        <s:v>2469.6853</s:v>
      </s:c>
      <s:c r="D70" s="6" t="n">
        <s:v>2795.42114</s:v>
      </s:c>
      <s:c r="E70" s="6" t="n">
        <s:v>2996.60229</s:v>
      </s:c>
      <s:c r="F70" s="6" t="n">
        <s:v>2698.60718</s:v>
      </s:c>
      <s:c r="G70" s="6" t="n">
        <s:v>2340.50244</s:v>
      </s:c>
      <s:c r="H70" s="6" t="n">
        <s:v>1844.12952</s:v>
      </s:c>
      <s:c r="I70" s="6" t="n"/>
      <s:c r="J70" s="6" t="str">
        <s:f>IF(AND(COUNT(C70:I70)=7,COUNT('Потребление (МВт·ч)'!C70:I70)=7,SUM('Потребление (МВт·ч)'!C70:I70)&gt;0),SUMPRODUCT(C70:I70,'Потребление (МВт·ч)'!C70:I70)/SUM('Потребление (МВт·ч)'!C70:I70),"")</s:f>
      </s:c>
      <s:c r="K70" s="6" t="n">
        <s:f>IF(SUMIF(C70:I70,"&lt;&gt;",'Потребление (МВт·ч)'!C70:I70)&gt;0,SUMPRODUCT(C70:I70,'Потребление (МВт·ч)'!C70:I70)/SUMIF(C70:I70,"&lt;&gt;",'Потребление (МВт·ч)'!C70:I70),"")</s:f>
        <s:v>2474.92856575191</s:v>
      </s:c>
      <s:c r="L70" s="6" t="n">
        <s:f>IF(COUNT(C70:I70)&gt;0,AVERAGE(C70:I70),"")</s:f>
        <s:v>2524.157978333333</s:v>
      </s:c>
      <s:c r="M70" s="10" t="n">
        <s:f>COUNT(C70:I70)</s:f>
        <s:v>6</s:v>
      </s:c>
      <s:c r="N70" s="11" t="n">
        <s:f>IF(AND(COUNT('Потребление (МВт·ч)'!C70:I70)=7,SUM('Потребление (МВт·ч)'!C70:I70)&gt;0),SUMIF(C70:I70,"&lt;&gt;",'Потребление (МВт·ч)'!C70:I70)/SUM('Потребление (МВт·ч)'!C70:I70),"")</s:f>
        <s:v>0.9636061500999514</s:v>
      </s:c>
    </s:row>
    <s:row r="71">
      <s:c r="A71" s="5" t="n">
        <s:v>46268</s:v>
      </s:c>
      <s:c r="B71" s="2" t="n">
        <s:v>18</s:v>
      </s:c>
      <s:c r="C71" s="6" t="n">
        <s:v>2516.763</s:v>
      </s:c>
      <s:c r="D71" s="6" t="n">
        <s:v>2841.517</s:v>
      </s:c>
      <s:c r="E71" s="6" t="n">
        <s:v>3050.489</s:v>
      </s:c>
      <s:c r="F71" s="6" t="n">
        <s:v>2771.92969</s:v>
      </s:c>
      <s:c r="G71" s="6" t="n">
        <s:v>2537.889</s:v>
      </s:c>
      <s:c r="H71" s="6" t="n">
        <s:v>1667.9314</s:v>
      </s:c>
      <s:c r="I71" s="6" t="n"/>
      <s:c r="J71" s="6" t="str">
        <s:f>IF(AND(COUNT(C71:I71)=7,COUNT('Потребление (МВт·ч)'!C71:I71)=7,SUM('Потребление (МВт·ч)'!C71:I71)&gt;0),SUMPRODUCT(C71:I71,'Потребление (МВт·ч)'!C71:I71)/SUM('Потребление (МВт·ч)'!C71:I71),"")</s:f>
      </s:c>
      <s:c r="K71" s="6" t="n">
        <s:f>IF(SUMIF(C71:I71,"&lt;&gt;",'Потребление (МВт·ч)'!C71:I71)&gt;0,SUMPRODUCT(C71:I71,'Потребление (МВт·ч)'!C71:I71)/SUMIF(C71:I71,"&lt;&gt;",'Потребление (МВт·ч)'!C71:I71),"")</s:f>
        <s:v>2520.8484876899574</s:v>
      </s:c>
      <s:c r="L71" s="6" t="n">
        <s:f>IF(COUNT(C71:I71)&gt;0,AVERAGE(C71:I71),"")</s:f>
        <s:v>2564.4198483333334</s:v>
      </s:c>
      <s:c r="M71" s="10" t="n">
        <s:f>COUNT(C71:I71)</s:f>
        <s:v>6</s:v>
      </s:c>
      <s:c r="N71" s="11" t="n">
        <s:f>IF(AND(COUNT('Потребление (МВт·ч)'!C71:I71)=7,SUM('Потребление (МВт·ч)'!C71:I71)&gt;0),SUMIF(C71:I71,"&lt;&gt;",'Потребление (МВт·ч)'!C71:I71)/SUM('Потребление (МВт·ч)'!C71:I71),"")</s:f>
        <s:v>0.9648746170804812</s:v>
      </s:c>
    </s:row>
    <s:row r="72">
      <s:c r="A72" s="5" t="n">
        <s:v>46268</s:v>
      </s:c>
      <s:c r="B72" s="2" t="n">
        <s:v>19</s:v>
      </s:c>
      <s:c r="C72" s="6" t="n">
        <s:v>2146.68164</s:v>
      </s:c>
      <s:c r="D72" s="6" t="n">
        <s:v>2844.5022</s:v>
      </s:c>
      <s:c r="E72" s="6" t="n">
        <s:v>3048.573</s:v>
      </s:c>
      <s:c r="F72" s="6" t="n">
        <s:v>2687.67041</s:v>
      </s:c>
      <s:c r="G72" s="6" t="n">
        <s:v>2194.40942</s:v>
      </s:c>
      <s:c r="H72" s="6" t="n">
        <s:v>1605.78015</s:v>
      </s:c>
      <s:c r="I72" s="6" t="n"/>
      <s:c r="J72" s="6" t="str">
        <s:f>IF(AND(COUNT(C72:I72)=7,COUNT('Потребление (МВт·ч)'!C72:I72)=7,SUM('Потребление (МВт·ч)'!C72:I72)&gt;0),SUMPRODUCT(C72:I72,'Потребление (МВт·ч)'!C72:I72)/SUM('Потребление (МВт·ч)'!C72:I72),"")</s:f>
      </s:c>
      <s:c r="K72" s="6" t="n">
        <s:f>IF(SUMIF(C72:I72,"&lt;&gt;",'Потребление (МВт·ч)'!C72:I72)&gt;0,SUMPRODUCT(C72:I72,'Потребление (МВт·ч)'!C72:I72)/SUMIF(C72:I72,"&lt;&gt;",'Потребление (МВт·ч)'!C72:I72),"")</s:f>
        <s:v>2396.736108740953</s:v>
      </s:c>
      <s:c r="L72" s="6" t="n">
        <s:f>IF(COUNT(C72:I72)&gt;0,AVERAGE(C72:I72),"")</s:f>
        <s:v>2421.26947</s:v>
      </s:c>
      <s:c r="M72" s="10" t="n">
        <s:f>COUNT(C72:I72)</s:f>
        <s:v>6</s:v>
      </s:c>
      <s:c r="N72" s="11" t="n">
        <s:f>IF(AND(COUNT('Потребление (МВт·ч)'!C72:I72)=7,SUM('Потребление (МВт·ч)'!C72:I72)&gt;0),SUMIF(C72:I72,"&lt;&gt;",'Потребление (МВт·ч)'!C72:I72)/SUM('Потребление (МВт·ч)'!C72:I72),"")</s:f>
        <s:v>0.9646913293262046</s:v>
      </s:c>
    </s:row>
    <s:row r="73">
      <s:c r="A73" s="5" t="n">
        <s:v>46268</s:v>
      </s:c>
      <s:c r="B73" s="2" t="n">
        <s:v>20</s:v>
      </s:c>
      <s:c r="C73" s="6" t="n">
        <s:v>2134.01245</s:v>
      </s:c>
      <s:c r="D73" s="6" t="n">
        <s:v>2785.96533</s:v>
      </s:c>
      <s:c r="E73" s="6" t="n">
        <s:v>2850.58569</s:v>
      </s:c>
      <s:c r="F73" s="6" t="n">
        <s:v>2656.23828</s:v>
      </s:c>
      <s:c r="G73" s="6" t="n">
        <s:v>2116.79126</s:v>
      </s:c>
      <s:c r="H73" s="6" t="n">
        <s:v>1314.35974</s:v>
      </s:c>
      <s:c r="I73" s="6" t="n"/>
      <s:c r="J73" s="6" t="str">
        <s:f>IF(AND(COUNT(C73:I73)=7,COUNT('Потребление (МВт·ч)'!C73:I73)=7,SUM('Потребление (МВт·ч)'!C73:I73)&gt;0),SUMPRODUCT(C73:I73,'Потребление (МВт·ч)'!C73:I73)/SUM('Потребление (МВт·ч)'!C73:I73),"")</s:f>
      </s:c>
      <s:c r="K73" s="6" t="n">
        <s:f>IF(SUMIF(C73:I73,"&lt;&gt;",'Потребление (МВт·ч)'!C73:I73)&gt;0,SUMPRODUCT(C73:I73,'Потребление (МВт·ч)'!C73:I73)/SUMIF(C73:I73,"&lt;&gt;",'Потребление (МВт·ч)'!C73:I73),"")</s:f>
        <s:v>2276.376705501204</s:v>
      </s:c>
      <s:c r="L73" s="6" t="n">
        <s:f>IF(COUNT(C73:I73)&gt;0,AVERAGE(C73:I73),"")</s:f>
        <s:v>2309.6587916666667</s:v>
      </s:c>
      <s:c r="M73" s="10" t="n">
        <s:f>COUNT(C73:I73)</s:f>
        <s:v>6</s:v>
      </s:c>
      <s:c r="N73" s="11" t="n">
        <s:f>IF(AND(COUNT('Потребление (МВт·ч)'!C73:I73)=7,SUM('Потребление (МВт·ч)'!C73:I73)&gt;0),SUMIF(C73:I73,"&lt;&gt;",'Потребление (МВт·ч)'!C73:I73)/SUM('Потребление (МВт·ч)'!C73:I73),"")</s:f>
        <s:v>0.9639940357179165</s:v>
      </s:c>
    </s:row>
    <s:row r="74">
      <s:c r="A74" s="5" t="n">
        <s:v>46268</s:v>
      </s:c>
      <s:c r="B74" s="2" t="n">
        <s:v>21</s:v>
      </s:c>
      <s:c r="C74" s="6" t="n">
        <s:v>1998.17468</s:v>
      </s:c>
      <s:c r="D74" s="6" t="n">
        <s:v>2613.03833</s:v>
      </s:c>
      <s:c r="E74" s="6" t="n">
        <s:v>2768.17139</s:v>
      </s:c>
      <s:c r="F74" s="6" t="n">
        <s:v>2316.056</s:v>
      </s:c>
      <s:c r="G74" s="6" t="n">
        <s:v>1844.44348</s:v>
      </s:c>
      <s:c r="H74" s="6" t="n">
        <s:v>1109.07178</s:v>
      </s:c>
      <s:c r="I74" s="6" t="n"/>
      <s:c r="J74" s="6" t="str">
        <s:f>IF(AND(COUNT(C74:I74)=7,COUNT('Потребление (МВт·ч)'!C74:I74)=7,SUM('Потребление (МВт·ч)'!C74:I74)&gt;0),SUMPRODUCT(C74:I74,'Потребление (МВт·ч)'!C74:I74)/SUM('Потребление (МВт·ч)'!C74:I74),"")</s:f>
      </s:c>
      <s:c r="K74" s="6" t="n">
        <s:f>IF(SUMIF(C74:I74,"&lt;&gt;",'Потребление (МВт·ч)'!C74:I74)&gt;0,SUMPRODUCT(C74:I74,'Потребление (МВт·ч)'!C74:I74)/SUMIF(C74:I74,"&lt;&gt;",'Потребление (МВт·ч)'!C74:I74),"")</s:f>
        <s:v>2063.585017087798</s:v>
      </s:c>
      <s:c r="L74" s="6" t="n">
        <s:f>IF(COUNT(C74:I74)&gt;0,AVERAGE(C74:I74),"")</s:f>
        <s:v>2108.1592766666668</s:v>
      </s:c>
      <s:c r="M74" s="10" t="n">
        <s:f>COUNT(C74:I74)</s:f>
        <s:v>6</s:v>
      </s:c>
      <s:c r="N74" s="11" t="n">
        <s:f>IF(AND(COUNT('Потребление (МВт·ч)'!C74:I74)=7,SUM('Потребление (МВт·ч)'!C74:I74)&gt;0),SUMIF(C74:I74,"&lt;&gt;",'Потребление (МВт·ч)'!C74:I74)/SUM('Потребление (МВт·ч)'!C74:I74),"")</s:f>
        <s:v>0.962922802476477</s:v>
      </s:c>
    </s:row>
    <s:row r="75">
      <s:c r="A75" s="5" t="n">
        <s:v>46268</s:v>
      </s:c>
      <s:c r="B75" s="2" t="n">
        <s:v>22</s:v>
      </s:c>
      <s:c r="C75" s="6" t="n">
        <s:v>1299.14392</s:v>
      </s:c>
      <s:c r="D75" s="6" t="n">
        <s:v>1548.62866</s:v>
      </s:c>
      <s:c r="E75" s="6" t="n">
        <s:v>1855.57434</s:v>
      </s:c>
      <s:c r="F75" s="6" t="n">
        <s:v>1561.41711</s:v>
      </s:c>
      <s:c r="G75" s="6" t="n">
        <s:v>1350.63892</s:v>
      </s:c>
      <s:c r="H75" s="6" t="n">
        <s:v>940.0124</s:v>
      </s:c>
      <s:c r="I75" s="6" t="n"/>
      <s:c r="J75" s="6" t="str">
        <s:f>IF(AND(COUNT(C75:I75)=7,COUNT('Потребление (МВт·ч)'!C75:I75)=7,SUM('Потребление (МВт·ч)'!C75:I75)&gt;0),SUMPRODUCT(C75:I75,'Потребление (МВт·ч)'!C75:I75)/SUM('Потребление (МВт·ч)'!C75:I75),"")</s:f>
      </s:c>
      <s:c r="K75" s="6" t="n">
        <s:f>IF(SUMIF(C75:I75,"&lt;&gt;",'Потребление (МВт·ч)'!C75:I75)&gt;0,SUMPRODUCT(C75:I75,'Потребление (МВт·ч)'!C75:I75)/SUMIF(C75:I75,"&lt;&gt;",'Потребление (МВт·ч)'!C75:I75),"")</s:f>
        <s:v>1386.376075695961</s:v>
      </s:c>
      <s:c r="L75" s="6" t="n">
        <s:f>IF(COUNT(C75:I75)&gt;0,AVERAGE(C75:I75),"")</s:f>
        <s:v>1425.9025583333334</s:v>
      </s:c>
      <s:c r="M75" s="10" t="n">
        <s:f>COUNT(C75:I75)</s:f>
        <s:v>6</s:v>
      </s:c>
      <s:c r="N75" s="11" t="n">
        <s:f>IF(AND(COUNT('Потребление (МВт·ч)'!C75:I75)=7,SUM('Потребление (МВт·ч)'!C75:I75)&gt;0),SUMIF(C75:I75,"&lt;&gt;",'Потребление (МВт·ч)'!C75:I75)/SUM('Потребление (МВт·ч)'!C75:I75),"")</s:f>
        <s:v>0.9600762372517937</s:v>
      </s:c>
    </s:row>
    <s:row r="76">
      <s:c r="A76" s="5" t="n">
        <s:v>46268</s:v>
      </s:c>
      <s:c r="B76" s="2" t="n">
        <s:v>23</s:v>
      </s:c>
      <s:c r="C76" s="6" t="n">
        <s:v>340.570068</s:v>
      </s:c>
      <s:c r="D76" s="6" t="n">
        <s:v>1433.14246</s:v>
      </s:c>
      <s:c r="E76" s="6" t="n">
        <s:v>1428.373</s:v>
      </s:c>
      <s:c r="F76" s="6" t="n">
        <s:v>1401.211</s:v>
      </s:c>
      <s:c r="G76" s="6" t="n">
        <s:v>1199.09485</s:v>
      </s:c>
      <s:c r="H76" s="6" t="n">
        <s:v>640.5803</s:v>
      </s:c>
      <s:c r="I76" s="6" t="n"/>
      <s:c r="J76" s="6" t="str">
        <s:f>IF(AND(COUNT(C76:I76)=7,COUNT('Потребление (МВт·ч)'!C76:I76)=7,SUM('Потребление (МВт·ч)'!C76:I76)&gt;0),SUMPRODUCT(C76:I76,'Потребление (МВт·ч)'!C76:I76)/SUM('Потребление (МВт·ч)'!C76:I76),"")</s:f>
      </s:c>
      <s:c r="K76" s="6" t="n">
        <s:f>IF(SUMIF(C76:I76,"&lt;&gt;",'Потребление (МВт·ч)'!C76:I76)&gt;0,SUMPRODUCT(C76:I76,'Потребление (МВт·ч)'!C76:I76)/SUMIF(C76:I76,"&lt;&gt;",'Потребление (МВт·ч)'!C76:I76),"")</s:f>
        <s:v>1100.0435620831588</s:v>
      </s:c>
      <s:c r="L76" s="6" t="n">
        <s:f>IF(COUNT(C76:I76)&gt;0,AVERAGE(C76:I76),"")</s:f>
        <s:v>1073.828613</s:v>
      </s:c>
      <s:c r="M76" s="10" t="n">
        <s:f>COUNT(C76:I76)</s:f>
        <s:v>6</s:v>
      </s:c>
      <s:c r="N76" s="11" t="n">
        <s:f>IF(AND(COUNT('Потребление (МВт·ч)'!C76:I76)=7,SUM('Потребление (МВт·ч)'!C76:I76)&gt;0),SUMIF(C76:I76,"&lt;&gt;",'Потребление (МВт·ч)'!C76:I76)/SUM('Потребление (МВт·ч)'!C76:I76),"")</s:f>
        <s:v>0.9561122906345836</s:v>
      </s:c>
    </s:row>
    <s:row r="77">
      <s:c r="A77" s="5" t="n">
        <s:v>46269</s:v>
      </s:c>
      <s:c r="B77" s="2" t="n">
        <s:v>0</s:v>
      </s:c>
      <s:c r="C77" s="6" t="n">
        <s:v>319.178741</s:v>
      </s:c>
      <s:c r="D77" s="6" t="n">
        <s:v>1285.25439</s:v>
      </s:c>
      <s:c r="E77" s="6" t="n">
        <s:v>849.7434</s:v>
      </s:c>
      <s:c r="F77" s="6" t="n">
        <s:v>1396.5907</s:v>
      </s:c>
      <s:c r="G77" s="6" t="n">
        <s:v>1456.21973</s:v>
      </s:c>
      <s:c r="H77" s="6" t="n">
        <s:v>739.9532</s:v>
      </s:c>
      <s:c r="I77" s="6" t="n"/>
      <s:c r="J77" s="6" t="str">
        <s:f>IF(AND(COUNT(C77:I77)=7,COUNT('Потребление (МВт·ч)'!C77:I77)=7,SUM('Потребление (МВт·ч)'!C77:I77)&gt;0),SUMPRODUCT(C77:I77,'Потребление (МВт·ч)'!C77:I77)/SUM('Потребление (МВт·ч)'!C77:I77),"")</s:f>
      </s:c>
      <s:c r="K77" s="6" t="n">
        <s:f>IF(SUMIF(C77:I77,"&lt;&gt;",'Потребление (МВт·ч)'!C77:I77)&gt;0,SUMPRODUCT(C77:I77,'Потребление (МВт·ч)'!C77:I77)/SUMIF(C77:I77,"&lt;&gt;",'Потребление (МВт·ч)'!C77:I77),"")</s:f>
        <s:v>1081.0775497624004</s:v>
      </s:c>
      <s:c r="L77" s="6" t="n">
        <s:f>IF(COUNT(C77:I77)&gt;0,AVERAGE(C77:I77),"")</s:f>
        <s:v>1007.8233601666666</s:v>
      </s:c>
      <s:c r="M77" s="10" t="n">
        <s:f>COUNT(C77:I77)</s:f>
        <s:v>6</s:v>
      </s:c>
      <s:c r="N77" s="11" t="n">
        <s:f>IF(AND(COUNT('Потребление (МВт·ч)'!C77:I77)=7,SUM('Потребление (МВт·ч)'!C77:I77)&gt;0),SUMIF(C77:I77,"&lt;&gt;",'Потребление (МВт·ч)'!C77:I77)/SUM('Потребление (МВт·ч)'!C77:I77),"")</s:f>
        <s:v>0.9543228434272414</s:v>
      </s:c>
    </s:row>
    <s:row r="78">
      <s:c r="A78" s="5" t="n">
        <s:v>46269</s:v>
      </s:c>
      <s:c r="B78" s="2" t="n">
        <s:v>1</s:v>
      </s:c>
      <s:c r="C78" s="6" t="n">
        <s:v>846.108643</s:v>
      </s:c>
      <s:c r="D78" s="6" t="n">
        <s:v>1255.57556</s:v>
      </s:c>
      <s:c r="E78" s="6" t="n">
        <s:v>880.148132</s:v>
      </s:c>
      <s:c r="F78" s="6" t="n">
        <s:v>1269.89844</s:v>
      </s:c>
      <s:c r="G78" s="6" t="n">
        <s:v>1265.42725</s:v>
      </s:c>
      <s:c r="H78" s="6" t="n">
        <s:v>711.356567</s:v>
      </s:c>
      <s:c r="I78" s="6" t="n"/>
      <s:c r="J78" s="6" t="str">
        <s:f>IF(AND(COUNT(C78:I78)=7,COUNT('Потребление (МВт·ч)'!C78:I78)=7,SUM('Потребление (МВт·ч)'!C78:I78)&gt;0),SUMPRODUCT(C78:I78,'Потребление (МВт·ч)'!C78:I78)/SUM('Потребление (МВт·ч)'!C78:I78),"")</s:f>
      </s:c>
      <s:c r="K78" s="6" t="n">
        <s:f>IF(SUMIF(C78:I78,"&lt;&gt;",'Потребление (МВт·ч)'!C78:I78)&gt;0,SUMPRODUCT(C78:I78,'Потребление (МВт·ч)'!C78:I78)/SUMIF(C78:I78,"&lt;&gt;",'Потребление (МВт·ч)'!C78:I78),"")</s:f>
        <s:v>1059.1592600748702</s:v>
      </s:c>
      <s:c r="L78" s="6" t="n">
        <s:f>IF(COUNT(C78:I78)&gt;0,AVERAGE(C78:I78),"")</s:f>
        <s:v>1038.0857653333333</s:v>
      </s:c>
      <s:c r="M78" s="10" t="n">
        <s:f>COUNT(C78:I78)</s:f>
        <s:v>6</s:v>
      </s:c>
      <s:c r="N78" s="11" t="n">
        <s:f>IF(AND(COUNT('Потребление (МВт·ч)'!C78:I78)=7,SUM('Потребление (МВт·ч)'!C78:I78)&gt;0),SUMIF(C78:I78,"&lt;&gt;",'Потребление (МВт·ч)'!C78:I78)/SUM('Потребление (МВт·ч)'!C78:I78),"")</s:f>
        <s:v>0.9526135381567832</s:v>
      </s:c>
    </s:row>
    <s:row r="79">
      <s:c r="A79" s="5" t="n">
        <s:v>46269</s:v>
      </s:c>
      <s:c r="B79" s="2" t="n">
        <s:v>2</s:v>
      </s:c>
      <s:c r="C79" s="6" t="n">
        <s:v>286.186279</s:v>
      </s:c>
      <s:c r="D79" s="6" t="n">
        <s:v>1269.98584</s:v>
      </s:c>
      <s:c r="E79" s="6" t="n">
        <s:v>806.051636</s:v>
      </s:c>
      <s:c r="F79" s="6" t="n">
        <s:v>1407.7522</s:v>
      </s:c>
      <s:c r="G79" s="6" t="n">
        <s:v>1536.52893</s:v>
      </s:c>
      <s:c r="H79" s="6" t="n">
        <s:v>1015.32867</s:v>
      </s:c>
      <s:c r="I79" s="6" t="n"/>
      <s:c r="J79" s="6" t="str">
        <s:f>IF(AND(COUNT(C79:I79)=7,COUNT('Потребление (МВт·ч)'!C79:I79)=7,SUM('Потребление (МВт·ч)'!C79:I79)&gt;0),SUMPRODUCT(C79:I79,'Потребление (МВт·ч)'!C79:I79)/SUM('Потребление (МВт·ч)'!C79:I79),"")</s:f>
      </s:c>
      <s:c r="K79" s="6" t="n">
        <s:f>IF(SUMIF(C79:I79,"&lt;&gt;",'Потребление (МВт·ч)'!C79:I79)&gt;0,SUMPRODUCT(C79:I79,'Потребление (МВт·ч)'!C79:I79)/SUMIF(C79:I79,"&lt;&gt;",'Потребление (МВт·ч)'!C79:I79),"")</s:f>
        <s:v>1155.6112701101117</s:v>
      </s:c>
      <s:c r="L79" s="6" t="n">
        <s:f>IF(COUNT(C79:I79)&gt;0,AVERAGE(C79:I79),"")</s:f>
        <s:v>1053.6389258333334</s:v>
      </s:c>
      <s:c r="M79" s="10" t="n">
        <s:f>COUNT(C79:I79)</s:f>
        <s:v>6</s:v>
      </s:c>
      <s:c r="N79" s="11" t="n">
        <s:f>IF(AND(COUNT('Потребление (МВт·ч)'!C79:I79)=7,SUM('Потребление (МВт·ч)'!C79:I79)&gt;0),SUMIF(C79:I79,"&lt;&gt;",'Потребление (МВт·ч)'!C79:I79)/SUM('Потребление (МВт·ч)'!C79:I79),"")</s:f>
        <s:v>0.9523693897570877</s:v>
      </s:c>
    </s:row>
    <s:row r="80">
      <s:c r="A80" s="5" t="n">
        <s:v>46269</s:v>
      </s:c>
      <s:c r="B80" s="2" t="n">
        <s:v>3</s:v>
      </s:c>
      <s:c r="C80" s="6" t="n">
        <s:v>577.563843</s:v>
      </s:c>
      <s:c r="D80" s="6" t="n">
        <s:v>1362.41077</s:v>
      </s:c>
      <s:c r="E80" s="6" t="n">
        <s:v>971.3405</s:v>
      </s:c>
      <s:c r="F80" s="6" t="n">
        <s:v>1506.296</s:v>
      </s:c>
      <s:c r="G80" s="6" t="n">
        <s:v>1618.00891</s:v>
      </s:c>
      <s:c r="H80" s="6" t="n">
        <s:v>962.423</s:v>
      </s:c>
      <s:c r="I80" s="6" t="n"/>
      <s:c r="J80" s="6" t="str">
        <s:f>IF(AND(COUNT(C80:I80)=7,COUNT('Потребление (МВт·ч)'!C80:I80)=7,SUM('Потребление (МВт·ч)'!C80:I80)&gt;0),SUMPRODUCT(C80:I80,'Потребление (МВт·ч)'!C80:I80)/SUM('Потребление (МВт·ч)'!C80:I80),"")</s:f>
      </s:c>
      <s:c r="K80" s="6" t="n">
        <s:f>IF(SUMIF(C80:I80,"&lt;&gt;",'Потребление (МВт·ч)'!C80:I80)&gt;0,SUMPRODUCT(C80:I80,'Потребление (МВт·ч)'!C80:I80)/SUMIF(C80:I80,"&lt;&gt;",'Потребление (МВт·ч)'!C80:I80),"")</s:f>
        <s:v>1237.3207357595863</s:v>
      </s:c>
      <s:c r="L80" s="6" t="n">
        <s:f>IF(COUNT(C80:I80)&gt;0,AVERAGE(C80:I80),"")</s:f>
        <s:v>1166.3405038333333</s:v>
      </s:c>
      <s:c r="M80" s="10" t="n">
        <s:f>COUNT(C80:I80)</s:f>
        <s:v>6</s:v>
      </s:c>
      <s:c r="N80" s="11" t="n">
        <s:f>IF(AND(COUNT('Потребление (МВт·ч)'!C80:I80)=7,SUM('Потребление (МВт·ч)'!C80:I80)&gt;0),SUMIF(C80:I80,"&lt;&gt;",'Потребление (МВт·ч)'!C80:I80)/SUM('Потребление (МВт·ч)'!C80:I80),"")</s:f>
        <s:v>0.9521669527648658</s:v>
      </s:c>
    </s:row>
    <s:row r="81">
      <s:c r="A81" s="5" t="n">
        <s:v>46269</s:v>
      </s:c>
      <s:c r="B81" s="2" t="n">
        <s:v>4</s:v>
      </s:c>
      <s:c r="C81" s="6" t="n">
        <s:v>1197.76086</s:v>
      </s:c>
      <s:c r="D81" s="6" t="n">
        <s:v>1573.15735</s:v>
      </s:c>
      <s:c r="E81" s="6" t="n">
        <s:v>1284.59534</s:v>
      </s:c>
      <s:c r="F81" s="6" t="n">
        <s:v>1702.69971</s:v>
      </s:c>
      <s:c r="G81" s="6" t="n">
        <s:v>1717.48633</s:v>
      </s:c>
      <s:c r="H81" s="6" t="n">
        <s:v>1113.42358</s:v>
      </s:c>
      <s:c r="I81" s="6" t="n"/>
      <s:c r="J81" s="6" t="str">
        <s:f>IF(AND(COUNT(C81:I81)=7,COUNT('Потребление (МВт·ч)'!C81:I81)=7,SUM('Потребление (МВт·ч)'!C81:I81)&gt;0),SUMPRODUCT(C81:I81,'Потребление (МВт·ч)'!C81:I81)/SUM('Потребление (МВт·ч)'!C81:I81),"")</s:f>
      </s:c>
      <s:c r="K81" s="6" t="n">
        <s:f>IF(SUMIF(C81:I81,"&lt;&gt;",'Потребление (МВт·ч)'!C81:I81)&gt;0,SUMPRODUCT(C81:I81,'Потребление (МВт·ч)'!C81:I81)/SUMIF(C81:I81,"&lt;&gt;",'Потребление (МВт·ч)'!C81:I81),"")</s:f>
        <s:v>1451.9209966743217</s:v>
      </s:c>
      <s:c r="L81" s="6" t="n">
        <s:f>IF(COUNT(C81:I81)&gt;0,AVERAGE(C81:I81),"")</s:f>
        <s:v>1431.5205283333332</s:v>
      </s:c>
      <s:c r="M81" s="10" t="n">
        <s:f>COUNT(C81:I81)</s:f>
        <s:v>6</s:v>
      </s:c>
      <s:c r="N81" s="11" t="n">
        <s:f>IF(AND(COUNT('Потребление (МВт·ч)'!C81:I81)=7,SUM('Потребление (МВт·ч)'!C81:I81)&gt;0),SUMIF(C81:I81,"&lt;&gt;",'Потребление (МВт·ч)'!C81:I81)/SUM('Потребление (МВт·ч)'!C81:I81),"")</s:f>
        <s:v>0.9536210999345841</s:v>
      </s:c>
    </s:row>
    <s:row r="82">
      <s:c r="A82" s="5" t="n">
        <s:v>46269</s:v>
      </s:c>
      <s:c r="B82" s="2" t="n">
        <s:v>5</s:v>
      </s:c>
      <s:c r="C82" s="6" t="n">
        <s:v>1432.31177</s:v>
      </s:c>
      <s:c r="D82" s="6" t="n">
        <s:v>1787.74792</s:v>
      </s:c>
      <s:c r="E82" s="6" t="n">
        <s:v>1603.0813</s:v>
      </s:c>
      <s:c r="F82" s="6" t="n">
        <s:v>1988.93677</s:v>
      </s:c>
      <s:c r="G82" s="6" t="n">
        <s:v>1883.29919</s:v>
      </s:c>
      <s:c r="H82" s="6" t="n">
        <s:v>1196.13037</s:v>
      </s:c>
      <s:c r="I82" s="6" t="n"/>
      <s:c r="J82" s="6" t="str">
        <s:f>IF(AND(COUNT(C82:I82)=7,COUNT('Потребление (МВт·ч)'!C82:I82)=7,SUM('Потребление (МВт·ч)'!C82:I82)&gt;0),SUMPRODUCT(C82:I82,'Потребление (МВт·ч)'!C82:I82)/SUM('Потребление (МВт·ч)'!C82:I82),"")</s:f>
      </s:c>
      <s:c r="K82" s="6" t="n">
        <s:f>IF(SUMIF(C82:I82,"&lt;&gt;",'Потребление (МВт·ч)'!C82:I82)&gt;0,SUMPRODUCT(C82:I82,'Потребление (МВт·ч)'!C82:I82)/SUMIF(C82:I82,"&lt;&gt;",'Потребление (МВт·ч)'!C82:I82),"")</s:f>
        <s:v>1646.8278001373537</s:v>
      </s:c>
      <s:c r="L82" s="6" t="n">
        <s:f>IF(COUNT(C82:I82)&gt;0,AVERAGE(C82:I82),"")</s:f>
        <s:v>1648.5845533333334</s:v>
      </s:c>
      <s:c r="M82" s="10" t="n">
        <s:f>COUNT(C82:I82)</s:f>
        <s:v>6</s:v>
      </s:c>
      <s:c r="N82" s="11" t="n">
        <s:f>IF(AND(COUNT('Потребление (МВт·ч)'!C82:I82)=7,SUM('Потребление (МВт·ч)'!C82:I82)&gt;0),SUMIF(C82:I82,"&lt;&gt;",'Потребление (МВт·ч)'!C82:I82)/SUM('Потребление (МВт·ч)'!C82:I82),"")</s:f>
        <s:v>0.954706482426041</s:v>
      </s:c>
    </s:row>
    <s:row r="83">
      <s:c r="A83" s="5" t="n">
        <s:v>46269</s:v>
      </s:c>
      <s:c r="B83" s="2" t="n">
        <s:v>6</s:v>
      </s:c>
      <s:c r="C83" s="6" t="n">
        <s:v>1817.91052</s:v>
      </s:c>
      <s:c r="D83" s="6" t="n">
        <s:v>2173.883</s:v>
      </s:c>
      <s:c r="E83" s="6" t="n">
        <s:v>1998.35022</s:v>
      </s:c>
      <s:c r="F83" s="6" t="n">
        <s:v>2419.37427</s:v>
      </s:c>
      <s:c r="G83" s="6" t="n">
        <s:v>2266.57983</s:v>
      </s:c>
      <s:c r="H83" s="6" t="n">
        <s:v>1238.21484</s:v>
      </s:c>
      <s:c r="I83" s="6" t="n"/>
      <s:c r="J83" s="6" t="str">
        <s:f>IF(AND(COUNT(C83:I83)=7,COUNT('Потребление (МВт·ч)'!C83:I83)=7,SUM('Потребление (МВт·ч)'!C83:I83)&gt;0),SUMPRODUCT(C83:I83,'Потребление (МВт·ч)'!C83:I83)/SUM('Потребление (МВт·ч)'!C83:I83),"")</s:f>
      </s:c>
      <s:c r="K83" s="6" t="n">
        <s:f>IF(SUMIF(C83:I83,"&lt;&gt;",'Потребление (МВт·ч)'!C83:I83)&gt;0,SUMPRODUCT(C83:I83,'Потребление (МВт·ч)'!C83:I83)/SUMIF(C83:I83,"&lt;&gt;",'Потребление (МВт·ч)'!C83:I83),"")</s:f>
        <s:v>1967.3896868250297</s:v>
      </s:c>
      <s:c r="L83" s="6" t="n">
        <s:f>IF(COUNT(C83:I83)&gt;0,AVERAGE(C83:I83),"")</s:f>
        <s:v>1985.7187800000002</s:v>
      </s:c>
      <s:c r="M83" s="10" t="n">
        <s:f>COUNT(C83:I83)</s:f>
        <s:v>6</s:v>
      </s:c>
      <s:c r="N83" s="11" t="n">
        <s:f>IF(AND(COUNT('Потребление (МВт·ч)'!C83:I83)=7,SUM('Потребление (МВт·ч)'!C83:I83)&gt;0),SUMIF(C83:I83,"&lt;&gt;",'Потребление (МВт·ч)'!C83:I83)/SUM('Потребление (МВт·ч)'!C83:I83),"")</s:f>
        <s:v>0.9573222713410615</s:v>
      </s:c>
    </s:row>
    <s:row r="84">
      <s:c r="A84" s="5" t="n">
        <s:v>46269</s:v>
      </s:c>
      <s:c r="B84" s="2" t="n">
        <s:v>7</s:v>
      </s:c>
      <s:c r="C84" s="6" t="n">
        <s:v>2062.76416</s:v>
      </s:c>
      <s:c r="D84" s="6" t="n">
        <s:v>2520.092</s:v>
      </s:c>
      <s:c r="E84" s="6" t="n">
        <s:v>2593.16748</s:v>
      </s:c>
      <s:c r="F84" s="6" t="n">
        <s:v>2636.06543</s:v>
      </s:c>
      <s:c r="G84" s="6" t="n">
        <s:v>2286.34521</s:v>
      </s:c>
      <s:c r="H84" s="6" t="n">
        <s:v>1199.00452</s:v>
      </s:c>
      <s:c r="I84" s="6" t="n"/>
      <s:c r="J84" s="6" t="str">
        <s:f>IF(AND(COUNT(C84:I84)=7,COUNT('Потребление (МВт·ч)'!C84:I84)=7,SUM('Потребление (МВт·ч)'!C84:I84)&gt;0),SUMPRODUCT(C84:I84,'Потребление (МВт·ч)'!C84:I84)/SUM('Потребление (МВт·ч)'!C84:I84),"")</s:f>
      </s:c>
      <s:c r="K84" s="6" t="n">
        <s:f>IF(SUMIF(C84:I84,"&lt;&gt;",'Потребление (МВт·ч)'!C84:I84)&gt;0,SUMPRODUCT(C84:I84,'Потребление (МВт·ч)'!C84:I84)/SUMIF(C84:I84,"&lt;&gt;",'Потребление (МВт·ч)'!C84:I84),"")</s:f>
        <s:v>2163.688983005218</s:v>
      </s:c>
      <s:c r="L84" s="6" t="n">
        <s:f>IF(COUNT(C84:I84)&gt;0,AVERAGE(C84:I84),"")</s:f>
        <s:v>2216.2398</s:v>
      </s:c>
      <s:c r="M84" s="10" t="n">
        <s:f>COUNT(C84:I84)</s:f>
        <s:v>6</s:v>
      </s:c>
      <s:c r="N84" s="11" t="n">
        <s:f>IF(AND(COUNT('Потребление (МВт·ч)'!C84:I84)=7,SUM('Потребление (МВт·ч)'!C84:I84)&gt;0),SUMIF(C84:I84,"&lt;&gt;",'Потребление (МВт·ч)'!C84:I84)/SUM('Потребление (МВт·ч)'!C84:I84),"")</s:f>
        <s:v>0.958246169022229</s:v>
      </s:c>
    </s:row>
    <s:row r="85">
      <s:c r="A85" s="5" t="n">
        <s:v>46269</s:v>
      </s:c>
      <s:c r="B85" s="2" t="n">
        <s:v>8</s:v>
      </s:c>
      <s:c r="C85" s="6" t="n">
        <s:v>2205.598</s:v>
      </s:c>
      <s:c r="D85" s="6" t="n">
        <s:v>2753.871</s:v>
      </s:c>
      <s:c r="E85" s="6" t="n">
        <s:v>2846.25049</s:v>
      </s:c>
      <s:c r="F85" s="6" t="n">
        <s:v>2756.61133</s:v>
      </s:c>
      <s:c r="G85" s="6" t="n">
        <s:v>2353.0625</s:v>
      </s:c>
      <s:c r="H85" s="6" t="n">
        <s:v>1229.14368</s:v>
      </s:c>
      <s:c r="I85" s="6" t="n"/>
      <s:c r="J85" s="6" t="str">
        <s:f>IF(AND(COUNT(C85:I85)=7,COUNT('Потребление (МВт·ч)'!C85:I85)=7,SUM('Потребление (МВт·ч)'!C85:I85)&gt;0),SUMPRODUCT(C85:I85,'Потребление (МВт·ч)'!C85:I85)/SUM('Потребление (МВт·ч)'!C85:I85),"")</s:f>
      </s:c>
      <s:c r="K85" s="6" t="n">
        <s:f>IF(SUMIF(C85:I85,"&lt;&gt;",'Потребление (МВт·ч)'!C85:I85)&gt;0,SUMPRODUCT(C85:I85,'Потребление (МВт·ч)'!C85:I85)/SUMIF(C85:I85,"&lt;&gt;",'Потребление (МВт·ч)'!C85:I85),"")</s:f>
        <s:v>2305.028662208888</s:v>
      </s:c>
      <s:c r="L85" s="6" t="n">
        <s:f>IF(COUNT(C85:I85)&gt;0,AVERAGE(C85:I85),"")</s:f>
        <s:v>2357.422833333333</s:v>
      </s:c>
      <s:c r="M85" s="10" t="n">
        <s:f>COUNT(C85:I85)</s:f>
        <s:v>6</s:v>
      </s:c>
      <s:c r="N85" s="11" t="n">
        <s:f>IF(AND(COUNT('Потребление (МВт·ч)'!C85:I85)=7,SUM('Потребление (МВт·ч)'!C85:I85)&gt;0),SUMIF(C85:I85,"&lt;&gt;",'Потребление (МВт·ч)'!C85:I85)/SUM('Потребление (МВт·ч)'!C85:I85),"")</s:f>
        <s:v>0.9606160309164157</s:v>
      </s:c>
    </s:row>
    <s:row r="86">
      <s:c r="A86" s="5" t="n">
        <s:v>46269</s:v>
      </s:c>
      <s:c r="B86" s="2" t="n">
        <s:v>9</s:v>
      </s:c>
      <s:c r="C86" s="6" t="n">
        <s:v>2336.66748</s:v>
      </s:c>
      <s:c r="D86" s="6" t="n">
        <s:v>2822.369</s:v>
      </s:c>
      <s:c r="E86" s="6" t="n">
        <s:v>2895.93384</s:v>
      </s:c>
      <s:c r="F86" s="6" t="n">
        <s:v>2762.46851</s:v>
      </s:c>
      <s:c r="G86" s="6" t="n">
        <s:v>2280.964</s:v>
      </s:c>
      <s:c r="H86" s="6" t="n">
        <s:v>1117.81079</s:v>
      </s:c>
      <s:c r="I86" s="6" t="n"/>
      <s:c r="J86" s="6" t="str">
        <s:f>IF(AND(COUNT(C86:I86)=7,COUNT('Потребление (МВт·ч)'!C86:I86)=7,SUM('Потребление (МВт·ч)'!C86:I86)&gt;0),SUMPRODUCT(C86:I86,'Потребление (МВт·ч)'!C86:I86)/SUM('Потребление (МВт·ч)'!C86:I86),"")</s:f>
      </s:c>
      <s:c r="K86" s="6" t="n">
        <s:f>IF(SUMIF(C86:I86,"&lt;&gt;",'Потребление (МВт·ч)'!C86:I86)&gt;0,SUMPRODUCT(C86:I86,'Потребление (МВт·ч)'!C86:I86)/SUMIF(C86:I86,"&lt;&gt;",'Потребление (МВт·ч)'!C86:I86),"")</s:f>
        <s:v>2307.5386405558543</s:v>
      </s:c>
      <s:c r="L86" s="6" t="n">
        <s:f>IF(COUNT(C86:I86)&gt;0,AVERAGE(C86:I86),"")</s:f>
        <s:v>2369.3689366666667</s:v>
      </s:c>
      <s:c r="M86" s="10" t="n">
        <s:f>COUNT(C86:I86)</s:f>
        <s:v>6</s:v>
      </s:c>
      <s:c r="N86" s="11" t="n">
        <s:f>IF(AND(COUNT('Потребление (МВт·ч)'!C86:I86)=7,SUM('Потребление (МВт·ч)'!C86:I86)&gt;0),SUMIF(C86:I86,"&lt;&gt;",'Потребление (МВт·ч)'!C86:I86)/SUM('Потребление (МВт·ч)'!C86:I86),"")</s:f>
        <s:v>0.9614553576486392</s:v>
      </s:c>
    </s:row>
    <s:row r="87">
      <s:c r="A87" s="5" t="n">
        <s:v>46269</s:v>
      </s:c>
      <s:c r="B87" s="2" t="n">
        <s:v>10</s:v>
      </s:c>
      <s:c r="C87" s="6" t="n">
        <s:v>2302.915</s:v>
      </s:c>
      <s:c r="D87" s="6" t="n">
        <s:v>2742.605</s:v>
      </s:c>
      <s:c r="E87" s="6" t="n">
        <s:v>2891.87158</s:v>
      </s:c>
      <s:c r="F87" s="6" t="n">
        <s:v>2672.663</s:v>
      </s:c>
      <s:c r="G87" s="6" t="n">
        <s:v>2236.3125</s:v>
      </s:c>
      <s:c r="H87" s="6" t="n">
        <s:v>1374.07935</s:v>
      </s:c>
      <s:c r="I87" s="6" t="n"/>
      <s:c r="J87" s="6" t="str">
        <s:f>IF(AND(COUNT(C87:I87)=7,COUNT('Потребление (МВт·ч)'!C87:I87)=7,SUM('Потребление (МВт·ч)'!C87:I87)&gt;0),SUMPRODUCT(C87:I87,'Потребление (МВт·ч)'!C87:I87)/SUM('Потребление (МВт·ч)'!C87:I87),"")</s:f>
      </s:c>
      <s:c r="K87" s="6" t="n">
        <s:f>IF(SUMIF(C87:I87,"&lt;&gt;",'Потребление (МВт·ч)'!C87:I87)&gt;0,SUMPRODUCT(C87:I87,'Потребление (МВт·ч)'!C87:I87)/SUMIF(C87:I87,"&lt;&gt;",'Потребление (МВт·ч)'!C87:I87),"")</s:f>
        <s:v>2314.85337530189</s:v>
      </s:c>
      <s:c r="L87" s="6" t="n">
        <s:f>IF(COUNT(C87:I87)&gt;0,AVERAGE(C87:I87),"")</s:f>
        <s:v>2370.074405</s:v>
      </s:c>
      <s:c r="M87" s="10" t="n">
        <s:f>COUNT(C87:I87)</s:f>
        <s:v>6</s:v>
      </s:c>
      <s:c r="N87" s="11" t="n">
        <s:f>IF(AND(COUNT('Потребление (МВт·ч)'!C87:I87)=7,SUM('Потребление (МВт·ч)'!C87:I87)&gt;0),SUMIF(C87:I87,"&lt;&gt;",'Потребление (МВт·ч)'!C87:I87)/SUM('Потребление (МВт·ч)'!C87:I87),"")</s:f>
        <s:v>0.960813768484643</s:v>
      </s:c>
    </s:row>
    <s:row r="88">
      <s:c r="A88" s="5" t="n">
        <s:v>46269</s:v>
      </s:c>
      <s:c r="B88" s="2" t="n">
        <s:v>11</s:v>
      </s:c>
      <s:c r="C88" s="6" t="n">
        <s:v>1959.71338</s:v>
      </s:c>
      <s:c r="D88" s="6" t="n">
        <s:v>2709.42017</s:v>
      </s:c>
      <s:c r="E88" s="6" t="n">
        <s:v>2741.094</s:v>
      </s:c>
      <s:c r="F88" s="6" t="n">
        <s:v>2664.04517</s:v>
      </s:c>
      <s:c r="G88" s="6" t="n">
        <s:v>2224.03076</s:v>
      </s:c>
      <s:c r="H88" s="6" t="n">
        <s:v>1084.17871</s:v>
      </s:c>
      <s:c r="I88" s="6" t="n"/>
      <s:c r="J88" s="6" t="str">
        <s:f>IF(AND(COUNT(C88:I88)=7,COUNT('Потребление (МВт·ч)'!C88:I88)=7,SUM('Потребление (МВт·ч)'!C88:I88)&gt;0),SUMPRODUCT(C88:I88,'Потребление (МВт·ч)'!C88:I88)/SUM('Потребление (МВт·ч)'!C88:I88),"")</s:f>
      </s:c>
      <s:c r="K88" s="6" t="n">
        <s:f>IF(SUMIF(C88:I88,"&lt;&gt;",'Потребление (МВт·ч)'!C88:I88)&gt;0,SUMPRODUCT(C88:I88,'Потребление (МВт·ч)'!C88:I88)/SUMIF(C88:I88,"&lt;&gt;",'Потребление (МВт·ч)'!C88:I88),"")</s:f>
        <s:v>2198.683382364619</s:v>
      </s:c>
      <s:c r="L88" s="6" t="n">
        <s:f>IF(COUNT(C88:I88)&gt;0,AVERAGE(C88:I88),"")</s:f>
        <s:v>2230.4136983333333</s:v>
      </s:c>
      <s:c r="M88" s="10" t="n">
        <s:f>COUNT(C88:I88)</s:f>
        <s:v>6</s:v>
      </s:c>
      <s:c r="N88" s="11" t="n">
        <s:f>IF(AND(COUNT('Потребление (МВт·ч)'!C88:I88)=7,SUM('Потребление (МВт·ч)'!C88:I88)&gt;0),SUMIF(C88:I88,"&lt;&gt;",'Потребление (МВт·ч)'!C88:I88)/SUM('Потребление (МВт·ч)'!C88:I88),"")</s:f>
        <s:v>0.9601151416095431</s:v>
      </s:c>
    </s:row>
    <s:row r="89">
      <s:c r="A89" s="5" t="n">
        <s:v>46269</s:v>
      </s:c>
      <s:c r="B89" s="2" t="n">
        <s:v>12</s:v>
      </s:c>
      <s:c r="C89" s="6" t="n">
        <s:v>2223.29028</s:v>
      </s:c>
      <s:c r="D89" s="6" t="n">
        <s:v>2729.20361</s:v>
      </s:c>
      <s:c r="E89" s="6" t="n">
        <s:v>2905.13159</s:v>
      </s:c>
      <s:c r="F89" s="6" t="n">
        <s:v>2652.447</s:v>
      </s:c>
      <s:c r="G89" s="6" t="n">
        <s:v>2209.589</s:v>
      </s:c>
      <s:c r="H89" s="6" t="n">
        <s:v>1083.00635</s:v>
      </s:c>
      <s:c r="I89" s="6" t="n"/>
      <s:c r="J89" s="6" t="str">
        <s:f>IF(AND(COUNT(C89:I89)=7,COUNT('Потребление (МВт·ч)'!C89:I89)=7,SUM('Потребление (МВт·ч)'!C89:I89)&gt;0),SUMPRODUCT(C89:I89,'Потребление (МВт·ч)'!C89:I89)/SUM('Потребление (МВт·ч)'!C89:I89),"")</s:f>
      </s:c>
      <s:c r="K89" s="6" t="n">
        <s:f>IF(SUMIF(C89:I89,"&lt;&gt;",'Потребление (МВт·ч)'!C89:I89)&gt;0,SUMPRODUCT(C89:I89,'Потребление (МВт·ч)'!C89:I89)/SUMIF(C89:I89,"&lt;&gt;",'Потребление (МВт·ч)'!C89:I89),"")</s:f>
        <s:v>2244.6969379744623</s:v>
      </s:c>
      <s:c r="L89" s="6" t="n">
        <s:f>IF(COUNT(C89:I89)&gt;0,AVERAGE(C89:I89),"")</s:f>
        <s:v>2300.444638333333</s:v>
      </s:c>
      <s:c r="M89" s="10" t="n">
        <s:f>COUNT(C89:I89)</s:f>
        <s:v>6</s:v>
      </s:c>
      <s:c r="N89" s="11" t="n">
        <s:f>IF(AND(COUNT('Потребление (МВт·ч)'!C89:I89)=7,SUM('Потребление (МВт·ч)'!C89:I89)&gt;0),SUMIF(C89:I89,"&lt;&gt;",'Потребление (МВт·ч)'!C89:I89)/SUM('Потребление (МВт·ч)'!C89:I89),"")</s:f>
        <s:v>0.9600135931128229</s:v>
      </s:c>
    </s:row>
    <s:row r="90">
      <s:c r="A90" s="5" t="n">
        <s:v>46269</s:v>
      </s:c>
      <s:c r="B90" s="2" t="n">
        <s:v>13</s:v>
      </s:c>
      <s:c r="C90" s="6" t="n">
        <s:v>2342.47778</s:v>
      </s:c>
      <s:c r="D90" s="6" t="n">
        <s:v>2720.372</s:v>
      </s:c>
      <s:c r="E90" s="6" t="n">
        <s:v>2838.82178</s:v>
      </s:c>
      <s:c r="F90" s="6" t="n">
        <s:v>2667.55176</s:v>
      </s:c>
      <s:c r="G90" s="6" t="n">
        <s:v>2198.72974</s:v>
      </s:c>
      <s:c r="H90" s="6" t="n">
        <s:v>1022.51367</s:v>
      </s:c>
      <s:c r="I90" s="6" t="n"/>
      <s:c r="J90" s="6" t="str">
        <s:f>IF(AND(COUNT(C90:I90)=7,COUNT('Потребление (МВт·ч)'!C90:I90)=7,SUM('Потребление (МВт·ч)'!C90:I90)&gt;0),SUMPRODUCT(C90:I90,'Потребление (МВт·ч)'!C90:I90)/SUM('Потребление (МВт·ч)'!C90:I90),"")</s:f>
      </s:c>
      <s:c r="K90" s="6" t="n">
        <s:f>IF(SUMIF(C90:I90,"&lt;&gt;",'Потребление (МВт·ч)'!C90:I90)&gt;0,SUMPRODUCT(C90:I90,'Потребление (МВт·ч)'!C90:I90)/SUMIF(C90:I90,"&lt;&gt;",'Потребление (МВт·ч)'!C90:I90),"")</s:f>
        <s:v>2230.3588689597773</s:v>
      </s:c>
      <s:c r="L90" s="6" t="n">
        <s:f>IF(COUNT(C90:I90)&gt;0,AVERAGE(C90:I90),"")</s:f>
        <s:v>2298.411121666667</s:v>
      </s:c>
      <s:c r="M90" s="10" t="n">
        <s:f>COUNT(C90:I90)</s:f>
        <s:v>6</s:v>
      </s:c>
      <s:c r="N90" s="11" t="n">
        <s:f>IF(AND(COUNT('Потребление (МВт·ч)'!C90:I90)=7,SUM('Потребление (МВт·ч)'!C90:I90)&gt;0),SUMIF(C90:I90,"&lt;&gt;",'Потребление (МВт·ч)'!C90:I90)/SUM('Потребление (МВт·ч)'!C90:I90),"")</s:f>
        <s:v>0.9598191579542243</s:v>
      </s:c>
    </s:row>
    <s:row r="91">
      <s:c r="A91" s="5" t="n">
        <s:v>46269</s:v>
      </s:c>
      <s:c r="B91" s="2" t="n">
        <s:v>14</s:v>
      </s:c>
      <s:c r="C91" s="6" t="n">
        <s:v>2298.41431</s:v>
      </s:c>
      <s:c r="D91" s="6" t="n">
        <s:v>2736.358</s:v>
      </s:c>
      <s:c r="E91" s="6" t="n">
        <s:v>2819.627</s:v>
      </s:c>
      <s:c r="F91" s="6" t="n">
        <s:v>2657.23462</s:v>
      </s:c>
      <s:c r="G91" s="6" t="n">
        <s:v>2256.55713</s:v>
      </s:c>
      <s:c r="H91" s="6" t="n">
        <s:v>1157.6748</s:v>
      </s:c>
      <s:c r="I91" s="6" t="n"/>
      <s:c r="J91" s="6" t="str">
        <s:f>IF(AND(COUNT(C91:I91)=7,COUNT('Потребление (МВт·ч)'!C91:I91)=7,SUM('Потребление (МВт·ч)'!C91:I91)&gt;0),SUMPRODUCT(C91:I91,'Потребление (МВт·ч)'!C91:I91)/SUM('Потребление (МВт·ч)'!C91:I91),"")</s:f>
      </s:c>
      <s:c r="K91" s="6" t="n">
        <s:f>IF(SUMIF(C91:I91,"&lt;&gt;",'Потребление (МВт·ч)'!C91:I91)&gt;0,SUMPRODUCT(C91:I91,'Потребление (МВт·ч)'!C91:I91)/SUMIF(C91:I91,"&lt;&gt;",'Потребление (МВт·ч)'!C91:I91),"")</s:f>
        <s:v>2264.824345550154</s:v>
      </s:c>
      <s:c r="L91" s="6" t="n">
        <s:f>IF(COUNT(C91:I91)&gt;0,AVERAGE(C91:I91),"")</s:f>
        <s:v>2320.9776433333336</s:v>
      </s:c>
      <s:c r="M91" s="10" t="n">
        <s:f>COUNT(C91:I91)</s:f>
        <s:v>6</s:v>
      </s:c>
      <s:c r="N91" s="11" t="n">
        <s:f>IF(AND(COUNT('Потребление (МВт·ч)'!C91:I91)=7,SUM('Потребление (МВт·ч)'!C91:I91)&gt;0),SUMIF(C91:I91,"&lt;&gt;",'Потребление (МВт·ч)'!C91:I91)/SUM('Потребление (МВт·ч)'!C91:I91),"")</s:f>
        <s:v>0.9603307124908811</s:v>
      </s:c>
    </s:row>
    <s:row r="92">
      <s:c r="A92" s="5" t="n">
        <s:v>46269</s:v>
      </s:c>
      <s:c r="B92" s="2" t="n">
        <s:v>15</s:v>
      </s:c>
      <s:c r="C92" s="6" t="n">
        <s:v>2430.33228</s:v>
      </s:c>
      <s:c r="D92" s="6" t="n">
        <s:v>2789.6814</s:v>
      </s:c>
      <s:c r="E92" s="6" t="n">
        <s:v>2862.41</s:v>
      </s:c>
      <s:c r="F92" s="6" t="n">
        <s:v>2749.3855</s:v>
      </s:c>
      <s:c r="G92" s="6" t="n">
        <s:v>2316.96045</s:v>
      </s:c>
      <s:c r="H92" s="6" t="n">
        <s:v>1373.97864</s:v>
      </s:c>
      <s:c r="I92" s="6" t="n"/>
      <s:c r="J92" s="6" t="str">
        <s:f>IF(AND(COUNT(C92:I92)=7,COUNT('Потребление (МВт·ч)'!C92:I92)=7,SUM('Потребление (МВт·ч)'!C92:I92)&gt;0),SUMPRODUCT(C92:I92,'Потребление (МВт·ч)'!C92:I92)/SUM('Потребление (МВт·ч)'!C92:I92),"")</s:f>
      </s:c>
      <s:c r="K92" s="6" t="n">
        <s:f>IF(SUMIF(C92:I92,"&lt;&gt;",'Потребление (МВт·ч)'!C92:I92)&gt;0,SUMPRODUCT(C92:I92,'Потребление (МВт·ч)'!C92:I92)/SUMIF(C92:I92,"&lt;&gt;",'Потребление (МВт·ч)'!C92:I92),"")</s:f>
        <s:v>2362.352597290718</s:v>
      </s:c>
      <s:c r="L92" s="6" t="n">
        <s:f>IF(COUNT(C92:I92)&gt;0,AVERAGE(C92:I92),"")</s:f>
        <s:v>2420.458045</s:v>
      </s:c>
      <s:c r="M92" s="10" t="n">
        <s:f>COUNT(C92:I92)</s:f>
        <s:v>6</s:v>
      </s:c>
      <s:c r="N92" s="11" t="n">
        <s:f>IF(AND(COUNT('Потребление (МВт·ч)'!C92:I92)=7,SUM('Потребление (МВт·ч)'!C92:I92)&gt;0),SUMIF(C92:I92,"&lt;&gt;",'Потребление (МВт·ч)'!C92:I92)/SUM('Потребление (МВт·ч)'!C92:I92),"")</s:f>
        <s:v>0.9619505706197734</s:v>
      </s:c>
    </s:row>
    <s:row r="93">
      <s:c r="A93" s="5" t="n">
        <s:v>46269</s:v>
      </s:c>
      <s:c r="B93" s="2" t="n">
        <s:v>16</s:v>
      </s:c>
      <s:c r="C93" s="6" t="n">
        <s:v>2313.01758</s:v>
      </s:c>
      <s:c r="D93" s="6" t="n">
        <s:v>2723.45972</s:v>
      </s:c>
      <s:c r="E93" s="6" t="n">
        <s:v>2912.05151</s:v>
      </s:c>
      <s:c r="F93" s="6" t="n">
        <s:v>2685.978</s:v>
      </s:c>
      <s:c r="G93" s="6" t="n">
        <s:v>2366.701</s:v>
      </s:c>
      <s:c r="H93" s="6" t="n">
        <s:v>1054.59363</s:v>
      </s:c>
      <s:c r="I93" s="6" t="n"/>
      <s:c r="J93" s="6" t="str">
        <s:f>IF(AND(COUNT(C93:I93)=7,COUNT('Потребление (МВт·ч)'!C93:I93)=7,SUM('Потребление (МВт·ч)'!C93:I93)&gt;0),SUMPRODUCT(C93:I93,'Потребление (МВт·ч)'!C93:I93)/SUM('Потребление (МВт·ч)'!C93:I93),"")</s:f>
      </s:c>
      <s:c r="K93" s="6" t="n">
        <s:f>IF(SUMIF(C93:I93,"&lt;&gt;",'Потребление (МВт·ч)'!C93:I93)&gt;0,SUMPRODUCT(C93:I93,'Потребление (МВт·ч)'!C93:I93)/SUMIF(C93:I93,"&lt;&gt;",'Потребление (МВт·ч)'!C93:I93),"")</s:f>
        <s:v>2273.1454843638717</s:v>
      </s:c>
      <s:c r="L93" s="6" t="n">
        <s:f>IF(COUNT(C93:I93)&gt;0,AVERAGE(C93:I93),"")</s:f>
        <s:v>2342.633573333333</s:v>
      </s:c>
      <s:c r="M93" s="10" t="n">
        <s:f>COUNT(C93:I93)</s:f>
        <s:v>6</s:v>
      </s:c>
      <s:c r="N93" s="11" t="n">
        <s:f>IF(AND(COUNT('Потребление (МВт·ч)'!C93:I93)=7,SUM('Потребление (МВт·ч)'!C93:I93)&gt;0),SUMIF(C93:I93,"&lt;&gt;",'Потребление (МВт·ч)'!C93:I93)/SUM('Потребление (МВт·ч)'!C93:I93),"")</s:f>
        <s:v>0.9624496215472329</s:v>
      </s:c>
    </s:row>
    <s:row r="94">
      <s:c r="A94" s="5" t="n">
        <s:v>46269</s:v>
      </s:c>
      <s:c r="B94" s="2" t="n">
        <s:v>17</s:v>
      </s:c>
      <s:c r="C94" s="6" t="n">
        <s:v>2495.05859</s:v>
      </s:c>
      <s:c r="D94" s="6" t="n">
        <s:v>2938.37158</s:v>
      </s:c>
      <s:c r="E94" s="6" t="n">
        <s:v>3089.986</s:v>
      </s:c>
      <s:c r="F94" s="6" t="n">
        <s:v>2752.52686</s:v>
      </s:c>
      <s:c r="G94" s="6" t="n">
        <s:v>2453.884</s:v>
      </s:c>
      <s:c r="H94" s="6" t="n">
        <s:v>1335.28906</s:v>
      </s:c>
      <s:c r="I94" s="6" t="n"/>
      <s:c r="J94" s="6" t="str">
        <s:f>IF(AND(COUNT(C94:I94)=7,COUNT('Потребление (МВт·ч)'!C94:I94)=7,SUM('Потребление (МВт·ч)'!C94:I94)&gt;0),SUMPRODUCT(C94:I94,'Потребление (МВт·ч)'!C94:I94)/SUM('Потребление (МВт·ч)'!C94:I94),"")</s:f>
      </s:c>
      <s:c r="K94" s="6" t="n">
        <s:f>IF(SUMIF(C94:I94,"&lt;&gt;",'Потребление (МВт·ч)'!C94:I94)&gt;0,SUMPRODUCT(C94:I94,'Потребление (МВт·ч)'!C94:I94)/SUMIF(C94:I94,"&lt;&gt;",'Потребление (МВт·ч)'!C94:I94),"")</s:f>
        <s:v>2446.183832437933</s:v>
      </s:c>
      <s:c r="L94" s="6" t="n">
        <s:f>IF(COUNT(C94:I94)&gt;0,AVERAGE(C94:I94),"")</s:f>
        <s:v>2510.8526816666667</s:v>
      </s:c>
      <s:c r="M94" s="10" t="n">
        <s:f>COUNT(C94:I94)</s:f>
        <s:v>6</s:v>
      </s:c>
      <s:c r="N94" s="11" t="n">
        <s:f>IF(AND(COUNT('Потребление (МВт·ч)'!C94:I94)=7,SUM('Потребление (МВт·ч)'!C94:I94)&gt;0),SUMIF(C94:I94,"&lt;&gt;",'Потребление (МВт·ч)'!C94:I94)/SUM('Потребление (МВт·ч)'!C94:I94),"")</s:f>
        <s:v>0.9634682481420689</s:v>
      </s:c>
    </s:row>
    <s:row r="95">
      <s:c r="A95" s="5" t="n">
        <s:v>46269</s:v>
      </s:c>
      <s:c r="B95" s="2" t="n">
        <s:v>18</s:v>
      </s:c>
      <s:c r="C95" s="6" t="n">
        <s:v>2166.13477</s:v>
      </s:c>
      <s:c r="D95" s="6" t="n">
        <s:v>2850.38037</s:v>
      </s:c>
      <s:c r="E95" s="6" t="n">
        <s:v>3007.9353</s:v>
      </s:c>
      <s:c r="F95" s="6" t="n">
        <s:v>2691.55273</s:v>
      </s:c>
      <s:c r="G95" s="6" t="n">
        <s:v>2390.405</s:v>
      </s:c>
      <s:c r="H95" s="6" t="n">
        <s:v>1573.42334</s:v>
      </s:c>
      <s:c r="I95" s="6" t="n"/>
      <s:c r="J95" s="6" t="str">
        <s:f>IF(AND(COUNT(C95:I95)=7,COUNT('Потребление (МВт·ч)'!C95:I95)=7,SUM('Потребление (МВт·ч)'!C95:I95)&gt;0),SUMPRODUCT(C95:I95,'Потребление (МВт·ч)'!C95:I95)/SUM('Потребление (МВт·ч)'!C95:I95),"")</s:f>
      </s:c>
      <s:c r="K95" s="6" t="n">
        <s:f>IF(SUMIF(C95:I95,"&lt;&gt;",'Потребление (МВт·ч)'!C95:I95)&gt;0,SUMPRODUCT(C95:I95,'Потребление (МВт·ч)'!C95:I95)/SUMIF(C95:I95,"&lt;&gt;",'Потребление (МВт·ч)'!C95:I95),"")</s:f>
        <s:v>2420.7202263290606</s:v>
      </s:c>
      <s:c r="L95" s="6" t="n">
        <s:f>IF(COUNT(C95:I95)&gt;0,AVERAGE(C95:I95),"")</s:f>
        <s:v>2446.638585</s:v>
      </s:c>
      <s:c r="M95" s="10" t="n">
        <s:f>COUNT(C95:I95)</s:f>
        <s:v>6</s:v>
      </s:c>
      <s:c r="N95" s="11" t="n">
        <s:f>IF(AND(COUNT('Потребление (МВт·ч)'!C95:I95)=7,SUM('Потребление (МВт·ч)'!C95:I95)&gt;0),SUMIF(C95:I95,"&lt;&gt;",'Потребление (МВт·ч)'!C95:I95)/SUM('Потребление (МВт·ч)'!C95:I95),"")</s:f>
        <s:v>0.9640048896524382</s:v>
      </s:c>
    </s:row>
    <s:row r="96">
      <s:c r="A96" s="5" t="n">
        <s:v>46269</s:v>
      </s:c>
      <s:c r="B96" s="2" t="n">
        <s:v>19</s:v>
      </s:c>
      <s:c r="C96" s="6" t="n">
        <s:v>2241.44727</s:v>
      </s:c>
      <s:c r="D96" s="6" t="n">
        <s:v>3011.71753</s:v>
      </s:c>
      <s:c r="E96" s="6" t="n">
        <s:v>2989.2583</s:v>
      </s:c>
      <s:c r="F96" s="6" t="n">
        <s:v>2771.47729</s:v>
      </s:c>
      <s:c r="G96" s="6" t="n">
        <s:v>2352.915</s:v>
      </s:c>
      <s:c r="H96" s="6" t="n">
        <s:v>1719.74243</s:v>
      </s:c>
      <s:c r="I96" s="6" t="n"/>
      <s:c r="J96" s="6" t="str">
        <s:f>IF(AND(COUNT(C96:I96)=7,COUNT('Потребление (МВт·ч)'!C96:I96)=7,SUM('Потребление (МВт·ч)'!C96:I96)&gt;0),SUMPRODUCT(C96:I96,'Потребление (МВт·ч)'!C96:I96)/SUM('Потребление (МВт·ч)'!C96:I96),"")</s:f>
      </s:c>
      <s:c r="K96" s="6" t="n">
        <s:f>IF(SUMIF(C96:I96,"&lt;&gt;",'Потребление (МВт·ч)'!C96:I96)&gt;0,SUMPRODUCT(C96:I96,'Потребление (МВт·ч)'!C96:I96)/SUMIF(C96:I96,"&lt;&gt;",'Потребление (МВт·ч)'!C96:I96),"")</s:f>
        <s:v>2505.042928622081</s:v>
      </s:c>
      <s:c r="L96" s="6" t="n">
        <s:f>IF(COUNT(C96:I96)&gt;0,AVERAGE(C96:I96),"")</s:f>
        <s:v>2514.426303333333</s:v>
      </s:c>
      <s:c r="M96" s="10" t="n">
        <s:f>COUNT(C96:I96)</s:f>
        <s:v>6</s:v>
      </s:c>
      <s:c r="N96" s="11" t="n">
        <s:f>IF(AND(COUNT('Потребление (МВт·ч)'!C96:I96)=7,SUM('Потребление (МВт·ч)'!C96:I96)&gt;0),SUMIF(C96:I96,"&lt;&gt;",'Потребление (МВт·ч)'!C96:I96)/SUM('Потребление (МВт·ч)'!C96:I96),"")</s:f>
        <s:v>0.9657093586257213</s:v>
      </s:c>
    </s:row>
    <s:row r="97">
      <s:c r="A97" s="5" t="n">
        <s:v>46269</s:v>
      </s:c>
      <s:c r="B97" s="2" t="n">
        <s:v>20</s:v>
      </s:c>
      <s:c r="C97" s="6" t="n">
        <s:v>2448.66064</s:v>
      </s:c>
      <s:c r="D97" s="6" t="n">
        <s:v>2831.39575</s:v>
      </s:c>
      <s:c r="E97" s="6" t="n">
        <s:v>2786.4458</s:v>
      </s:c>
      <s:c r="F97" s="6" t="n">
        <s:v>2604.365</s:v>
      </s:c>
      <s:c r="G97" s="6" t="n">
        <s:v>2229.8667</s:v>
      </s:c>
      <s:c r="H97" s="6" t="n">
        <s:v>1795.93225</s:v>
      </s:c>
      <s:c r="I97" s="6" t="n"/>
      <s:c r="J97" s="6" t="str">
        <s:f>IF(AND(COUNT(C97:I97)=7,COUNT('Потребление (МВт·ч)'!C97:I97)=7,SUM('Потребление (МВт·ч)'!C97:I97)&gt;0),SUMPRODUCT(C97:I97,'Потребление (МВт·ч)'!C97:I97)/SUM('Потребление (МВт·ч)'!C97:I97),"")</s:f>
      </s:c>
      <s:c r="K97" s="6" t="n">
        <s:f>IF(SUMIF(C97:I97,"&lt;&gt;",'Потребление (МВт·ч)'!C97:I97)&gt;0,SUMPRODUCT(C97:I97,'Потребление (МВт·ч)'!C97:I97)/SUMIF(C97:I97,"&lt;&gt;",'Потребление (МВт·ч)'!C97:I97),"")</s:f>
        <s:v>2423.763816566866</s:v>
      </s:c>
      <s:c r="L97" s="6" t="n">
        <s:f>IF(COUNT(C97:I97)&gt;0,AVERAGE(C97:I97),"")</s:f>
        <s:v>2449.4443566666664</s:v>
      </s:c>
      <s:c r="M97" s="10" t="n">
        <s:f>COUNT(C97:I97)</s:f>
        <s:v>6</s:v>
      </s:c>
      <s:c r="N97" s="11" t="n">
        <s:f>IF(AND(COUNT('Потребление (МВт·ч)'!C97:I97)=7,SUM('Потребление (МВт·ч)'!C97:I97)&gt;0),SUMIF(C97:I97,"&lt;&gt;",'Потребление (МВт·ч)'!C97:I97)/SUM('Потребление (МВт·ч)'!C97:I97),"")</s:f>
        <s:v>0.9645243735724415</s:v>
      </s:c>
    </s:row>
    <s:row r="98">
      <s:c r="A98" s="5" t="n">
        <s:v>46269</s:v>
      </s:c>
      <s:c r="B98" s="2" t="n">
        <s:v>21</s:v>
      </s:c>
      <s:c r="C98" s="6" t="n">
        <s:v>1918.25269</s:v>
      </s:c>
      <s:c r="D98" s="6" t="n">
        <s:v>2580.26929</s:v>
      </s:c>
      <s:c r="E98" s="6" t="n">
        <s:v>2492.70581</s:v>
      </s:c>
      <s:c r="F98" s="6" t="n">
        <s:v>2573.33618</s:v>
      </s:c>
      <s:c r="G98" s="6" t="n">
        <s:v>2188.72168</s:v>
      </s:c>
      <s:c r="H98" s="6" t="n">
        <s:v>1816.844</s:v>
      </s:c>
      <s:c r="I98" s="6" t="n"/>
      <s:c r="J98" s="6" t="str">
        <s:f>IF(AND(COUNT(C98:I98)=7,COUNT('Потребление (МВт·ч)'!C98:I98)=7,SUM('Потребление (МВт·ч)'!C98:I98)&gt;0),SUMPRODUCT(C98:I98,'Потребление (МВт·ч)'!C98:I98)/SUM('Потребление (МВт·ч)'!C98:I98),"")</s:f>
      </s:c>
      <s:c r="K98" s="6" t="n">
        <s:f>IF(SUMIF(C98:I98,"&lt;&gt;",'Потребление (МВт·ч)'!C98:I98)&gt;0,SUMPRODUCT(C98:I98,'Потребление (МВт·ч)'!C98:I98)/SUMIF(C98:I98,"&lt;&gt;",'Потребление (МВт·ч)'!C98:I98),"")</s:f>
        <s:v>2262.403987611551</s:v>
      </s:c>
      <s:c r="L98" s="6" t="n">
        <s:f>IF(COUNT(C98:I98)&gt;0,AVERAGE(C98:I98),"")</s:f>
        <s:v>2261.6882750000004</s:v>
      </s:c>
      <s:c r="M98" s="10" t="n">
        <s:f>COUNT(C98:I98)</s:f>
        <s:v>6</s:v>
      </s:c>
      <s:c r="N98" s="11" t="n">
        <s:f>IF(AND(COUNT('Потребление (МВт·ч)'!C98:I98)=7,SUM('Потребление (МВт·ч)'!C98:I98)&gt;0),SUMIF(C98:I98,"&lt;&gt;",'Потребление (МВт·ч)'!C98:I98)/SUM('Потребление (МВт·ч)'!C98:I98),"")</s:f>
        <s:v>0.9633921792779664</s:v>
      </s:c>
    </s:row>
    <s:row r="99">
      <s:c r="A99" s="5" t="n">
        <s:v>46269</s:v>
      </s:c>
      <s:c r="B99" s="2" t="n">
        <s:v>22</s:v>
      </s:c>
      <s:c r="C99" s="6" t="n">
        <s:v>1661.96692</s:v>
      </s:c>
      <s:c r="D99" s="6" t="n">
        <s:v>1950.287</s:v>
      </s:c>
      <s:c r="E99" s="6" t="n">
        <s:v>1916.32861</s:v>
      </s:c>
      <s:c r="F99" s="6" t="n">
        <s:v>1896.5957</s:v>
      </s:c>
      <s:c r="G99" s="6" t="n">
        <s:v>1694.513</s:v>
      </s:c>
      <s:c r="H99" s="6" t="n">
        <s:v>1540.70325</s:v>
      </s:c>
      <s:c r="I99" s="6" t="n"/>
      <s:c r="J99" s="6" t="str">
        <s:f>IF(AND(COUNT(C99:I99)=7,COUNT('Потребление (МВт·ч)'!C99:I99)=7,SUM('Потребление (МВт·ч)'!C99:I99)&gt;0),SUMPRODUCT(C99:I99,'Потребление (МВт·ч)'!C99:I99)/SUM('Потребление (МВт·ч)'!C99:I99),"")</s:f>
      </s:c>
      <s:c r="K99" s="6" t="n">
        <s:f>IF(SUMIF(C99:I99,"&lt;&gt;",'Потребление (МВт·ч)'!C99:I99)&gt;0,SUMPRODUCT(C99:I99,'Потребление (МВт·ч)'!C99:I99)/SUMIF(C99:I99,"&lt;&gt;",'Потребление (МВт·ч)'!C99:I99),"")</s:f>
        <s:v>1768.7185576699258</s:v>
      </s:c>
      <s:c r="L99" s="6" t="n">
        <s:f>IF(COUNT(C99:I99)&gt;0,AVERAGE(C99:I99),"")</s:f>
        <s:v>1776.7324133333334</s:v>
      </s:c>
      <s:c r="M99" s="10" t="n">
        <s:f>COUNT(C99:I99)</s:f>
        <s:v>6</s:v>
      </s:c>
      <s:c r="N99" s="11" t="n">
        <s:f>IF(AND(COUNT('Потребление (МВт·ч)'!C99:I99)=7,SUM('Потребление (МВт·ч)'!C99:I99)&gt;0),SUMIF(C99:I99,"&lt;&gt;",'Потребление (МВт·ч)'!C99:I99)/SUM('Потребление (МВт·ч)'!C99:I99),"")</s:f>
        <s:v>0.9621441660467732</s:v>
      </s:c>
    </s:row>
    <s:row r="100">
      <s:c r="A100" s="5" t="n">
        <s:v>46269</s:v>
      </s:c>
      <s:c r="B100" s="2" t="n">
        <s:v>23</s:v>
      </s:c>
      <s:c r="C100" s="6" t="n">
        <s:v>1479.86047</s:v>
      </s:c>
      <s:c r="D100" s="6" t="n">
        <s:v>1821.05493</s:v>
      </s:c>
      <s:c r="E100" s="6" t="n">
        <s:v>1745.46753</s:v>
      </s:c>
      <s:c r="F100" s="6" t="n">
        <s:v>1829.16333</s:v>
      </s:c>
      <s:c r="G100" s="6" t="n">
        <s:v>1674.859</s:v>
      </s:c>
      <s:c r="H100" s="6" t="n">
        <s:v>1608.42017</s:v>
      </s:c>
      <s:c r="I100" s="6" t="n"/>
      <s:c r="J100" s="6" t="str">
        <s:f>IF(AND(COUNT(C100:I100)=7,COUNT('Потребление (МВт·ч)'!C100:I100)=7,SUM('Потребление (МВт·ч)'!C100:I100)&gt;0),SUMPRODUCT(C100:I100,'Потребление (МВт·ч)'!C100:I100)/SUM('Потребление (МВт·ч)'!C100:I100),"")</s:f>
      </s:c>
      <s:c r="K100" s="6" t="n">
        <s:f>IF(SUMIF(C100:I100,"&lt;&gt;",'Потребление (МВт·ч)'!C100:I100)&gt;0,SUMPRODUCT(C100:I100,'Потребление (МВт·ч)'!C100:I100)/SUMIF(C100:I100,"&lt;&gt;",'Потребление (МВт·ч)'!C100:I100),"")</s:f>
        <s:v>1701.6571585556721</s:v>
      </s:c>
      <s:c r="L100" s="6" t="n">
        <s:f>IF(COUNT(C100:I100)&gt;0,AVERAGE(C100:I100),"")</s:f>
        <s:v>1693.1375716666664</s:v>
      </s:c>
      <s:c r="M100" s="10" t="n">
        <s:f>COUNT(C100:I100)</s:f>
        <s:v>6</s:v>
      </s:c>
      <s:c r="N100" s="11" t="n">
        <s:f>IF(AND(COUNT('Потребление (МВт·ч)'!C100:I100)=7,SUM('Потребление (МВт·ч)'!C100:I100)&gt;0),SUMIF(C100:I100,"&lt;&gt;",'Потребление (МВт·ч)'!C100:I100)/SUM('Потребление (МВт·ч)'!C100:I100),"")</s:f>
        <s:v>0.9591765789127534</s:v>
      </s:c>
    </s:row>
    <s:row r="101">
      <s:c r="A101" s="5" t="n">
        <s:v>46270</s:v>
      </s:c>
      <s:c r="B101" s="2" t="n">
        <s:v>0</s:v>
      </s:c>
      <s:c r="C101" s="6" t="n">
        <s:v>1671.62781</s:v>
      </s:c>
      <s:c r="D101" s="6" t="n">
        <s:v>1843.13464</s:v>
      </s:c>
      <s:c r="E101" s="6" t="n">
        <s:v>1746.27576</s:v>
      </s:c>
      <s:c r="F101" s="6" t="n">
        <s:v>1877.04822</s:v>
      </s:c>
      <s:c r="G101" s="6" t="n">
        <s:v>1735.2959</s:v>
      </s:c>
      <s:c r="H101" s="6" t="n">
        <s:v>1465.51917</s:v>
      </s:c>
      <s:c r="I101" s="6" t="n"/>
      <s:c r="J101" s="6" t="str">
        <s:f>IF(AND(COUNT(C101:I101)=7,COUNT('Потребление (МВт·ч)'!C101:I101)=7,SUM('Потребление (МВт·ч)'!C101:I101)&gt;0),SUMPRODUCT(C101:I101,'Потребление (МВт·ч)'!C101:I101)/SUM('Потребление (МВт·ч)'!C101:I101),"")</s:f>
      </s:c>
      <s:c r="K101" s="6" t="n">
        <s:f>IF(SUMIF(C101:I101,"&lt;&gt;",'Потребление (МВт·ч)'!C101:I101)&gt;0,SUMPRODUCT(C101:I101,'Потребление (МВт·ч)'!C101:I101)/SUMIF(C101:I101,"&lt;&gt;",'Потребление (МВт·ч)'!C101:I101),"")</s:f>
        <s:v>1711.0254003110088</s:v>
      </s:c>
      <s:c r="L101" s="6" t="n">
        <s:f>IF(COUNT(C101:I101)&gt;0,AVERAGE(C101:I101),"")</s:f>
        <s:v>1723.15025</s:v>
      </s:c>
      <s:c r="M101" s="10" t="n">
        <s:f>COUNT(C101:I101)</s:f>
        <s:v>6</s:v>
      </s:c>
      <s:c r="N101" s="11" t="n">
        <s:f>IF(AND(COUNT('Потребление (МВт·ч)'!C101:I101)=7,SUM('Потребление (МВт·ч)'!C101:I101)&gt;0),SUMIF(C101:I101,"&lt;&gt;",'Потребление (МВт·ч)'!C101:I101)/SUM('Потребление (МВт·ч)'!C101:I101),"")</s:f>
        <s:v>0.9556712218263533</s:v>
      </s:c>
    </s:row>
    <s:row r="102">
      <s:c r="A102" s="5" t="n">
        <s:v>46270</s:v>
      </s:c>
      <s:c r="B102" s="2" t="n">
        <s:v>1</s:v>
      </s:c>
      <s:c r="C102" s="6" t="n">
        <s:v>1529.71179</s:v>
      </s:c>
      <s:c r="D102" s="6" t="n">
        <s:v>1723.77417</s:v>
      </s:c>
      <s:c r="E102" s="6" t="n">
        <s:v>1666.36047</s:v>
      </s:c>
      <s:c r="F102" s="6" t="n">
        <s:v>1799.95386</s:v>
      </s:c>
      <s:c r="G102" s="6" t="n">
        <s:v>1687.8147</s:v>
      </s:c>
      <s:c r="H102" s="6" t="n">
        <s:v>1472.80212</s:v>
      </s:c>
      <s:c r="I102" s="6" t="n"/>
      <s:c r="J102" s="6" t="str">
        <s:f>IF(AND(COUNT(C102:I102)=7,COUNT('Потребление (МВт·ч)'!C102:I102)=7,SUM('Потребление (МВт·ч)'!C102:I102)&gt;0),SUMPRODUCT(C102:I102,'Потребление (МВт·ч)'!C102:I102)/SUM('Потребление (МВт·ч)'!C102:I102),"")</s:f>
      </s:c>
      <s:c r="K102" s="6" t="n">
        <s:f>IF(SUMIF(C102:I102,"&lt;&gt;",'Потребление (МВт·ч)'!C102:I102)&gt;0,SUMPRODUCT(C102:I102,'Потребление (МВт·ч)'!C102:I102)/SUMIF(C102:I102,"&lt;&gt;",'Потребление (МВт·ч)'!C102:I102),"")</s:f>
        <s:v>1641.8524790179656</s:v>
      </s:c>
      <s:c r="L102" s="6" t="n">
        <s:f>IF(COUNT(C102:I102)&gt;0,AVERAGE(C102:I102),"")</s:f>
        <s:v>1646.7361849999998</s:v>
      </s:c>
      <s:c r="M102" s="10" t="n">
        <s:f>COUNT(C102:I102)</s:f>
        <s:v>6</s:v>
      </s:c>
      <s:c r="N102" s="11" t="n">
        <s:f>IF(AND(COUNT('Потребление (МВт·ч)'!C102:I102)=7,SUM('Потребление (МВт·ч)'!C102:I102)&gt;0),SUMIF(C102:I102,"&lt;&gt;",'Потребление (МВт·ч)'!C102:I102)/SUM('Потребление (МВт·ч)'!C102:I102),"")</s:f>
        <s:v>0.9526909342129589</s:v>
      </s:c>
    </s:row>
    <s:row r="103">
      <s:c r="A103" s="5" t="n">
        <s:v>46270</s:v>
      </s:c>
      <s:c r="B103" s="2" t="n">
        <s:v>2</s:v>
      </s:c>
      <s:c r="C103" s="6" t="n">
        <s:v>1464.21167</s:v>
      </s:c>
      <s:c r="D103" s="6" t="n">
        <s:v>1655.75879</s:v>
      </s:c>
      <s:c r="E103" s="6" t="n">
        <s:v>1608.31848</s:v>
      </s:c>
      <s:c r="F103" s="6" t="n">
        <s:v>1716.77368</s:v>
      </s:c>
      <s:c r="G103" s="6" t="n">
        <s:v>1672.20093</s:v>
      </s:c>
      <s:c r="H103" s="6" t="n">
        <s:v>1535.048</s:v>
      </s:c>
      <s:c r="I103" s="6" t="n"/>
      <s:c r="J103" s="6" t="str">
        <s:f>IF(AND(COUNT(C103:I103)=7,COUNT('Потребление (МВт·ч)'!C103:I103)=7,SUM('Потребление (МВт·ч)'!C103:I103)&gt;0),SUMPRODUCT(C103:I103,'Потребление (МВт·ч)'!C103:I103)/SUM('Потребление (МВт·ч)'!C103:I103),"")</s:f>
      </s:c>
      <s:c r="K103" s="6" t="n">
        <s:f>IF(SUMIF(C103:I103,"&lt;&gt;",'Потребление (МВт·ч)'!C103:I103)&gt;0,SUMPRODUCT(C103:I103,'Потребление (МВт·ч)'!C103:I103)/SUMIF(C103:I103,"&lt;&gt;",'Потребление (МВт·ч)'!C103:I103),"")</s:f>
        <s:v>1615.4285505904675</s:v>
      </s:c>
      <s:c r="L103" s="6" t="n">
        <s:f>IF(COUNT(C103:I103)&gt;0,AVERAGE(C103:I103),"")</s:f>
        <s:v>1608.7185916666667</s:v>
      </s:c>
      <s:c r="M103" s="10" t="n">
        <s:f>COUNT(C103:I103)</s:f>
        <s:v>6</s:v>
      </s:c>
      <s:c r="N103" s="11" t="n">
        <s:f>IF(AND(COUNT('Потребление (МВт·ч)'!C103:I103)=7,SUM('Потребление (МВт·ч)'!C103:I103)&gt;0),SUMIF(C103:I103,"&lt;&gt;",'Потребление (МВт·ч)'!C103:I103)/SUM('Потребление (МВт·ч)'!C103:I103),"")</s:f>
        <s:v>0.9502596766291034</s:v>
      </s:c>
    </s:row>
    <s:row r="104">
      <s:c r="A104" s="5" t="n">
        <s:v>46270</s:v>
      </s:c>
      <s:c r="B104" s="2" t="n">
        <s:v>3</s:v>
      </s:c>
      <s:c r="C104" s="6" t="n">
        <s:v>1487.84668</s:v>
      </s:c>
      <s:c r="D104" s="6" t="n">
        <s:v>1645.83545</s:v>
      </s:c>
      <s:c r="E104" s="6" t="n">
        <s:v>1585.41333</s:v>
      </s:c>
      <s:c r="F104" s="6" t="n">
        <s:v>1714.66455</s:v>
      </s:c>
      <s:c r="G104" s="6" t="n">
        <s:v>1689.16577</s:v>
      </s:c>
      <s:c r="H104" s="6" t="n">
        <s:v>1679.66321</s:v>
      </s:c>
      <s:c r="I104" s="6" t="n"/>
      <s:c r="J104" s="6" t="str">
        <s:f>IF(AND(COUNT(C104:I104)=7,COUNT('Потребление (МВт·ч)'!C104:I104)=7,SUM('Потребление (МВт·ч)'!C104:I104)&gt;0),SUMPRODUCT(C104:I104,'Потребление (МВт·ч)'!C104:I104)/SUM('Потребление (МВт·ч)'!C104:I104),"")</s:f>
      </s:c>
      <s:c r="K104" s="6" t="n">
        <s:f>IF(SUMIF(C104:I104,"&lt;&gt;",'Потребление (МВт·ч)'!C104:I104)&gt;0,SUMPRODUCT(C104:I104,'Потребление (МВт·ч)'!C104:I104)/SUMIF(C104:I104,"&lt;&gt;",'Потребление (МВт·ч)'!C104:I104),"")</s:f>
        <s:v>1651.127165895526</s:v>
      </s:c>
      <s:c r="L104" s="6" t="n">
        <s:f>IF(COUNT(C104:I104)&gt;0,AVERAGE(C104:I104),"")</s:f>
        <s:v>1633.7648316666666</s:v>
      </s:c>
      <s:c r="M104" s="10" t="n">
        <s:f>COUNT(C104:I104)</s:f>
        <s:v>6</s:v>
      </s:c>
      <s:c r="N104" s="11" t="n">
        <s:f>IF(AND(COUNT('Потребление (МВт·ч)'!C104:I104)=7,SUM('Потребление (МВт·ч)'!C104:I104)&gt;0),SUMIF(C104:I104,"&lt;&gt;",'Потребление (МВт·ч)'!C104:I104)/SUM('Потребление (МВт·ч)'!C104:I104),"")</s:f>
        <s:v>0.9497157037065984</s:v>
      </s:c>
    </s:row>
    <s:row r="105">
      <s:c r="A105" s="5" t="n">
        <s:v>46270</s:v>
      </s:c>
      <s:c r="B105" s="2" t="n">
        <s:v>4</s:v>
      </s:c>
      <s:c r="C105" s="6" t="n">
        <s:v>1507.63831</s:v>
      </s:c>
      <s:c r="D105" s="6" t="n">
        <s:v>1672.41772</s:v>
      </s:c>
      <s:c r="E105" s="6" t="n">
        <s:v>1600.87976</s:v>
      </s:c>
      <s:c r="F105" s="6" t="n">
        <s:v>1738.56873</s:v>
      </s:c>
      <s:c r="G105" s="6" t="n">
        <s:v>1723.86975</s:v>
      </s:c>
      <s:c r="H105" s="6" t="n">
        <s:v>1702.1571</s:v>
      </s:c>
      <s:c r="I105" s="6" t="n"/>
      <s:c r="J105" s="6" t="str">
        <s:f>IF(AND(COUNT(C105:I105)=7,COUNT('Потребление (МВт·ч)'!C105:I105)=7,SUM('Потребление (МВт·ч)'!C105:I105)&gt;0),SUMPRODUCT(C105:I105,'Потребление (МВт·ч)'!C105:I105)/SUM('Потребление (МВт·ч)'!C105:I105),"")</s:f>
      </s:c>
      <s:c r="K105" s="6" t="n">
        <s:f>IF(SUMIF(C105:I105,"&lt;&gt;",'Потребление (МВт·ч)'!C105:I105)&gt;0,SUMPRODUCT(C105:I105,'Потребление (МВт·ч)'!C105:I105)/SUMIF(C105:I105,"&lt;&gt;",'Потребление (МВт·ч)'!C105:I105),"")</s:f>
        <s:v>1677.3775600731615</s:v>
      </s:c>
      <s:c r="L105" s="6" t="n">
        <s:f>IF(COUNT(C105:I105)&gt;0,AVERAGE(C105:I105),"")</s:f>
        <s:v>1657.5885616666667</s:v>
      </s:c>
      <s:c r="M105" s="10" t="n">
        <s:f>COUNT(C105:I105)</s:f>
        <s:v>6</s:v>
      </s:c>
      <s:c r="N105" s="11" t="n">
        <s:f>IF(AND(COUNT('Потребление (МВт·ч)'!C105:I105)=7,SUM('Потребление (МВт·ч)'!C105:I105)&gt;0),SUMIF(C105:I105,"&lt;&gt;",'Потребление (МВт·ч)'!C105:I105)/SUM('Потребление (МВт·ч)'!C105:I105),"")</s:f>
        <s:v>0.9507312649533071</s:v>
      </s:c>
    </s:row>
    <s:row r="106">
      <s:c r="A106" s="5" t="n">
        <s:v>46270</s:v>
      </s:c>
      <s:c r="B106" s="2" t="n">
        <s:v>5</s:v>
      </s:c>
      <s:c r="C106" s="6" t="n">
        <s:v>1517.0968</s:v>
      </s:c>
      <s:c r="D106" s="6" t="n">
        <s:v>1694.2428</s:v>
      </s:c>
      <s:c r="E106" s="6" t="n">
        <s:v>1540.91589</s:v>
      </s:c>
      <s:c r="F106" s="6" t="n">
        <s:v>1749.15955</s:v>
      </s:c>
      <s:c r="G106" s="6" t="n">
        <s:v>1746.29028</s:v>
      </s:c>
      <s:c r="H106" s="6" t="n">
        <s:v>1684.23828</s:v>
      </s:c>
      <s:c r="I106" s="6" t="n"/>
      <s:c r="J106" s="6" t="str">
        <s:f>IF(AND(COUNT(C106:I106)=7,COUNT('Потребление (МВт·ч)'!C106:I106)=7,SUM('Потребление (МВт·ч)'!C106:I106)&gt;0),SUMPRODUCT(C106:I106,'Потребление (МВт·ч)'!C106:I106)/SUM('Потребление (МВт·ч)'!C106:I106),"")</s:f>
      </s:c>
      <s:c r="K106" s="6" t="n">
        <s:f>IF(SUMIF(C106:I106,"&lt;&gt;",'Потребление (МВт·ч)'!C106:I106)&gt;0,SUMPRODUCT(C106:I106,'Потребление (МВт·ч)'!C106:I106)/SUMIF(C106:I106,"&lt;&gt;",'Потребление (МВт·ч)'!C106:I106),"")</s:f>
        <s:v>1679.8457472912703</s:v>
      </s:c>
      <s:c r="L106" s="6" t="n">
        <s:f>IF(COUNT(C106:I106)&gt;0,AVERAGE(C106:I106),"")</s:f>
        <s:v>1655.3239333333333</s:v>
      </s:c>
      <s:c r="M106" s="10" t="n">
        <s:f>COUNT(C106:I106)</s:f>
        <s:v>6</s:v>
      </s:c>
      <s:c r="N106" s="11" t="n">
        <s:f>IF(AND(COUNT('Потребление (МВт·ч)'!C106:I106)=7,SUM('Потребление (МВт·ч)'!C106:I106)&gt;0),SUMIF(C106:I106,"&lt;&gt;",'Потребление (МВт·ч)'!C106:I106)/SUM('Потребление (МВт·ч)'!C106:I106),"")</s:f>
        <s:v>0.9519626239078107</s:v>
      </s:c>
    </s:row>
    <s:row r="107">
      <s:c r="A107" s="5" t="n">
        <s:v>46270</s:v>
      </s:c>
      <s:c r="B107" s="2" t="n">
        <s:v>6</s:v>
      </s:c>
      <s:c r="C107" s="6" t="n">
        <s:v>1391.3175</s:v>
      </s:c>
      <s:c r="D107" s="6" t="n">
        <s:v>1929.34583</s:v>
      </s:c>
      <s:c r="E107" s="6" t="n">
        <s:v>1791.38281</s:v>
      </s:c>
      <s:c r="F107" s="6" t="n">
        <s:v>2017.48767</s:v>
      </s:c>
      <s:c r="G107" s="6" t="n">
        <s:v>1959.84326</s:v>
      </s:c>
      <s:c r="H107" s="6" t="n">
        <s:v>1824.34631</s:v>
      </s:c>
      <s:c r="I107" s="6" t="n"/>
      <s:c r="J107" s="6" t="str">
        <s:f>IF(AND(COUNT(C107:I107)=7,COUNT('Потребление (МВт·ч)'!C107:I107)=7,SUM('Потребление (МВт·ч)'!C107:I107)&gt;0),SUMPRODUCT(C107:I107,'Потребление (МВт·ч)'!C107:I107)/SUM('Потребление (МВт·ч)'!C107:I107),"")</s:f>
      </s:c>
      <s:c r="K107" s="6" t="n">
        <s:f>IF(SUMIF(C107:I107,"&lt;&gt;",'Потребление (МВт·ч)'!C107:I107)&gt;0,SUMPRODUCT(C107:I107,'Потребление (МВт·ч)'!C107:I107)/SUMIF(C107:I107,"&lt;&gt;",'Потребление (МВт·ч)'!C107:I107),"")</s:f>
        <s:v>1861.1465837669618</s:v>
      </s:c>
      <s:c r="L107" s="6" t="n">
        <s:f>IF(COUNT(C107:I107)&gt;0,AVERAGE(C107:I107),"")</s:f>
        <s:v>1818.9538966666667</s:v>
      </s:c>
      <s:c r="M107" s="10" t="n">
        <s:f>COUNT(C107:I107)</s:f>
        <s:v>6</s:v>
      </s:c>
      <s:c r="N107" s="11" t="n">
        <s:f>IF(AND(COUNT('Потребление (МВт·ч)'!C107:I107)=7,SUM('Потребление (МВт·ч)'!C107:I107)&gt;0),SUMIF(C107:I107,"&lt;&gt;",'Потребление (МВт·ч)'!C107:I107)/SUM('Потребление (МВт·ч)'!C107:I107),"")</s:f>
        <s:v>0.952965197557207</s:v>
      </s:c>
    </s:row>
    <s:row r="108">
      <s:c r="A108" s="5" t="n">
        <s:v>46270</s:v>
      </s:c>
      <s:c r="B108" s="2" t="n">
        <s:v>7</s:v>
      </s:c>
      <s:c r="C108" s="6" t="n">
        <s:v>1718.51892</s:v>
      </s:c>
      <s:c r="D108" s="6" t="n">
        <s:v>2261.46045</s:v>
      </s:c>
      <s:c r="E108" s="6" t="n">
        <s:v>2166.85645</s:v>
      </s:c>
      <s:c r="F108" s="6" t="n">
        <s:v>2295.1123</s:v>
      </s:c>
      <s:c r="G108" s="6" t="n">
        <s:v>2156.381</s:v>
      </s:c>
      <s:c r="H108" s="6" t="n">
        <s:v>1122.60632</s:v>
      </s:c>
      <s:c r="I108" s="6" t="n"/>
      <s:c r="J108" s="6" t="str">
        <s:f>IF(AND(COUNT(C108:I108)=7,COUNT('Потребление (МВт·ч)'!C108:I108)=7,SUM('Потребление (МВт·ч)'!C108:I108)&gt;0),SUMPRODUCT(C108:I108,'Потребление (МВт·ч)'!C108:I108)/SUM('Потребление (МВт·ч)'!C108:I108),"")</s:f>
      </s:c>
      <s:c r="K108" s="6" t="n">
        <s:f>IF(SUMIF(C108:I108,"&lt;&gt;",'Потребление (МВт·ч)'!C108:I108)&gt;0,SUMPRODUCT(C108:I108,'Потребление (МВт·ч)'!C108:I108)/SUMIF(C108:I108,"&lt;&gt;",'Потребление (МВт·ч)'!C108:I108),"")</s:f>
        <s:v>1922.4000493012816</s:v>
      </s:c>
      <s:c r="L108" s="6" t="n">
        <s:f>IF(COUNT(C108:I108)&gt;0,AVERAGE(C108:I108),"")</s:f>
        <s:v>1953.48924</s:v>
      </s:c>
      <s:c r="M108" s="10" t="n">
        <s:f>COUNT(C108:I108)</s:f>
        <s:v>6</s:v>
      </s:c>
      <s:c r="N108" s="11" t="n">
        <s:f>IF(AND(COUNT('Потребление (МВт·ч)'!C108:I108)=7,SUM('Потребление (МВт·ч)'!C108:I108)&gt;0),SUMIF(C108:I108,"&lt;&gt;",'Потребление (МВт·ч)'!C108:I108)/SUM('Потребление (МВт·ч)'!C108:I108),"")</s:f>
        <s:v>0.9546198164876591</s:v>
      </s:c>
    </s:row>
    <s:row r="109">
      <s:c r="A109" s="5" t="n">
        <s:v>46270</s:v>
      </s:c>
      <s:c r="B109" s="2" t="n">
        <s:v>8</s:v>
      </s:c>
      <s:c r="C109" s="6" t="n">
        <s:v>2098.546</s:v>
      </s:c>
      <s:c r="D109" s="6" t="n">
        <s:v>2785.469</s:v>
      </s:c>
      <s:c r="E109" s="6" t="n">
        <s:v>2913.531</s:v>
      </s:c>
      <s:c r="F109" s="6" t="n">
        <s:v>2720.42627</s:v>
      </s:c>
      <s:c r="G109" s="6" t="n">
        <s:v>2448.28687</s:v>
      </s:c>
      <s:c r="H109" s="6" t="n">
        <s:v>1084.369</s:v>
      </s:c>
      <s:c r="I109" s="6" t="n"/>
      <s:c r="J109" s="6" t="str">
        <s:f>IF(AND(COUNT(C109:I109)=7,COUNT('Потребление (МВт·ч)'!C109:I109)=7,SUM('Потребление (МВт·ч)'!C109:I109)&gt;0),SUMPRODUCT(C109:I109,'Потребление (МВт·ч)'!C109:I109)/SUM('Потребление (МВт·ч)'!C109:I109),"")</s:f>
      </s:c>
      <s:c r="K109" s="6" t="n">
        <s:f>IF(SUMIF(C109:I109,"&lt;&gt;",'Потребление (МВт·ч)'!C109:I109)&gt;0,SUMPRODUCT(C109:I109,'Потребление (МВт·ч)'!C109:I109)/SUMIF(C109:I109,"&lt;&gt;",'Потребление (МВт·ч)'!C109:I109),"")</s:f>
        <s:v>2279.5922912277915</s:v>
      </s:c>
      <s:c r="L109" s="6" t="n">
        <s:f>IF(COUNT(C109:I109)&gt;0,AVERAGE(C109:I109),"")</s:f>
        <s:v>2341.7713566666666</s:v>
      </s:c>
      <s:c r="M109" s="10" t="n">
        <s:f>COUNT(C109:I109)</s:f>
        <s:v>6</s:v>
      </s:c>
      <s:c r="N109" s="11" t="n">
        <s:f>IF(AND(COUNT('Потребление (МВт·ч)'!C109:I109)=7,SUM('Потребление (МВт·ч)'!C109:I109)&gt;0),SUMIF(C109:I109,"&lt;&gt;",'Потребление (МВт·ч)'!C109:I109)/SUM('Потребление (МВт·ч)'!C109:I109),"")</s:f>
        <s:v>0.9568057239459709</s:v>
      </s:c>
    </s:row>
    <s:row r="110">
      <s:c r="A110" s="5" t="n">
        <s:v>46270</s:v>
      </s:c>
      <s:c r="B110" s="2" t="n">
        <s:v>9</s:v>
      </s:c>
      <s:c r="C110" s="6" t="n">
        <s:v>2078.03833</s:v>
      </s:c>
      <s:c r="D110" s="6" t="n">
        <s:v>2821.041</s:v>
      </s:c>
      <s:c r="E110" s="6" t="n">
        <s:v>3110.756</s:v>
      </s:c>
      <s:c r="F110" s="6" t="n">
        <s:v>2724.69336</s:v>
      </s:c>
      <s:c r="G110" s="6" t="n">
        <s:v>2443.71045</s:v>
      </s:c>
      <s:c r="H110" s="6" t="n">
        <s:v>1176.30176</s:v>
      </s:c>
      <s:c r="I110" s="6" t="n"/>
      <s:c r="J110" s="6" t="str">
        <s:f>IF(AND(COUNT(C110:I110)=7,COUNT('Потребление (МВт·ч)'!C110:I110)=7,SUM('Потребление (МВт·ч)'!C110:I110)&gt;0),SUMPRODUCT(C110:I110,'Потребление (МВт·ч)'!C110:I110)/SUM('Потребление (МВт·ч)'!C110:I110),"")</s:f>
      </s:c>
      <s:c r="K110" s="6" t="n">
        <s:f>IF(SUMIF(C110:I110,"&lt;&gt;",'Потребление (МВт·ч)'!C110:I110)&gt;0,SUMPRODUCT(C110:I110,'Потребление (МВт·ч)'!C110:I110)/SUMIF(C110:I110,"&lt;&gt;",'Потребление (МВт·ч)'!C110:I110),"")</s:f>
        <s:v>2340.5394225863542</s:v>
      </s:c>
      <s:c r="L110" s="6" t="n">
        <s:f>IF(COUNT(C110:I110)&gt;0,AVERAGE(C110:I110),"")</s:f>
        <s:v>2392.4234833333335</s:v>
      </s:c>
      <s:c r="M110" s="10" t="n">
        <s:f>COUNT(C110:I110)</s:f>
        <s:v>6</s:v>
      </s:c>
      <s:c r="N110" s="11" t="n">
        <s:f>IF(AND(COUNT('Потребление (МВт·ч)'!C110:I110)=7,SUM('Потребление (МВт·ч)'!C110:I110)&gt;0),SUMIF(C110:I110,"&lt;&gt;",'Потребление (МВт·ч)'!C110:I110)/SUM('Потребление (МВт·ч)'!C110:I110),"")</s:f>
        <s:v>0.957794860678017</s:v>
      </s:c>
    </s:row>
    <s:row r="111">
      <s:c r="A111" s="5" t="n">
        <s:v>46270</s:v>
      </s:c>
      <s:c r="B111" s="2" t="n">
        <s:v>10</s:v>
      </s:c>
      <s:c r="C111" s="6" t="n">
        <s:v>2041.00623</s:v>
      </s:c>
      <s:c r="D111" s="6" t="n">
        <s:v>2577.27173</s:v>
      </s:c>
      <s:c r="E111" s="6" t="n">
        <s:v>4157.61963</s:v>
      </s:c>
      <s:c r="F111" s="6" t="n">
        <s:v>2701.111</s:v>
      </s:c>
      <s:c r="G111" s="6" t="n">
        <s:v>2441.25</s:v>
      </s:c>
      <s:c r="H111" s="6" t="n">
        <s:v>1245.82886</s:v>
      </s:c>
      <s:c r="I111" s="6" t="n"/>
      <s:c r="J111" s="6" t="str">
        <s:f>IF(AND(COUNT(C111:I111)=7,COUNT('Потребление (МВт·ч)'!C111:I111)=7,SUM('Потребление (МВт·ч)'!C111:I111)&gt;0),SUMPRODUCT(C111:I111,'Потребление (МВт·ч)'!C111:I111)/SUM('Потребление (МВт·ч)'!C111:I111),"")</s:f>
      </s:c>
      <s:c r="K111" s="6" t="n">
        <s:f>IF(SUMIF(C111:I111,"&lt;&gt;",'Потребление (МВт·ч)'!C111:I111)&gt;0,SUMPRODUCT(C111:I111,'Потребление (МВт·ч)'!C111:I111)/SUMIF(C111:I111,"&lt;&gt;",'Потребление (МВт·ч)'!C111:I111),"")</s:f>
        <s:v>2410.4417595159052</s:v>
      </s:c>
      <s:c r="L111" s="6" t="n">
        <s:f>IF(COUNT(C111:I111)&gt;0,AVERAGE(C111:I111),"")</s:f>
        <s:v>2527.3479083333336</s:v>
      </s:c>
      <s:c r="M111" s="10" t="n">
        <s:f>COUNT(C111:I111)</s:f>
        <s:v>6</s:v>
      </s:c>
      <s:c r="N111" s="11" t="n">
        <s:f>IF(AND(COUNT('Потребление (МВт·ч)'!C111:I111)=7,SUM('Потребление (МВт·ч)'!C111:I111)&gt;0),SUMIF(C111:I111,"&lt;&gt;",'Потребление (МВт·ч)'!C111:I111)/SUM('Потребление (МВт·ч)'!C111:I111),"")</s:f>
        <s:v>0.9576140605301539</s:v>
      </s:c>
    </s:row>
    <s:row r="112">
      <s:c r="A112" s="5" t="n">
        <s:v>46270</s:v>
      </s:c>
      <s:c r="B112" s="2" t="n">
        <s:v>11</s:v>
      </s:c>
      <s:c r="C112" s="6" t="n">
        <s:v>1646.95276</s:v>
      </s:c>
      <s:c r="D112" s="6" t="n">
        <s:v>2532.31616</s:v>
      </s:c>
      <s:c r="E112" s="6" t="n">
        <s:v>3931.22656</s:v>
      </s:c>
      <s:c r="F112" s="6" t="n">
        <s:v>2664.03516</s:v>
      </s:c>
      <s:c r="G112" s="6" t="n">
        <s:v>2445.69556</s:v>
      </s:c>
      <s:c r="H112" s="6" t="n">
        <s:v>1223.95178</s:v>
      </s:c>
      <s:c r="I112" s="6" t="n"/>
      <s:c r="J112" s="6" t="str">
        <s:f>IF(AND(COUNT(C112:I112)=7,COUNT('Потребление (МВт·ч)'!C112:I112)=7,SUM('Потребление (МВт·ч)'!C112:I112)&gt;0),SUMPRODUCT(C112:I112,'Потребление (МВт·ч)'!C112:I112)/SUM('Потребление (МВт·ч)'!C112:I112),"")</s:f>
      </s:c>
      <s:c r="K112" s="6" t="n">
        <s:f>IF(SUMIF(C112:I112,"&lt;&gt;",'Потребление (МВт·ч)'!C112:I112)&gt;0,SUMPRODUCT(C112:I112,'Потребление (МВт·ч)'!C112:I112)/SUMIF(C112:I112,"&lt;&gt;",'Потребление (МВт·ч)'!C112:I112),"")</s:f>
        <s:v>2331.9392054805794</s:v>
      </s:c>
      <s:c r="L112" s="6" t="n">
        <s:f>IF(COUNT(C112:I112)&gt;0,AVERAGE(C112:I112),"")</s:f>
        <s:v>2407.3629966666663</s:v>
      </s:c>
      <s:c r="M112" s="10" t="n">
        <s:f>COUNT(C112:I112)</s:f>
        <s:v>6</s:v>
      </s:c>
      <s:c r="N112" s="11" t="n">
        <s:f>IF(AND(COUNT('Потребление (МВт·ч)'!C112:I112)=7,SUM('Потребление (МВт·ч)'!C112:I112)&gt;0),SUMIF(C112:I112,"&lt;&gt;",'Потребление (МВт·ч)'!C112:I112)/SUM('Потребление (МВт·ч)'!C112:I112),"")</s:f>
        <s:v>0.9572007846110736</s:v>
      </s:c>
    </s:row>
    <s:row r="113">
      <s:c r="A113" s="5" t="n">
        <s:v>46270</s:v>
      </s:c>
      <s:c r="B113" s="2" t="n">
        <s:v>12</s:v>
      </s:c>
      <s:c r="C113" s="6" t="n">
        <s:v>2029.87122</s:v>
      </s:c>
      <s:c r="D113" s="6" t="n">
        <s:v>2765.6543</s:v>
      </s:c>
      <s:c r="E113" s="6" t="n">
        <s:v>3923.60742</s:v>
      </s:c>
      <s:c r="F113" s="6" t="n">
        <s:v>2735.7627</s:v>
      </s:c>
      <s:c r="G113" s="6" t="n">
        <s:v>2481.70459</s:v>
      </s:c>
      <s:c r="H113" s="6" t="n">
        <s:v>1274.50854</s:v>
      </s:c>
      <s:c r="I113" s="6" t="n"/>
      <s:c r="J113" s="6" t="str">
        <s:f>IF(AND(COUNT(C113:I113)=7,COUNT('Потребление (МВт·ч)'!C113:I113)=7,SUM('Потребление (МВт·ч)'!C113:I113)&gt;0),SUMPRODUCT(C113:I113,'Потребление (МВт·ч)'!C113:I113)/SUM('Потребление (МВт·ч)'!C113:I113),"")</s:f>
      </s:c>
      <s:c r="K113" s="6" t="n">
        <s:f>IF(SUMIF(C113:I113,"&lt;&gt;",'Потребление (МВт·ч)'!C113:I113)&gt;0,SUMPRODUCT(C113:I113,'Потребление (МВт·ч)'!C113:I113)/SUMIF(C113:I113,"&lt;&gt;",'Потребление (МВт·ч)'!C113:I113),"")</s:f>
        <s:v>2450.55979397885</s:v>
      </s:c>
      <s:c r="L113" s="6" t="n">
        <s:f>IF(COUNT(C113:I113)&gt;0,AVERAGE(C113:I113),"")</s:f>
        <s:v>2535.1847949999997</s:v>
      </s:c>
      <s:c r="M113" s="10" t="n">
        <s:f>COUNT(C113:I113)</s:f>
        <s:v>6</s:v>
      </s:c>
      <s:c r="N113" s="11" t="n">
        <s:f>IF(AND(COUNT('Потребление (МВт·ч)'!C113:I113)=7,SUM('Потребление (МВт·ч)'!C113:I113)&gt;0),SUMIF(C113:I113,"&lt;&gt;",'Потребление (МВт·ч)'!C113:I113)/SUM('Потребление (МВт·ч)'!C113:I113),"")</s:f>
        <s:v>0.9569753462558258</s:v>
      </s:c>
    </s:row>
    <s:row r="114">
      <s:c r="A114" s="5" t="n">
        <s:v>46270</s:v>
      </s:c>
      <s:c r="B114" s="2" t="n">
        <s:v>13</s:v>
      </s:c>
      <s:c r="C114" s="6" t="n">
        <s:v>1915.45056</s:v>
      </s:c>
      <s:c r="D114" s="6" t="n">
        <s:v>2598.65723</s:v>
      </s:c>
      <s:c r="E114" s="6" t="n">
        <s:v>4200.99951</s:v>
      </s:c>
      <s:c r="F114" s="6" t="n">
        <s:v>2736.40649</s:v>
      </s:c>
      <s:c r="G114" s="6" t="n">
        <s:v>2508.028</s:v>
      </s:c>
      <s:c r="H114" s="6" t="n">
        <s:v>1374.68848</s:v>
      </s:c>
      <s:c r="I114" s="6" t="n"/>
      <s:c r="J114" s="6" t="str">
        <s:f>IF(AND(COUNT(C114:I114)=7,COUNT('Потребление (МВт·ч)'!C114:I114)=7,SUM('Потребление (МВт·ч)'!C114:I114)&gt;0),SUMPRODUCT(C114:I114,'Потребление (МВт·ч)'!C114:I114)/SUM('Потребление (МВт·ч)'!C114:I114),"")</s:f>
      </s:c>
      <s:c r="K114" s="6" t="n">
        <s:f>IF(SUMIF(C114:I114,"&lt;&gt;",'Потребление (МВт·ч)'!C114:I114)&gt;0,SUMPRODUCT(C114:I114,'Потребление (МВт·ч)'!C114:I114)/SUMIF(C114:I114,"&lt;&gt;",'Потребление (МВт·ч)'!C114:I114),"")</s:f>
        <s:v>2459.944787003273</s:v>
      </s:c>
      <s:c r="L114" s="6" t="n">
        <s:f>IF(COUNT(C114:I114)&gt;0,AVERAGE(C114:I114),"")</s:f>
        <s:v>2555.705045</s:v>
      </s:c>
      <s:c r="M114" s="10" t="n">
        <s:f>COUNT(C114:I114)</s:f>
        <s:v>6</s:v>
      </s:c>
      <s:c r="N114" s="11" t="n">
        <s:f>IF(AND(COUNT('Потребление (МВт·ч)'!C114:I114)=7,SUM('Потребление (МВт·ч)'!C114:I114)&gt;0),SUMIF(C114:I114,"&lt;&gt;",'Потребление (МВт·ч)'!C114:I114)/SUM('Потребление (МВт·ч)'!C114:I114),"")</s:f>
        <s:v>0.9571393422455508</s:v>
      </s:c>
    </s:row>
    <s:row r="115">
      <s:c r="A115" s="5" t="n">
        <s:v>46270</s:v>
      </s:c>
      <s:c r="B115" s="2" t="n">
        <s:v>14</s:v>
      </s:c>
      <s:c r="C115" s="6" t="n">
        <s:v>1901.19556</s:v>
      </s:c>
      <s:c r="D115" s="6" t="n">
        <s:v>2587.95264</s:v>
      </s:c>
      <s:c r="E115" s="6" t="n">
        <s:v>4198.98828</s:v>
      </s:c>
      <s:c r="F115" s="6" t="n">
        <s:v>2731.8645</s:v>
      </s:c>
      <s:c r="G115" s="6" t="n">
        <s:v>2478.69</s:v>
      </s:c>
      <s:c r="H115" s="6" t="n">
        <s:v>1715.46045</s:v>
      </s:c>
      <s:c r="I115" s="6" t="n"/>
      <s:c r="J115" s="6" t="str">
        <s:f>IF(AND(COUNT(C115:I115)=7,COUNT('Потребление (МВт·ч)'!C115:I115)=7,SUM('Потребление (МВт·ч)'!C115:I115)&gt;0),SUMPRODUCT(C115:I115,'Потребление (МВт·ч)'!C115:I115)/SUM('Потребление (МВт·ч)'!C115:I115),"")</s:f>
      </s:c>
      <s:c r="K115" s="6" t="n">
        <s:f>IF(SUMIF(C115:I115,"&lt;&gt;",'Потребление (МВт·ч)'!C115:I115)&gt;0,SUMPRODUCT(C115:I115,'Потребление (МВт·ч)'!C115:I115)/SUMIF(C115:I115,"&lt;&gt;",'Потребление (МВт·ч)'!C115:I115),"")</s:f>
        <s:v>2519.4024232323127</s:v>
      </s:c>
      <s:c r="L115" s="6" t="n">
        <s:f>IF(COUNT(C115:I115)&gt;0,AVERAGE(C115:I115),"")</s:f>
        <s:v>2602.3585716666666</s:v>
      </s:c>
      <s:c r="M115" s="10" t="n">
        <s:f>COUNT(C115:I115)</s:f>
        <s:v>6</s:v>
      </s:c>
      <s:c r="N115" s="11" t="n">
        <s:f>IF(AND(COUNT('Потребление (МВт·ч)'!C115:I115)=7,SUM('Потребление (МВт·ч)'!C115:I115)&gt;0),SUMIF(C115:I115,"&lt;&gt;",'Потребление (МВт·ч)'!C115:I115)/SUM('Потребление (МВт·ч)'!C115:I115),"")</s:f>
        <s:v>0.9578289441177924</s:v>
      </s:c>
    </s:row>
    <s:row r="116">
      <s:c r="A116" s="5" t="n">
        <s:v>46270</s:v>
      </s:c>
      <s:c r="B116" s="2" t="n">
        <s:v>15</s:v>
      </s:c>
      <s:c r="C116" s="6" t="n">
        <s:v>1679.92993</s:v>
      </s:c>
      <s:c r="D116" s="6" t="n">
        <s:v>2707.02148</s:v>
      </s:c>
      <s:c r="E116" s="6" t="n">
        <s:v>4227.075</s:v>
      </s:c>
      <s:c r="F116" s="6" t="n">
        <s:v>2771.26636</s:v>
      </s:c>
      <s:c r="G116" s="6" t="n">
        <s:v>2542.851</s:v>
      </s:c>
      <s:c r="H116" s="6" t="n">
        <s:v>1639.09265</s:v>
      </s:c>
      <s:c r="I116" s="6" t="n"/>
      <s:c r="J116" s="6" t="str">
        <s:f>IF(AND(COUNT(C116:I116)=7,COUNT('Потребление (МВт·ч)'!C116:I116)=7,SUM('Потребление (МВт·ч)'!C116:I116)&gt;0),SUMPRODUCT(C116:I116,'Потребление (МВт·ч)'!C116:I116)/SUM('Потребление (МВт·ч)'!C116:I116),"")</s:f>
      </s:c>
      <s:c r="K116" s="6" t="n">
        <s:f>IF(SUMIF(C116:I116,"&lt;&gt;",'Потребление (МВт·ч)'!C116:I116)&gt;0,SUMPRODUCT(C116:I116,'Потребление (МВт·ч)'!C116:I116)/SUMIF(C116:I116,"&lt;&gt;",'Потребление (МВт·ч)'!C116:I116),"")</s:f>
        <s:v>2533.788364987941</s:v>
      </s:c>
      <s:c r="L116" s="6" t="n">
        <s:f>IF(COUNT(C116:I116)&gt;0,AVERAGE(C116:I116),"")</s:f>
        <s:v>2594.539403333333</s:v>
      </s:c>
      <s:c r="M116" s="10" t="n">
        <s:f>COUNT(C116:I116)</s:f>
        <s:v>6</s:v>
      </s:c>
      <s:c r="N116" s="11" t="n">
        <s:f>IF(AND(COUNT('Потребление (МВт·ч)'!C116:I116)=7,SUM('Потребление (МВт·ч)'!C116:I116)&gt;0),SUMIF(C116:I116,"&lt;&gt;",'Потребление (МВт·ч)'!C116:I116)/SUM('Потребление (МВт·ч)'!C116:I116),"")</s:f>
        <s:v>0.9597407536001852</s:v>
      </s:c>
    </s:row>
    <s:row r="117">
      <s:c r="A117" s="5" t="n">
        <s:v>46270</s:v>
      </s:c>
      <s:c r="B117" s="2" t="n">
        <s:v>16</s:v>
      </s:c>
      <s:c r="C117" s="6" t="n">
        <s:v>1962.6521</s:v>
      </s:c>
      <s:c r="D117" s="6" t="n">
        <s:v>2555.521</s:v>
      </s:c>
      <s:c r="E117" s="6" t="n">
        <s:v>4237.4917</s:v>
      </s:c>
      <s:c r="F117" s="6" t="n">
        <s:v>2771.532</s:v>
      </s:c>
      <s:c r="G117" s="6" t="n">
        <s:v>2597.01465</s:v>
      </s:c>
      <s:c r="H117" s="6" t="n">
        <s:v>1809.57288</s:v>
      </s:c>
      <s:c r="I117" s="6" t="n"/>
      <s:c r="J117" s="6" t="str">
        <s:f>IF(AND(COUNT(C117:I117)=7,COUNT('Потребление (МВт·ч)'!C117:I117)=7,SUM('Потребление (МВт·ч)'!C117:I117)&gt;0),SUMPRODUCT(C117:I117,'Потребление (МВт·ч)'!C117:I117)/SUM('Потребление (МВт·ч)'!C117:I117),"")</s:f>
      </s:c>
      <s:c r="K117" s="6" t="n">
        <s:f>IF(SUMIF(C117:I117,"&lt;&gt;",'Потребление (МВт·ч)'!C117:I117)&gt;0,SUMPRODUCT(C117:I117,'Потребление (МВт·ч)'!C117:I117)/SUMIF(C117:I117,"&lt;&gt;",'Потребление (МВт·ч)'!C117:I117),"")</s:f>
        <s:v>2569.1778145147696</s:v>
      </s:c>
      <s:c r="L117" s="6" t="n">
        <s:f>IF(COUNT(C117:I117)&gt;0,AVERAGE(C117:I117),"")</s:f>
        <s:v>2655.6307216666664</s:v>
      </s:c>
      <s:c r="M117" s="10" t="n">
        <s:f>COUNT(C117:I117)</s:f>
        <s:v>6</s:v>
      </s:c>
      <s:c r="N117" s="11" t="n">
        <s:f>IF(AND(COUNT('Потребление (МВт·ч)'!C117:I117)=7,SUM('Потребление (МВт·ч)'!C117:I117)&gt;0),SUMIF(C117:I117,"&lt;&gt;",'Потребление (МВт·ч)'!C117:I117)/SUM('Потребление (МВт·ч)'!C117:I117),"")</s:f>
        <s:v>0.9607627978120272</s:v>
      </s:c>
    </s:row>
    <s:row r="118">
      <s:c r="A118" s="5" t="n">
        <s:v>46270</s:v>
      </s:c>
      <s:c r="B118" s="2" t="n">
        <s:v>17</s:v>
      </s:c>
      <s:c r="C118" s="6" t="n">
        <s:v>1020.0412</s:v>
      </s:c>
      <s:c r="D118" s="6" t="n">
        <s:v>2767.19653</s:v>
      </s:c>
      <s:c r="E118" s="6" t="n">
        <s:v>4208.986</s:v>
      </s:c>
      <s:c r="F118" s="6" t="n">
        <s:v>2721.26465</s:v>
      </s:c>
      <s:c r="G118" s="6" t="n">
        <s:v>2493.60327</s:v>
      </s:c>
      <s:c r="H118" s="6" t="n">
        <s:v>1988.71887</s:v>
      </s:c>
      <s:c r="I118" s="6" t="n"/>
      <s:c r="J118" s="6" t="str">
        <s:f>IF(AND(COUNT(C118:I118)=7,COUNT('Потребление (МВт·ч)'!C118:I118)=7,SUM('Потребление (МВт·ч)'!C118:I118)&gt;0),SUMPRODUCT(C118:I118,'Потребление (МВт·ч)'!C118:I118)/SUM('Потребление (МВт·ч)'!C118:I118),"")</s:f>
      </s:c>
      <s:c r="K118" s="6" t="n">
        <s:f>IF(SUMIF(C118:I118,"&lt;&gt;",'Потребление (МВт·ч)'!C118:I118)&gt;0,SUMPRODUCT(C118:I118,'Потребление (МВт·ч)'!C118:I118)/SUMIF(C118:I118,"&lt;&gt;",'Потребление (МВт·ч)'!C118:I118),"")</s:f>
        <s:v>2539.6168469544627</s:v>
      </s:c>
      <s:c r="L118" s="6" t="n">
        <s:f>IF(COUNT(C118:I118)&gt;0,AVERAGE(C118:I118),"")</s:f>
        <s:v>2533.301753333333</s:v>
      </s:c>
      <s:c r="M118" s="10" t="n">
        <s:f>COUNT(C118:I118)</s:f>
        <s:v>6</s:v>
      </s:c>
      <s:c r="N118" s="11" t="n">
        <s:f>IF(AND(COUNT('Потребление (МВт·ч)'!C118:I118)=7,SUM('Потребление (МВт·ч)'!C118:I118)&gt;0),SUMIF(C118:I118,"&lt;&gt;",'Потребление (МВт·ч)'!C118:I118)/SUM('Потребление (МВт·ч)'!C118:I118),"")</s:f>
        <s:v>0.9620915688438514</s:v>
      </s:c>
    </s:row>
    <s:row r="119">
      <s:c r="A119" s="5" t="n">
        <s:v>46270</s:v>
      </s:c>
      <s:c r="B119" s="2" t="n">
        <s:v>18</s:v>
      </s:c>
      <s:c r="C119" s="6" t="n">
        <s:v>2043.91931</s:v>
      </s:c>
      <s:c r="D119" s="6" t="n">
        <s:v>2628.18628</s:v>
      </s:c>
      <s:c r="E119" s="6" t="n">
        <s:v>4278.66064</s:v>
      </s:c>
      <s:c r="F119" s="6" t="n">
        <s:v>2804.27271</s:v>
      </s:c>
      <s:c r="G119" s="6" t="n">
        <s:v>2628.106</s:v>
      </s:c>
      <s:c r="H119" s="6" t="n">
        <s:v>2007.07471</s:v>
      </s:c>
      <s:c r="I119" s="6" t="n"/>
      <s:c r="J119" s="6" t="str">
        <s:f>IF(AND(COUNT(C119:I119)=7,COUNT('Потребление (МВт·ч)'!C119:I119)=7,SUM('Потребление (МВт·ч)'!C119:I119)&gt;0),SUMPRODUCT(C119:I119,'Потребление (МВт·ч)'!C119:I119)/SUM('Потребление (МВт·ч)'!C119:I119),"")</s:f>
      </s:c>
      <s:c r="K119" s="6" t="n">
        <s:f>IF(SUMIF(C119:I119,"&lt;&gt;",'Потребление (МВт·ч)'!C119:I119)&gt;0,SUMPRODUCT(C119:I119,'Потребление (МВт·ч)'!C119:I119)/SUMIF(C119:I119,"&lt;&gt;",'Потребление (МВт·ч)'!C119:I119),"")</s:f>
        <s:v>2657.581742403646</s:v>
      </s:c>
      <s:c r="L119" s="6" t="n">
        <s:f>IF(COUNT(C119:I119)&gt;0,AVERAGE(C119:I119),"")</s:f>
        <s:v>2731.7032750000003</s:v>
      </s:c>
      <s:c r="M119" s="10" t="n">
        <s:f>COUNT(C119:I119)</s:f>
        <s:v>6</s:v>
      </s:c>
      <s:c r="N119" s="11" t="n">
        <s:f>IF(AND(COUNT('Потребление (МВт·ч)'!C119:I119)=7,SUM('Потребление (МВт·ч)'!C119:I119)&gt;0),SUMIF(C119:I119,"&lt;&gt;",'Потребление (МВт·ч)'!C119:I119)/SUM('Потребление (МВт·ч)'!C119:I119),"")</s:f>
        <s:v>0.9634536739072137</s:v>
      </s:c>
    </s:row>
    <s:row r="120">
      <s:c r="A120" s="5" t="n">
        <s:v>46270</s:v>
      </s:c>
      <s:c r="B120" s="2" t="n">
        <s:v>19</s:v>
      </s:c>
      <s:c r="C120" s="6" t="n">
        <s:v>2134.755</s:v>
      </s:c>
      <s:c r="D120" s="6" t="n">
        <s:v>2736.96167</s:v>
      </s:c>
      <s:c r="E120" s="6" t="n">
        <s:v>4283.766</s:v>
      </s:c>
      <s:c r="F120" s="6" t="n">
        <s:v>2862.57324</s:v>
      </s:c>
      <s:c r="G120" s="6" t="n">
        <s:v>2578.40674</s:v>
      </s:c>
      <s:c r="H120" s="6" t="n">
        <s:v>1934.59338</s:v>
      </s:c>
      <s:c r="I120" s="6" t="n"/>
      <s:c r="J120" s="6" t="str">
        <s:f>IF(AND(COUNT(C120:I120)=7,COUNT('Потребление (МВт·ч)'!C120:I120)=7,SUM('Потребление (МВт·ч)'!C120:I120)&gt;0),SUMPRODUCT(C120:I120,'Потребление (МВт·ч)'!C120:I120)/SUM('Потребление (МВт·ч)'!C120:I120),"")</s:f>
      </s:c>
      <s:c r="K120" s="6" t="n">
        <s:f>IF(SUMIF(C120:I120,"&lt;&gt;",'Потребление (МВт·ч)'!C120:I120)&gt;0,SUMPRODUCT(C120:I120,'Потребление (МВт·ч)'!C120:I120)/SUMIF(C120:I120,"&lt;&gt;",'Потребление (МВт·ч)'!C120:I120),"")</s:f>
        <s:v>2677.047245947976</s:v>
      </s:c>
      <s:c r="L120" s="6" t="n">
        <s:f>IF(COUNT(C120:I120)&gt;0,AVERAGE(C120:I120),"")</s:f>
        <s:v>2755.176005</s:v>
      </s:c>
      <s:c r="M120" s="10" t="n">
        <s:f>COUNT(C120:I120)</s:f>
        <s:v>6</s:v>
      </s:c>
      <s:c r="N120" s="11" t="n">
        <s:f>IF(AND(COUNT('Потребление (МВт·ч)'!C120:I120)=7,SUM('Потребление (МВт·ч)'!C120:I120)&gt;0),SUMIF(C120:I120,"&lt;&gt;",'Потребление (МВт·ч)'!C120:I120)/SUM('Потребление (МВт·ч)'!C120:I120),"")</s:f>
        <s:v>0.9633305947251052</s:v>
      </s:c>
    </s:row>
    <s:row r="121">
      <s:c r="A121" s="5" t="n">
        <s:v>46270</s:v>
      </s:c>
      <s:c r="B121" s="2" t="n">
        <s:v>20</s:v>
      </s:c>
      <s:c r="C121" s="6" t="n">
        <s:v>2178.55713</s:v>
      </s:c>
      <s:c r="D121" s="6" t="n">
        <s:v>2850.52441</s:v>
      </s:c>
      <s:c r="E121" s="6" t="n">
        <s:v>3053.14673</s:v>
      </s:c>
      <s:c r="F121" s="6" t="n">
        <s:v>2667.23364</s:v>
      </s:c>
      <s:c r="G121" s="6" t="n">
        <s:v>2317.87939</s:v>
      </s:c>
      <s:c r="H121" s="6" t="n">
        <s:v>1558.45337</s:v>
      </s:c>
      <s:c r="I121" s="6" t="n"/>
      <s:c r="J121" s="6" t="str">
        <s:f>IF(AND(COUNT(C121:I121)=7,COUNT('Потребление (МВт·ч)'!C121:I121)=7,SUM('Потребление (МВт·ч)'!C121:I121)&gt;0),SUMPRODUCT(C121:I121,'Потребление (МВт·ч)'!C121:I121)/SUM('Потребление (МВт·ч)'!C121:I121),"")</s:f>
      </s:c>
      <s:c r="K121" s="6" t="n">
        <s:f>IF(SUMIF(C121:I121,"&lt;&gt;",'Потребление (МВт·ч)'!C121:I121)&gt;0,SUMPRODUCT(C121:I121,'Потребление (МВт·ч)'!C121:I121)/SUMIF(C121:I121,"&lt;&gt;",'Потребление (МВт·ч)'!C121:I121),"")</s:f>
        <s:v>2408.1766643802084</s:v>
      </s:c>
      <s:c r="L121" s="6" t="n">
        <s:f>IF(COUNT(C121:I121)&gt;0,AVERAGE(C121:I121),"")</s:f>
        <s:v>2437.6324449999997</s:v>
      </s:c>
      <s:c r="M121" s="10" t="n">
        <s:f>COUNT(C121:I121)</s:f>
        <s:v>6</s:v>
      </s:c>
      <s:c r="N121" s="11" t="n">
        <s:f>IF(AND(COUNT('Потребление (МВт·ч)'!C121:I121)=7,SUM('Потребление (МВт·ч)'!C121:I121)&gt;0),SUMIF(C121:I121,"&lt;&gt;",'Потребление (МВт·ч)'!C121:I121)/SUM('Потребление (МВт·ч)'!C121:I121),"")</s:f>
        <s:v>0.9631636712854987</s:v>
      </s:c>
    </s:row>
    <s:row r="122">
      <s:c r="A122" s="5" t="n">
        <s:v>46270</s:v>
      </s:c>
      <s:c r="B122" s="2" t="n">
        <s:v>21</s:v>
      </s:c>
      <s:c r="C122" s="6" t="n">
        <s:v>2016.726</s:v>
      </s:c>
      <s:c r="D122" s="6" t="n">
        <s:v>2616.63013</s:v>
      </s:c>
      <s:c r="E122" s="6" t="n">
        <s:v>2691.703</s:v>
      </s:c>
      <s:c r="F122" s="6" t="n">
        <s:v>2382.561</s:v>
      </s:c>
      <s:c r="G122" s="6" t="n">
        <s:v>2063.101</s:v>
      </s:c>
      <s:c r="H122" s="6" t="n">
        <s:v>1469.10852</s:v>
      </s:c>
      <s:c r="I122" s="6" t="n"/>
      <s:c r="J122" s="6" t="str">
        <s:f>IF(AND(COUNT(C122:I122)=7,COUNT('Потребление (МВт·ч)'!C122:I122)=7,SUM('Потребление (МВт·ч)'!C122:I122)&gt;0),SUMPRODUCT(C122:I122,'Потребление (МВт·ч)'!C122:I122)/SUM('Потребление (МВт·ч)'!C122:I122),"")</s:f>
      </s:c>
      <s:c r="K122" s="6" t="n">
        <s:f>IF(SUMIF(C122:I122,"&lt;&gt;",'Потребление (МВт·ч)'!C122:I122)&gt;0,SUMPRODUCT(C122:I122,'Потребление (МВт·ч)'!C122:I122)/SUMIF(C122:I122,"&lt;&gt;",'Потребление (МВт·ч)'!C122:I122),"")</s:f>
        <s:v>2180.6239517477734</s:v>
      </s:c>
      <s:c r="L122" s="6" t="n">
        <s:f>IF(COUNT(C122:I122)&gt;0,AVERAGE(C122:I122),"")</s:f>
        <s:v>2206.638275</s:v>
      </s:c>
      <s:c r="M122" s="10" t="n">
        <s:f>COUNT(C122:I122)</s:f>
        <s:v>6</s:v>
      </s:c>
      <s:c r="N122" s="11" t="n">
        <s:f>IF(AND(COUNT('Потребление (МВт·ч)'!C122:I122)=7,SUM('Потребление (МВт·ч)'!C122:I122)&gt;0),SUMIF(C122:I122,"&lt;&gt;",'Потребление (МВт·ч)'!C122:I122)/SUM('Потребление (МВт·ч)'!C122:I122),"")</s:f>
        <s:v>0.9620188043285436</s:v>
      </s:c>
    </s:row>
    <s:row r="123">
      <s:c r="A123" s="5" t="n">
        <s:v>46270</s:v>
      </s:c>
      <s:c r="B123" s="2" t="n">
        <s:v>22</s:v>
      </s:c>
      <s:c r="C123" s="6" t="n">
        <s:v>1683.35376</s:v>
      </s:c>
      <s:c r="D123" s="6" t="n">
        <s:v>2034.29065</s:v>
      </s:c>
      <s:c r="E123" s="6" t="n">
        <s:v>1277.17407</s:v>
      </s:c>
      <s:c r="F123" s="6" t="n">
        <s:v>1678.03845</s:v>
      </s:c>
      <s:c r="G123" s="6" t="n">
        <s:v>1485.77661</s:v>
      </s:c>
      <s:c r="H123" s="6" t="n">
        <s:v>1239.516</s:v>
      </s:c>
      <s:c r="I123" s="6" t="n"/>
      <s:c r="J123" s="6" t="str">
        <s:f>IF(AND(COUNT(C123:I123)=7,COUNT('Потребление (МВт·ч)'!C123:I123)=7,SUM('Потребление (МВт·ч)'!C123:I123)&gt;0),SUMPRODUCT(C123:I123,'Потребление (МВт·ч)'!C123:I123)/SUM('Потребление (МВт·ч)'!C123:I123),"")</s:f>
      </s:c>
      <s:c r="K123" s="6" t="n">
        <s:f>IF(SUMIF(C123:I123,"&lt;&gt;",'Потребление (МВт·ч)'!C123:I123)&gt;0,SUMPRODUCT(C123:I123,'Потребление (МВт·ч)'!C123:I123)/SUMIF(C123:I123,"&lt;&gt;",'Потребление (МВт·ч)'!C123:I123),"")</s:f>
        <s:v>1586.3142344224893</s:v>
      </s:c>
      <s:c r="L123" s="6" t="n">
        <s:f>IF(COUNT(C123:I123)&gt;0,AVERAGE(C123:I123),"")</s:f>
        <s:v>1566.3582566666666</s:v>
      </s:c>
      <s:c r="M123" s="10" t="n">
        <s:f>COUNT(C123:I123)</s:f>
        <s:v>6</s:v>
      </s:c>
      <s:c r="N123" s="11" t="n">
        <s:f>IF(AND(COUNT('Потребление (МВт·ч)'!C123:I123)=7,SUM('Потребление (МВт·ч)'!C123:I123)&gt;0),SUMIF(C123:I123,"&lt;&gt;",'Потребление (МВт·ч)'!C123:I123)/SUM('Потребление (МВт·ч)'!C123:I123),"")</s:f>
        <s:v>0.9600989479879349</s:v>
      </s:c>
    </s:row>
    <s:row r="124">
      <s:c r="A124" s="5" t="n">
        <s:v>46270</s:v>
      </s:c>
      <s:c r="B124" s="2" t="n">
        <s:v>23</s:v>
      </s:c>
      <s:c r="C124" s="6" t="n">
        <s:v>1321.2627</s:v>
      </s:c>
      <s:c r="D124" s="6" t="n">
        <s:v>1573.46228</s:v>
      </s:c>
      <s:c r="E124" s="6" t="n">
        <s:v>13.641221</s:v>
      </s:c>
      <s:c r="F124" s="6" t="n">
        <s:v>1151.30334</s:v>
      </s:c>
      <s:c r="G124" s="6" t="n">
        <s:v>1127.45947</s:v>
      </s:c>
      <s:c r="H124" s="6" t="n">
        <s:v>893.106262</s:v>
      </s:c>
      <s:c r="I124" s="6" t="n"/>
      <s:c r="J124" s="6" t="str">
        <s:f>IF(AND(COUNT(C124:I124)=7,COUNT('Потребление (МВт·ч)'!C124:I124)=7,SUM('Потребление (МВт·ч)'!C124:I124)&gt;0),SUMPRODUCT(C124:I124,'Потребление (МВт·ч)'!C124:I124)/SUM('Потребление (МВт·ч)'!C124:I124),"")</s:f>
      </s:c>
      <s:c r="K124" s="6" t="n">
        <s:f>IF(SUMIF(C124:I124,"&lt;&gt;",'Потребление (МВт·ч)'!C124:I124)&gt;0,SUMPRODUCT(C124:I124,'Потребление (МВт·ч)'!C124:I124)/SUMIF(C124:I124,"&lt;&gt;",'Потребление (МВт·ч)'!C124:I124),"")</s:f>
        <s:v>1087.5606087719511</s:v>
      </s:c>
      <s:c r="L124" s="6" t="n">
        <s:f>IF(COUNT(C124:I124)&gt;0,AVERAGE(C124:I124),"")</s:f>
        <s:v>1013.3725455</s:v>
      </s:c>
      <s:c r="M124" s="10" t="n">
        <s:f>COUNT(C124:I124)</s:f>
        <s:v>6</s:v>
      </s:c>
      <s:c r="N124" s="11" t="n">
        <s:f>IF(AND(COUNT('Потребление (МВт·ч)'!C124:I124)=7,SUM('Потребление (МВт·ч)'!C124:I124)&gt;0),SUMIF(C124:I124,"&lt;&gt;",'Потребление (МВт·ч)'!C124:I124)/SUM('Потребление (МВт·ч)'!C124:I124),"")</s:f>
        <s:v>0.9582521517071787</s:v>
      </s:c>
    </s:row>
    <s:row r="125">
      <s:c r="A125" s="5" t="n">
        <s:v>46271</s:v>
      </s:c>
      <s:c r="B125" s="2" t="n">
        <s:v>0</s:v>
      </s:c>
      <s:c r="C125" s="6" t="n">
        <s:v>1547.46985</s:v>
      </s:c>
      <s:c r="D125" s="6" t="n">
        <s:v>1785.06836</s:v>
      </s:c>
      <s:c r="E125" s="6" t="n">
        <s:v>1833.89734</s:v>
      </s:c>
      <s:c r="F125" s="6" t="n">
        <s:v>1788.587</s:v>
      </s:c>
      <s:c r="G125" s="6" t="n">
        <s:v>1606.865</s:v>
      </s:c>
      <s:c r="H125" s="6" t="n">
        <s:v>1221.5802</s:v>
      </s:c>
      <s:c r="I125" s="6" t="n"/>
      <s:c r="J125" s="6" t="str">
        <s:f>IF(AND(COUNT(C125:I125)=7,COUNT('Потребление (МВт·ч)'!C125:I125)=7,SUM('Потребление (МВт·ч)'!C125:I125)&gt;0),SUMPRODUCT(C125:I125,'Потребление (МВт·ч)'!C125:I125)/SUM('Потребление (МВт·ч)'!C125:I125),"")</s:f>
      </s:c>
      <s:c r="K125" s="6" t="n">
        <s:f>IF(SUMIF(C125:I125,"&lt;&gt;",'Потребление (МВт·ч)'!C125:I125)&gt;0,SUMPRODUCT(C125:I125,'Потребление (МВт·ч)'!C125:I125)/SUMIF(C125:I125,"&lt;&gt;",'Потребление (МВт·ч)'!C125:I125),"")</s:f>
        <s:v>1600.00259878207</s:v>
      </s:c>
      <s:c r="L125" s="6" t="n">
        <s:f>IF(COUNT(C125:I125)&gt;0,AVERAGE(C125:I125),"")</s:f>
        <s:v>1630.5779583333333</s:v>
      </s:c>
      <s:c r="M125" s="10" t="n">
        <s:f>COUNT(C125:I125)</s:f>
        <s:v>6</s:v>
      </s:c>
      <s:c r="N125" s="11" t="n">
        <s:f>IF(AND(COUNT('Потребление (МВт·ч)'!C125:I125)=7,SUM('Потребление (МВт·ч)'!C125:I125)&gt;0),SUMIF(C125:I125,"&lt;&gt;",'Потребление (МВт·ч)'!C125:I125)/SUM('Потребление (МВт·ч)'!C125:I125),"")</s:f>
        <s:v>0.9566824635401083</s:v>
      </s:c>
    </s:row>
    <s:row r="126">
      <s:c r="A126" s="5" t="n">
        <s:v>46271</s:v>
      </s:c>
      <s:c r="B126" s="2" t="n">
        <s:v>1</s:v>
      </s:c>
      <s:c r="C126" s="6" t="n">
        <s:v>1492.17664</s:v>
      </s:c>
      <s:c r="D126" s="6" t="n">
        <s:v>1657.79468</s:v>
      </s:c>
      <s:c r="E126" s="6" t="n">
        <s:v>1659.32324</s:v>
      </s:c>
      <s:c r="F126" s="6" t="n">
        <s:v>1684.80176</s:v>
      </s:c>
      <s:c r="G126" s="6" t="n">
        <s:v>1577.32227</s:v>
      </s:c>
      <s:c r="H126" s="6" t="n">
        <s:v>1248.72156</s:v>
      </s:c>
      <s:c r="I126" s="6" t="n"/>
      <s:c r="J126" s="6" t="str">
        <s:f>IF(AND(COUNT(C126:I126)=7,COUNT('Потребление (МВт·ч)'!C126:I126)=7,SUM('Потребление (МВт·ч)'!C126:I126)&gt;0),SUMPRODUCT(C126:I126,'Потребление (МВт·ч)'!C126:I126)/SUM('Потребление (МВт·ч)'!C126:I126),"")</s:f>
      </s:c>
      <s:c r="K126" s="6" t="n">
        <s:f>IF(SUMIF(C126:I126,"&lt;&gt;",'Потребление (МВт·ч)'!C126:I126)&gt;0,SUMPRODUCT(C126:I126,'Потребление (МВт·ч)'!C126:I126)/SUMIF(C126:I126,"&lt;&gt;",'Потребление (МВт·ч)'!C126:I126),"")</s:f>
        <s:v>1531.7450484270646</s:v>
      </s:c>
      <s:c r="L126" s="6" t="n">
        <s:f>IF(COUNT(C126:I126)&gt;0,AVERAGE(C126:I126),"")</s:f>
        <s:v>1553.3566916666666</s:v>
      </s:c>
      <s:c r="M126" s="10" t="n">
        <s:f>COUNT(C126:I126)</s:f>
        <s:v>6</s:v>
      </s:c>
      <s:c r="N126" s="11" t="n">
        <s:f>IF(AND(COUNT('Потребление (МВт·ч)'!C126:I126)=7,SUM('Потребление (МВт·ч)'!C126:I126)&gt;0),SUMIF(C126:I126,"&lt;&gt;",'Потребление (МВт·ч)'!C126:I126)/SUM('Потребление (МВт·ч)'!C126:I126),"")</s:f>
        <s:v>0.9520613708508053</s:v>
      </s:c>
    </s:row>
    <s:row r="127">
      <s:c r="A127" s="5" t="n">
        <s:v>46271</s:v>
      </s:c>
      <s:c r="B127" s="2" t="n">
        <s:v>2</s:v>
      </s:c>
      <s:c r="C127" s="6" t="n">
        <s:v>1245.94788</s:v>
      </s:c>
      <s:c r="D127" s="6" t="n">
        <s:v>1370.28186</s:v>
      </s:c>
      <s:c r="E127" s="6" t="n">
        <s:v>1357.41345</s:v>
      </s:c>
      <s:c r="F127" s="6" t="n">
        <s:v>1403.01245</s:v>
      </s:c>
      <s:c r="G127" s="6" t="n">
        <s:v>1347.43713</s:v>
      </s:c>
      <s:c r="H127" s="6" t="n">
        <s:v>286.116516</s:v>
      </s:c>
      <s:c r="I127" s="6" t="n"/>
      <s:c r="J127" s="6" t="str">
        <s:f>IF(AND(COUNT(C127:I127)=7,COUNT('Потребление (МВт·ч)'!C127:I127)=7,SUM('Потребление (МВт·ч)'!C127:I127)&gt;0),SUMPRODUCT(C127:I127,'Потребление (МВт·ч)'!C127:I127)/SUM('Потребление (МВт·ч)'!C127:I127),"")</s:f>
      </s:c>
      <s:c r="K127" s="6" t="n">
        <s:f>IF(SUMIF(C127:I127,"&lt;&gt;",'Потребление (МВт·ч)'!C127:I127)&gt;0,SUMPRODUCT(C127:I127,'Потребление (МВт·ч)'!C127:I127)/SUMIF(C127:I127,"&lt;&gt;",'Потребление (МВт·ч)'!C127:I127),"")</s:f>
        <s:v>1098.5665824054813</s:v>
      </s:c>
      <s:c r="L127" s="6" t="n">
        <s:f>IF(COUNT(C127:I127)&gt;0,AVERAGE(C127:I127),"")</s:f>
        <s:v>1168.3682143333333</s:v>
      </s:c>
      <s:c r="M127" s="10" t="n">
        <s:f>COUNT(C127:I127)</s:f>
        <s:v>6</s:v>
      </s:c>
      <s:c r="N127" s="11" t="n">
        <s:f>IF(AND(COUNT('Потребление (МВт·ч)'!C127:I127)=7,SUM('Потребление (МВт·ч)'!C127:I127)&gt;0),SUMIF(C127:I127,"&lt;&gt;",'Потребление (МВт·ч)'!C127:I127)/SUM('Потребление (МВт·ч)'!C127:I127),"")</s:f>
        <s:v>0.9498187049225555</s:v>
      </s:c>
    </s:row>
    <s:row r="128">
      <s:c r="A128" s="5" t="n">
        <s:v>46271</s:v>
      </s:c>
      <s:c r="B128" s="2" t="n">
        <s:v>3</s:v>
      </s:c>
      <s:c r="C128" s="6" t="n">
        <s:v>1178.15613</s:v>
      </s:c>
      <s:c r="D128" s="6" t="n">
        <s:v>1298.6958</s:v>
      </s:c>
      <s:c r="E128" s="6" t="n">
        <s:v>1286.7627</s:v>
      </s:c>
      <s:c r="F128" s="6" t="n">
        <s:v>1337.91272</s:v>
      </s:c>
      <s:c r="G128" s="6" t="n">
        <s:v>1305.074</s:v>
      </s:c>
      <s:c r="H128" s="6" t="n">
        <s:v>1205.701</s:v>
      </s:c>
      <s:c r="I128" s="6" t="n"/>
      <s:c r="J128" s="6" t="str">
        <s:f>IF(AND(COUNT(C128:I128)=7,COUNT('Потребление (МВт·ч)'!C128:I128)=7,SUM('Потребление (МВт·ч)'!C128:I128)&gt;0),SUMPRODUCT(C128:I128,'Потребление (МВт·ч)'!C128:I128)/SUM('Потребление (МВт·ч)'!C128:I128),"")</s:f>
      </s:c>
      <s:c r="K128" s="6" t="n">
        <s:f>IF(SUMIF(C128:I128,"&lt;&gt;",'Потребление (МВт·ч)'!C128:I128)&gt;0,SUMPRODUCT(C128:I128,'Потребление (МВт·ч)'!C128:I128)/SUMIF(C128:I128,"&lt;&gt;",'Потребление (МВт·ч)'!C128:I128),"")</s:f>
        <s:v>1269.9208412830717</s:v>
      </s:c>
      <s:c r="L128" s="6" t="n">
        <s:f>IF(COUNT(C128:I128)&gt;0,AVERAGE(C128:I128),"")</s:f>
        <s:v>1268.7170583333334</s:v>
      </s:c>
      <s:c r="M128" s="10" t="n">
        <s:f>COUNT(C128:I128)</s:f>
        <s:v>6</s:v>
      </s:c>
      <s:c r="N128" s="11" t="n">
        <s:f>IF(AND(COUNT('Потребление (МВт·ч)'!C128:I128)=7,SUM('Потребление (МВт·ч)'!C128:I128)&gt;0),SUMIF(C128:I128,"&lt;&gt;",'Потребление (МВт·ч)'!C128:I128)/SUM('Потребление (МВт·ч)'!C128:I128),"")</s:f>
        <s:v>0.9490288174568228</s:v>
      </s:c>
    </s:row>
    <s:row r="129">
      <s:c r="A129" s="5" t="n">
        <s:v>46271</s:v>
      </s:c>
      <s:c r="B129" s="2" t="n">
        <s:v>4</s:v>
      </s:c>
      <s:c r="C129" s="6" t="n">
        <s:v>1211.34863</s:v>
      </s:c>
      <s:c r="D129" s="6" t="n">
        <s:v>1340.028</s:v>
      </s:c>
      <s:c r="E129" s="6" t="n">
        <s:v>1330.70032</s:v>
      </s:c>
      <s:c r="F129" s="6" t="n">
        <s:v>1377.53308</s:v>
      </s:c>
      <s:c r="G129" s="6" t="n">
        <s:v>1336.80322</s:v>
      </s:c>
      <s:c r="H129" s="6" t="n">
        <s:v>1236.02637</s:v>
      </s:c>
      <s:c r="I129" s="6" t="n"/>
      <s:c r="J129" s="6" t="str">
        <s:f>IF(AND(COUNT(C129:I129)=7,COUNT('Потребление (МВт·ч)'!C129:I129)=7,SUM('Потребление (МВт·ч)'!C129:I129)&gt;0),SUMPRODUCT(C129:I129,'Потребление (МВт·ч)'!C129:I129)/SUM('Потребление (МВт·ч)'!C129:I129),"")</s:f>
      </s:c>
      <s:c r="K129" s="6" t="n">
        <s:f>IF(SUMIF(C129:I129,"&lt;&gt;",'Потребление (МВт·ч)'!C129:I129)&gt;0,SUMPRODUCT(C129:I129,'Потребление (МВт·ч)'!C129:I129)/SUMIF(C129:I129,"&lt;&gt;",'Потребление (МВт·ч)'!C129:I129),"")</s:f>
        <s:v>1304.9380039501668</s:v>
      </s:c>
      <s:c r="L129" s="6" t="n">
        <s:f>IF(COUNT(C129:I129)&gt;0,AVERAGE(C129:I129),"")</s:f>
        <s:v>1305.4066033333331</s:v>
      </s:c>
      <s:c r="M129" s="10" t="n">
        <s:f>COUNT(C129:I129)</s:f>
        <s:v>6</s:v>
      </s:c>
      <s:c r="N129" s="11" t="n">
        <s:f>IF(AND(COUNT('Потребление (МВт·ч)'!C129:I129)=7,SUM('Потребление (МВт·ч)'!C129:I129)&gt;0),SUMIF(C129:I129,"&lt;&gt;",'Потребление (МВт·ч)'!C129:I129)/SUM('Потребление (МВт·ч)'!C129:I129),"")</s:f>
        <s:v>0.9494839443963463</s:v>
      </s:c>
    </s:row>
    <s:row r="130">
      <s:c r="A130" s="5" t="n">
        <s:v>46271</s:v>
      </s:c>
      <s:c r="B130" s="2" t="n">
        <s:v>5</s:v>
      </s:c>
      <s:c r="C130" s="6" t="n">
        <s:v>1086.33618</s:v>
      </s:c>
      <s:c r="D130" s="6" t="n">
        <s:v>1469.77148</s:v>
      </s:c>
      <s:c r="E130" s="6" t="n">
        <s:v>1470.32288</s:v>
      </s:c>
      <s:c r="F130" s="6" t="n">
        <s:v>1523.57239</s:v>
      </s:c>
      <s:c r="G130" s="6" t="n">
        <s:v>1484.009</s:v>
      </s:c>
      <s:c r="H130" s="6" t="n">
        <s:v>1345.607</s:v>
      </s:c>
      <s:c r="I130" s="6" t="n"/>
      <s:c r="J130" s="6" t="str">
        <s:f>IF(AND(COUNT(C130:I130)=7,COUNT('Потребление (МВт·ч)'!C130:I130)=7,SUM('Потребление (МВт·ч)'!C130:I130)&gt;0),SUMPRODUCT(C130:I130,'Потребление (МВт·ч)'!C130:I130)/SUM('Потребление (МВт·ч)'!C130:I130),"")</s:f>
      </s:c>
      <s:c r="K130" s="6" t="n">
        <s:f>IF(SUMIF(C130:I130,"&lt;&gt;",'Потребление (МВт·ч)'!C130:I130)&gt;0,SUMPRODUCT(C130:I130,'Потребление (МВт·ч)'!C130:I130)/SUMIF(C130:I130,"&lt;&gt;",'Потребление (МВт·ч)'!C130:I130),"")</s:f>
        <s:v>1413.8756947747704</s:v>
      </s:c>
      <s:c r="L130" s="6" t="n">
        <s:f>IF(COUNT(C130:I130)&gt;0,AVERAGE(C130:I130),"")</s:f>
        <s:v>1396.603155</s:v>
      </s:c>
      <s:c r="M130" s="10" t="n">
        <s:f>COUNT(C130:I130)</s:f>
        <s:v>6</s:v>
      </s:c>
      <s:c r="N130" s="11" t="n">
        <s:f>IF(AND(COUNT('Потребление (МВт·ч)'!C130:I130)=7,SUM('Потребление (МВт·ч)'!C130:I130)&gt;0),SUMIF(C130:I130,"&lt;&gt;",'Потребление (МВт·ч)'!C130:I130)/SUM('Потребление (МВт·ч)'!C130:I130),"")</s:f>
        <s:v>0.9491925765244638</s:v>
      </s:c>
    </s:row>
    <s:row r="131">
      <s:c r="A131" s="5" t="n">
        <s:v>46271</s:v>
      </s:c>
      <s:c r="B131" s="2" t="n">
        <s:v>6</s:v>
      </s:c>
      <s:c r="C131" s="6" t="n">
        <s:v>1213.49573</s:v>
      </s:c>
      <s:c r="D131" s="6" t="n">
        <s:v>1595.14868</s:v>
      </s:c>
      <s:c r="E131" s="6" t="n">
        <s:v>1577.82568</s:v>
      </s:c>
      <s:c r="F131" s="6" t="n">
        <s:v>1669.97131</s:v>
      </s:c>
      <s:c r="G131" s="6" t="n">
        <s:v>1679.486</s:v>
      </s:c>
      <s:c r="H131" s="6" t="n">
        <s:v>1229.80579</s:v>
      </s:c>
      <s:c r="I131" s="6" t="n"/>
      <s:c r="J131" s="6" t="str">
        <s:f>IF(AND(COUNT(C131:I131)=7,COUNT('Потребление (МВт·ч)'!C131:I131)=7,SUM('Потребление (МВт·ч)'!C131:I131)&gt;0),SUMPRODUCT(C131:I131,'Потребление (МВт·ч)'!C131:I131)/SUM('Потребление (МВт·ч)'!C131:I131),"")</s:f>
      </s:c>
      <s:c r="K131" s="6" t="n">
        <s:f>IF(SUMIF(C131:I131,"&lt;&gt;",'Потребление (МВт·ч)'!C131:I131)&gt;0,SUMPRODUCT(C131:I131,'Потребление (МВт·ч)'!C131:I131)/SUMIF(C131:I131,"&lt;&gt;",'Потребление (МВт·ч)'!C131:I131),"")</s:f>
        <s:v>1500.4044000525314</s:v>
      </s:c>
      <s:c r="L131" s="6" t="n">
        <s:f>IF(COUNT(C131:I131)&gt;0,AVERAGE(C131:I131),"")</s:f>
        <s:v>1494.2888649999998</s:v>
      </s:c>
      <s:c r="M131" s="10" t="n">
        <s:f>COUNT(C131:I131)</s:f>
        <s:v>6</s:v>
      </s:c>
      <s:c r="N131" s="11" t="n">
        <s:f>IF(AND(COUNT('Потребление (МВт·ч)'!C131:I131)=7,SUM('Потребление (МВт·ч)'!C131:I131)&gt;0),SUMIF(C131:I131,"&lt;&gt;",'Потребление (МВт·ч)'!C131:I131)/SUM('Потребление (МВт·ч)'!C131:I131),"")</s:f>
        <s:v>0.9521280581469409</s:v>
      </s:c>
    </s:row>
    <s:row r="132">
      <s:c r="A132" s="5" t="n">
        <s:v>46271</s:v>
      </s:c>
      <s:c r="B132" s="2" t="n">
        <s:v>7</s:v>
      </s:c>
      <s:c r="C132" s="6" t="n">
        <s:v>1829.356</s:v>
      </s:c>
      <s:c r="D132" s="6" t="n">
        <s:v>2013.36841</s:v>
      </s:c>
      <s:c r="E132" s="6" t="n">
        <s:v>1971.13293</s:v>
      </s:c>
      <s:c r="F132" s="6" t="n">
        <s:v>2045.62854</s:v>
      </s:c>
      <s:c r="G132" s="6" t="n">
        <s:v>1895.69568</s:v>
      </s:c>
      <s:c r="H132" s="6" t="n">
        <s:v>1351.3136</s:v>
      </s:c>
      <s:c r="I132" s="6" t="n"/>
      <s:c r="J132" s="6" t="str">
        <s:f>IF(AND(COUNT(C132:I132)=7,COUNT('Потребление (МВт·ч)'!C132:I132)=7,SUM('Потребление (МВт·ч)'!C132:I132)&gt;0),SUMPRODUCT(C132:I132,'Потребление (МВт·ч)'!C132:I132)/SUM('Потребление (МВт·ч)'!C132:I132),"")</s:f>
      </s:c>
      <s:c r="K132" s="6" t="n">
        <s:f>IF(SUMIF(C132:I132,"&lt;&gt;",'Потребление (МВт·ч)'!C132:I132)&gt;0,SUMPRODUCT(C132:I132,'Потребление (МВт·ч)'!C132:I132)/SUMIF(C132:I132,"&lt;&gt;",'Потребление (МВт·ч)'!C132:I132),"")</s:f>
        <s:v>1814.2599125275635</s:v>
      </s:c>
      <s:c r="L132" s="6" t="n">
        <s:f>IF(COUNT(C132:I132)&gt;0,AVERAGE(C132:I132),"")</s:f>
        <s:v>1851.0825266666664</s:v>
      </s:c>
      <s:c r="M132" s="10" t="n">
        <s:f>COUNT(C132:I132)</s:f>
        <s:v>6</s:v>
      </s:c>
      <s:c r="N132" s="11" t="n">
        <s:f>IF(AND(COUNT('Потребление (МВт·ч)'!C132:I132)=7,SUM('Потребление (МВт·ч)'!C132:I132)&gt;0),SUMIF(C132:I132,"&lt;&gt;",'Потребление (МВт·ч)'!C132:I132)/SUM('Потребление (МВт·ч)'!C132:I132),"")</s:f>
        <s:v>0.9520881071632356</s:v>
      </s:c>
    </s:row>
    <s:row r="133">
      <s:c r="A133" s="5" t="n">
        <s:v>46271</s:v>
      </s:c>
      <s:c r="B133" s="2" t="n">
        <s:v>8</s:v>
      </s:c>
      <s:c r="C133" s="6" t="n">
        <s:v>2137.745</s:v>
      </s:c>
      <s:c r="D133" s="6" t="n">
        <s:v>2395.8877</s:v>
      </s:c>
      <s:c r="E133" s="6" t="n">
        <s:v>2399.33374</s:v>
      </s:c>
      <s:c r="F133" s="6" t="n">
        <s:v>2351.91162</s:v>
      </s:c>
      <s:c r="G133" s="6" t="n">
        <s:v>2101.92188</s:v>
      </s:c>
      <s:c r="H133" s="6" t="n">
        <s:v>1407.95654</s:v>
      </s:c>
      <s:c r="I133" s="6" t="n"/>
      <s:c r="J133" s="6" t="str">
        <s:f>IF(AND(COUNT(C133:I133)=7,COUNT('Потребление (МВт·ч)'!C133:I133)=7,SUM('Потребление (МВт·ч)'!C133:I133)&gt;0),SUMPRODUCT(C133:I133,'Потребление (МВт·ч)'!C133:I133)/SUM('Потребление (МВт·ч)'!C133:I133),"")</s:f>
      </s:c>
      <s:c r="K133" s="6" t="n">
        <s:f>IF(SUMIF(C133:I133,"&lt;&gt;",'Потребление (МВт·ч)'!C133:I133)&gt;0,SUMPRODUCT(C133:I133,'Потребление (МВт·ч)'!C133:I133)/SUMIF(C133:I133,"&lt;&gt;",'Потребление (МВт·ч)'!C133:I133),"")</s:f>
        <s:v>2079.5969983887558</s:v>
      </s:c>
      <s:c r="L133" s="6" t="n">
        <s:f>IF(COUNT(C133:I133)&gt;0,AVERAGE(C133:I133),"")</s:f>
        <s:v>2132.459413333333</s:v>
      </s:c>
      <s:c r="M133" s="10" t="n">
        <s:f>COUNT(C133:I133)</s:f>
        <s:v>6</s:v>
      </s:c>
      <s:c r="N133" s="11" t="n">
        <s:f>IF(AND(COUNT('Потребление (МВт·ч)'!C133:I133)=7,SUM('Потребление (МВт·ч)'!C133:I133)&gt;0),SUMIF(C133:I133,"&lt;&gt;",'Потребление (МВт·ч)'!C133:I133)/SUM('Потребление (МВт·ч)'!C133:I133),"")</s:f>
        <s:v>0.9550607709829424</s:v>
      </s:c>
    </s:row>
    <s:row r="134">
      <s:c r="A134" s="5" t="n">
        <s:v>46271</s:v>
      </s:c>
      <s:c r="B134" s="2" t="n">
        <s:v>9</s:v>
      </s:c>
      <s:c r="C134" s="6" t="n">
        <s:v>2313.041</s:v>
      </s:c>
      <s:c r="D134" s="6" t="n">
        <s:v>2577.4</s:v>
      </s:c>
      <s:c r="E134" s="6" t="n">
        <s:v>2923.8833</s:v>
      </s:c>
      <s:c r="F134" s="6" t="n">
        <s:v>2485.079</s:v>
      </s:c>
      <s:c r="G134" s="6" t="n">
        <s:v>2200.088</s:v>
      </s:c>
      <s:c r="H134" s="6" t="n">
        <s:v>1463.59949</s:v>
      </s:c>
      <s:c r="I134" s="6" t="n"/>
      <s:c r="J134" s="6" t="str">
        <s:f>IF(AND(COUNT(C134:I134)=7,COUNT('Потребление (МВт·ч)'!C134:I134)=7,SUM('Потребление (МВт·ч)'!C134:I134)&gt;0),SUMPRODUCT(C134:I134,'Потребление (МВт·ч)'!C134:I134)/SUM('Потребление (МВт·ч)'!C134:I134),"")</s:f>
      </s:c>
      <s:c r="K134" s="6" t="n">
        <s:f>IF(SUMIF(C134:I134,"&lt;&gt;",'Потребление (МВт·ч)'!C134:I134)&gt;0,SUMPRODUCT(C134:I134,'Потребление (МВт·ч)'!C134:I134)/SUMIF(C134:I134,"&lt;&gt;",'Потребление (МВт·ч)'!C134:I134),"")</s:f>
        <s:v>2253.9975514879484</s:v>
      </s:c>
      <s:c r="L134" s="6" t="n">
        <s:f>IF(COUNT(C134:I134)&gt;0,AVERAGE(C134:I134),"")</s:f>
        <s:v>2327.1817983333335</s:v>
      </s:c>
      <s:c r="M134" s="10" t="n">
        <s:f>COUNT(C134:I134)</s:f>
        <s:v>6</s:v>
      </s:c>
      <s:c r="N134" s="11" t="n">
        <s:f>IF(AND(COUNT('Потребление (МВт·ч)'!C134:I134)=7,SUM('Потребление (МВт·ч)'!C134:I134)&gt;0),SUMIF(C134:I134,"&lt;&gt;",'Потребление (МВт·ч)'!C134:I134)/SUM('Потребление (МВт·ч)'!C134:I134),"")</s:f>
        <s:v>0.9558260928706238</s:v>
      </s:c>
    </s:row>
    <s:row r="135">
      <s:c r="A135" s="5" t="n">
        <s:v>46271</s:v>
      </s:c>
      <s:c r="B135" s="2" t="n">
        <s:v>10</s:v>
      </s:c>
      <s:c r="C135" s="6" t="n">
        <s:v>2322.49048</s:v>
      </s:c>
      <s:c r="D135" s="6" t="n">
        <s:v>2517.627</s:v>
      </s:c>
      <s:c r="E135" s="6" t="n">
        <s:v>3668.74048</s:v>
      </s:c>
      <s:c r="F135" s="6" t="n">
        <s:v>2464.77246</s:v>
      </s:c>
      <s:c r="G135" s="6" t="n">
        <s:v>2327.77</s:v>
      </s:c>
      <s:c r="H135" s="6" t="n">
        <s:v>1456.23657</s:v>
      </s:c>
      <s:c r="I135" s="6" t="n"/>
      <s:c r="J135" s="6" t="str">
        <s:f>IF(AND(COUNT(C135:I135)=7,COUNT('Потребление (МВт·ч)'!C135:I135)=7,SUM('Потребление (МВт·ч)'!C135:I135)&gt;0),SUMPRODUCT(C135:I135,'Потребление (МВт·ч)'!C135:I135)/SUM('Потребление (МВт·ч)'!C135:I135),"")</s:f>
      </s:c>
      <s:c r="K135" s="6" t="n">
        <s:f>IF(SUMIF(C135:I135,"&lt;&gt;",'Потребление (МВт·ч)'!C135:I135)&gt;0,SUMPRODUCT(C135:I135,'Потребление (МВт·ч)'!C135:I135)/SUMIF(C135:I135,"&lt;&gt;",'Потребление (МВт·ч)'!C135:I135),"")</s:f>
        <s:v>2351.277714877649</s:v>
      </s:c>
      <s:c r="L135" s="6" t="n">
        <s:f>IF(COUNT(C135:I135)&gt;0,AVERAGE(C135:I135),"")</s:f>
        <s:v>2459.6061649999997</s:v>
      </s:c>
      <s:c r="M135" s="10" t="n">
        <s:f>COUNT(C135:I135)</s:f>
        <s:v>6</s:v>
      </s:c>
      <s:c r="N135" s="11" t="n">
        <s:f>IF(AND(COUNT('Потребление (МВт·ч)'!C135:I135)=7,SUM('Потребление (МВт·ч)'!C135:I135)&gt;0),SUMIF(C135:I135,"&lt;&gt;",'Потребление (МВт·ч)'!C135:I135)/SUM('Потребление (МВт·ч)'!C135:I135),"")</s:f>
        <s:v>0.956799231087017</s:v>
      </s:c>
    </s:row>
    <s:row r="136">
      <s:c r="A136" s="5" t="n">
        <s:v>46271</s:v>
      </s:c>
      <s:c r="B136" s="2" t="n">
        <s:v>11</s:v>
      </s:c>
      <s:c r="C136" s="6" t="n">
        <s:v>2402.07422</s:v>
      </s:c>
      <s:c r="D136" s="6" t="n">
        <s:v>2651.31055</s:v>
      </s:c>
      <s:c r="E136" s="6" t="n">
        <s:v>3025.20874</s:v>
      </s:c>
      <s:c r="F136" s="6" t="n">
        <s:v>2525.172</s:v>
      </s:c>
      <s:c r="G136" s="6" t="n">
        <s:v>2205.45874</s:v>
      </s:c>
      <s:c r="H136" s="6" t="n">
        <s:v>1677.69946</s:v>
      </s:c>
      <s:c r="I136" s="6" t="n"/>
      <s:c r="J136" s="6" t="str">
        <s:f>IF(AND(COUNT(C136:I136)=7,COUNT('Потребление (МВт·ч)'!C136:I136)=7,SUM('Потребление (МВт·ч)'!C136:I136)&gt;0),SUMPRODUCT(C136:I136,'Потребление (МВт·ч)'!C136:I136)/SUM('Потребление (МВт·ч)'!C136:I136),"")</s:f>
      </s:c>
      <s:c r="K136" s="6" t="n">
        <s:f>IF(SUMIF(C136:I136,"&lt;&gt;",'Потребление (МВт·ч)'!C136:I136)&gt;0,SUMPRODUCT(C136:I136,'Потребление (МВт·ч)'!C136:I136)/SUMIF(C136:I136,"&lt;&gt;",'Потребление (МВт·ч)'!C136:I136),"")</s:f>
        <s:v>2348.4673341709904</s:v>
      </s:c>
      <s:c r="L136" s="6" t="n">
        <s:f>IF(COUNT(C136:I136)&gt;0,AVERAGE(C136:I136),"")</s:f>
        <s:v>2414.487285</s:v>
      </s:c>
      <s:c r="M136" s="10" t="n">
        <s:f>COUNT(C136:I136)</s:f>
        <s:v>6</s:v>
      </s:c>
      <s:c r="N136" s="11" t="n">
        <s:f>IF(AND(COUNT('Потребление (МВт·ч)'!C136:I136)=7,SUM('Потребление (МВт·ч)'!C136:I136)&gt;0),SUMIF(C136:I136,"&lt;&gt;",'Потребление (МВт·ч)'!C136:I136)/SUM('Потребление (МВт·ч)'!C136:I136),"")</s:f>
        <s:v>0.955628014857892</s:v>
      </s:c>
    </s:row>
    <s:row r="137">
      <s:c r="A137" s="5" t="n">
        <s:v>46271</s:v>
      </s:c>
      <s:c r="B137" s="2" t="n">
        <s:v>12</s:v>
      </s:c>
      <s:c r="C137" s="6" t="n">
        <s:v>2384.74365</s:v>
      </s:c>
      <s:c r="D137" s="6" t="n">
        <s:v>2628.138</s:v>
      </s:c>
      <s:c r="E137" s="6" t="n">
        <s:v>2946.14136</s:v>
      </s:c>
      <s:c r="F137" s="6" t="n">
        <s:v>2509.226</s:v>
      </s:c>
      <s:c r="G137" s="6" t="n">
        <s:v>2197.59351</s:v>
      </s:c>
      <s:c r="H137" s="6" t="n">
        <s:v>1667.99829</s:v>
      </s:c>
      <s:c r="I137" s="6" t="n"/>
      <s:c r="J137" s="6" t="str">
        <s:f>IF(AND(COUNT(C137:I137)=7,COUNT('Потребление (МВт·ч)'!C137:I137)=7,SUM('Потребление (МВт·ч)'!C137:I137)&gt;0),SUMPRODUCT(C137:I137,'Потребление (МВт·ч)'!C137:I137)/SUM('Потребление (МВт·ч)'!C137:I137),"")</s:f>
      </s:c>
      <s:c r="K137" s="6" t="n">
        <s:f>IF(SUMIF(C137:I137,"&lt;&gt;",'Потребление (МВт·ч)'!C137:I137)&gt;0,SUMPRODUCT(C137:I137,'Потребление (МВт·ч)'!C137:I137)/SUMIF(C137:I137,"&lt;&gt;",'Потребление (МВт·ч)'!C137:I137),"")</s:f>
        <s:v>2325.2971811399307</s:v>
      </s:c>
      <s:c r="L137" s="6" t="n">
        <s:f>IF(COUNT(C137:I137)&gt;0,AVERAGE(C137:I137),"")</s:f>
        <s:v>2388.973468333333</s:v>
      </s:c>
      <s:c r="M137" s="10" t="n">
        <s:f>COUNT(C137:I137)</s:f>
        <s:v>6</s:v>
      </s:c>
      <s:c r="N137" s="11" t="n">
        <s:f>IF(AND(COUNT('Потребление (МВт·ч)'!C137:I137)=7,SUM('Потребление (МВт·ч)'!C137:I137)&gt;0),SUMIF(C137:I137,"&lt;&gt;",'Потребление (МВт·ч)'!C137:I137)/SUM('Потребление (МВт·ч)'!C137:I137),"")</s:f>
        <s:v>0.9552705270527053</s:v>
      </s:c>
    </s:row>
    <s:row r="138">
      <s:c r="A138" s="5" t="n">
        <s:v>46271</s:v>
      </s:c>
      <s:c r="B138" s="2" t="n">
        <s:v>13</s:v>
      </s:c>
      <s:c r="C138" s="6" t="n">
        <s:v>2375.39624</s:v>
      </s:c>
      <s:c r="D138" s="6" t="n">
        <s:v>2600.60352</s:v>
      </s:c>
      <s:c r="E138" s="6" t="n">
        <s:v>2925.53784</s:v>
      </s:c>
      <s:c r="F138" s="6" t="n">
        <s:v>2471.33472</s:v>
      </s:c>
      <s:c r="G138" s="6" t="n">
        <s:v>2163.57739</s:v>
      </s:c>
      <s:c r="H138" s="6" t="n">
        <s:v>1884.32336</s:v>
      </s:c>
      <s:c r="I138" s="6" t="n"/>
      <s:c r="J138" s="6" t="str">
        <s:f>IF(AND(COUNT(C138:I138)=7,COUNT('Потребление (МВт·ч)'!C138:I138)=7,SUM('Потребление (МВт·ч)'!C138:I138)&gt;0),SUMPRODUCT(C138:I138,'Потребление (МВт·ч)'!C138:I138)/SUM('Потребление (МВт·ч)'!C138:I138),"")</s:f>
      </s:c>
      <s:c r="K138" s="6" t="n">
        <s:f>IF(SUMIF(C138:I138,"&lt;&gt;",'Потребление (МВт·ч)'!C138:I138)&gt;0,SUMPRODUCT(C138:I138,'Потребление (МВт·ч)'!C138:I138)/SUMIF(C138:I138,"&lt;&gt;",'Потребление (МВт·ч)'!C138:I138),"")</s:f>
        <s:v>2350.9450860028023</s:v>
      </s:c>
      <s:c r="L138" s="6" t="n">
        <s:f>IF(COUNT(C138:I138)&gt;0,AVERAGE(C138:I138),"")</s:f>
        <s:v>2403.4621783333337</s:v>
      </s:c>
      <s:c r="M138" s="10" t="n">
        <s:f>COUNT(C138:I138)</s:f>
        <s:v>6</s:v>
      </s:c>
      <s:c r="N138" s="11" t="n">
        <s:f>IF(AND(COUNT('Потребление (МВт·ч)'!C138:I138)=7,SUM('Потребление (МВт·ч)'!C138:I138)&gt;0),SUMIF(C138:I138,"&lt;&gt;",'Потребление (МВт·ч)'!C138:I138)/SUM('Потребление (МВт·ч)'!C138:I138),"")</s:f>
        <s:v>0.9551292175459888</s:v>
      </s:c>
    </s:row>
    <s:row r="139">
      <s:c r="A139" s="5" t="n">
        <s:v>46271</s:v>
      </s:c>
      <s:c r="B139" s="2" t="n">
        <s:v>14</s:v>
      </s:c>
      <s:c r="C139" s="6" t="n">
        <s:v>2371.23633</s:v>
      </s:c>
      <s:c r="D139" s="6" t="n">
        <s:v>2599.19556</s:v>
      </s:c>
      <s:c r="E139" s="6" t="n">
        <s:v>2975.941</s:v>
      </s:c>
      <s:c r="F139" s="6" t="n">
        <s:v>2478.60864</s:v>
      </s:c>
      <s:c r="G139" s="6" t="n">
        <s:v>2192.97876</s:v>
      </s:c>
      <s:c r="H139" s="6" t="n">
        <s:v>1884.50269</s:v>
      </s:c>
      <s:c r="I139" s="6" t="n"/>
      <s:c r="J139" s="6" t="str">
        <s:f>IF(AND(COUNT(C139:I139)=7,COUNT('Потребление (МВт·ч)'!C139:I139)=7,SUM('Потребление (МВт·ч)'!C139:I139)&gt;0),SUMPRODUCT(C139:I139,'Потребление (МВт·ч)'!C139:I139)/SUM('Потребление (МВт·ч)'!C139:I139),"")</s:f>
      </s:c>
      <s:c r="K139" s="6" t="n">
        <s:f>IF(SUMIF(C139:I139,"&lt;&gt;",'Потребление (МВт·ч)'!C139:I139)&gt;0,SUMPRODUCT(C139:I139,'Потребление (МВт·ч)'!C139:I139)/SUMIF(C139:I139,"&lt;&gt;",'Потребление (МВт·ч)'!C139:I139),"")</s:f>
        <s:v>2361.02335692545</s:v>
      </s:c>
      <s:c r="L139" s="6" t="n">
        <s:f>IF(COUNT(C139:I139)&gt;0,AVERAGE(C139:I139),"")</s:f>
        <s:v>2417.077163333333</s:v>
      </s:c>
      <s:c r="M139" s="10" t="n">
        <s:f>COUNT(C139:I139)</s:f>
        <s:v>6</s:v>
      </s:c>
      <s:c r="N139" s="11" t="n">
        <s:f>IF(AND(COUNT('Потребление (МВт·ч)'!C139:I139)=7,SUM('Потребление (МВт·ч)'!C139:I139)&gt;0),SUMIF(C139:I139,"&lt;&gt;",'Потребление (МВт·ч)'!C139:I139)/SUM('Потребление (МВт·ч)'!C139:I139),"")</s:f>
        <s:v>0.9562983283468287</s:v>
      </s:c>
    </s:row>
    <s:row r="140">
      <s:c r="A140" s="5" t="n">
        <s:v>46271</s:v>
      </s:c>
      <s:c r="B140" s="2" t="n">
        <s:v>15</s:v>
      </s:c>
      <s:c r="C140" s="6" t="n">
        <s:v>1920.68665</s:v>
      </s:c>
      <s:c r="D140" s="6" t="n">
        <s:v>2415.10815</s:v>
      </s:c>
      <s:c r="E140" s="6" t="n">
        <s:v>3820.32642</s:v>
      </s:c>
      <s:c r="F140" s="6" t="n">
        <s:v>2479.19165</s:v>
      </s:c>
      <s:c r="G140" s="6" t="n">
        <s:v>2265.586</s:v>
      </s:c>
      <s:c r="H140" s="6" t="n">
        <s:v>1752.57922</s:v>
      </s:c>
      <s:c r="I140" s="6" t="n"/>
      <s:c r="J140" s="6" t="str">
        <s:f>IF(AND(COUNT(C140:I140)=7,COUNT('Потребление (МВт·ч)'!C140:I140)=7,SUM('Потребление (МВт·ч)'!C140:I140)&gt;0),SUMPRODUCT(C140:I140,'Потребление (МВт·ч)'!C140:I140)/SUM('Потребление (МВт·ч)'!C140:I140),"")</s:f>
      </s:c>
      <s:c r="K140" s="6" t="n">
        <s:f>IF(SUMIF(C140:I140,"&lt;&gt;",'Потребление (МВт·ч)'!C140:I140)&gt;0,SUMPRODUCT(C140:I140,'Потребление (МВт·ч)'!C140:I140)/SUMIF(C140:I140,"&lt;&gt;",'Потребление (МВт·ч)'!C140:I140),"")</s:f>
        <s:v>2361.6254300014757</s:v>
      </s:c>
      <s:c r="L140" s="6" t="n">
        <s:f>IF(COUNT(C140:I140)&gt;0,AVERAGE(C140:I140),"")</s:f>
        <s:v>2442.246348333333</s:v>
      </s:c>
      <s:c r="M140" s="10" t="n">
        <s:f>COUNT(C140:I140)</s:f>
        <s:v>6</s:v>
      </s:c>
      <s:c r="N140" s="11" t="n">
        <s:f>IF(AND(COUNT('Потребление (МВт·ч)'!C140:I140)=7,SUM('Потребление (МВт·ч)'!C140:I140)&gt;0),SUMIF(C140:I140,"&lt;&gt;",'Потребление (МВт·ч)'!C140:I140)/SUM('Потребление (МВт·ч)'!C140:I140),"")</s:f>
        <s:v>0.9588205431227478</s:v>
      </s:c>
    </s:row>
    <s:row r="141">
      <s:c r="A141" s="5" t="n">
        <s:v>46271</s:v>
      </s:c>
      <s:c r="B141" s="2" t="n">
        <s:v>16</s:v>
      </s:c>
      <s:c r="C141" s="6" t="n">
        <s:v>2228.27246</s:v>
      </s:c>
      <s:c r="D141" s="6" t="n">
        <s:v>2389.23486</s:v>
      </s:c>
      <s:c r="E141" s="6" t="n">
        <s:v>3829.37036</s:v>
      </s:c>
      <s:c r="F141" s="6" t="n">
        <s:v>2477.20532</s:v>
      </s:c>
      <s:c r="G141" s="6" t="n">
        <s:v>2270.77319</s:v>
      </s:c>
      <s:c r="H141" s="6" t="n">
        <s:v>1874.55981</s:v>
      </s:c>
      <s:c r="I141" s="6" t="n"/>
      <s:c r="J141" s="6" t="str">
        <s:f>IF(AND(COUNT(C141:I141)=7,COUNT('Потребление (МВт·ч)'!C141:I141)=7,SUM('Потребление (МВт·ч)'!C141:I141)&gt;0),SUMPRODUCT(C141:I141,'Потребление (МВт·ч)'!C141:I141)/SUM('Потребление (МВт·ч)'!C141:I141),"")</s:f>
      </s:c>
      <s:c r="K141" s="6" t="n">
        <s:f>IF(SUMIF(C141:I141,"&lt;&gt;",'Потребление (МВт·ч)'!C141:I141)&gt;0,SUMPRODUCT(C141:I141,'Потребление (МВт·ч)'!C141:I141)/SUMIF(C141:I141,"&lt;&gt;",'Потребление (МВт·ч)'!C141:I141),"")</s:f>
        <s:v>2409.29507354939</s:v>
      </s:c>
      <s:c r="L141" s="6" t="n">
        <s:f>IF(COUNT(C141:I141)&gt;0,AVERAGE(C141:I141),"")</s:f>
        <s:v>2511.569333333334</s:v>
      </s:c>
      <s:c r="M141" s="10" t="n">
        <s:f>COUNT(C141:I141)</s:f>
        <s:v>6</s:v>
      </s:c>
      <s:c r="N141" s="11" t="n">
        <s:f>IF(AND(COUNT('Потребление (МВт·ч)'!C141:I141)=7,SUM('Потребление (МВт·ч)'!C141:I141)&gt;0),SUMIF(C141:I141,"&lt;&gt;",'Потребление (МВт·ч)'!C141:I141)/SUM('Потребление (МВт·ч)'!C141:I141),"")</s:f>
        <s:v>0.9606816839057026</s:v>
      </s:c>
    </s:row>
    <s:row r="142">
      <s:c r="A142" s="5" t="n">
        <s:v>46271</s:v>
      </s:c>
      <s:c r="B142" s="2" t="n">
        <s:v>17</s:v>
      </s:c>
      <s:c r="C142" s="6" t="n">
        <s:v>2241.32422</s:v>
      </s:c>
      <s:c r="D142" s="6" t="n">
        <s:v>2397.627</s:v>
      </s:c>
      <s:c r="E142" s="6" t="n">
        <s:v>3799.53564</s:v>
      </s:c>
      <s:c r="F142" s="6" t="n">
        <s:v>2483.73438</s:v>
      </s:c>
      <s:c r="G142" s="6" t="n">
        <s:v>2259.12158</s:v>
      </s:c>
      <s:c r="H142" s="6" t="n">
        <s:v>1714.45935</s:v>
      </s:c>
      <s:c r="I142" s="6" t="n"/>
      <s:c r="J142" s="6" t="str">
        <s:f>IF(AND(COUNT(C142:I142)=7,COUNT('Потребление (МВт·ч)'!C142:I142)=7,SUM('Потребление (МВт·ч)'!C142:I142)&gt;0),SUMPRODUCT(C142:I142,'Потребление (МВт·ч)'!C142:I142)/SUM('Потребление (МВт·ч)'!C142:I142),"")</s:f>
      </s:c>
      <s:c r="K142" s="6" t="n">
        <s:f>IF(SUMIF(C142:I142,"&lt;&gt;",'Потребление (МВт·ч)'!C142:I142)&gt;0,SUMPRODUCT(C142:I142,'Потребление (МВт·ч)'!C142:I142)/SUMIF(C142:I142,"&lt;&gt;",'Потребление (МВт·ч)'!C142:I142),"")</s:f>
        <s:v>2370.8551429939243</s:v>
      </s:c>
      <s:c r="L142" s="6" t="n">
        <s:f>IF(COUNT(C142:I142)&gt;0,AVERAGE(C142:I142),"")</s:f>
        <s:v>2482.6336950000004</s:v>
      </s:c>
      <s:c r="M142" s="10" t="n">
        <s:f>COUNT(C142:I142)</s:f>
        <s:v>6</s:v>
      </s:c>
      <s:c r="N142" s="11" t="n">
        <s:f>IF(AND(COUNT('Потребление (МВт·ч)'!C142:I142)=7,SUM('Потребление (МВт·ч)'!C142:I142)&gt;0),SUMIF(C142:I142,"&lt;&gt;",'Потребление (МВт·ч)'!C142:I142)/SUM('Потребление (МВт·ч)'!C142:I142),"")</s:f>
        <s:v>0.9628157273655491</s:v>
      </s:c>
    </s:row>
    <s:row r="143">
      <s:c r="A143" s="5" t="n">
        <s:v>46271</s:v>
      </s:c>
      <s:c r="B143" s="2" t="n">
        <s:v>18</s:v>
      </s:c>
      <s:c r="C143" s="6" t="n">
        <s:v>2301.90576</s:v>
      </s:c>
      <s:c r="D143" s="6" t="n">
        <s:v>2447.81055</s:v>
      </s:c>
      <s:c r="E143" s="6" t="n">
        <s:v>3850.809</s:v>
      </s:c>
      <s:c r="F143" s="6" t="n">
        <s:v>2547.71313</s:v>
      </s:c>
      <s:c r="G143" s="6" t="n">
        <s:v>2320.73364</s:v>
      </s:c>
      <s:c r="H143" s="6" t="n">
        <s:v>1548.31079</s:v>
      </s:c>
      <s:c r="I143" s="6" t="n"/>
      <s:c r="J143" s="6" t="str">
        <s:f>IF(AND(COUNT(C143:I143)=7,COUNT('Потребление (МВт·ч)'!C143:I143)=7,SUM('Потребление (МВт·ч)'!C143:I143)&gt;0),SUMPRODUCT(C143:I143,'Потребление (МВт·ч)'!C143:I143)/SUM('Потребление (МВт·ч)'!C143:I143),"")</s:f>
      </s:c>
      <s:c r="K143" s="6" t="n">
        <s:f>IF(SUMIF(C143:I143,"&lt;&gt;",'Потребление (МВт·ч)'!C143:I143)&gt;0,SUMPRODUCT(C143:I143,'Потребление (МВт·ч)'!C143:I143)/SUMIF(C143:I143,"&lt;&gt;",'Потребление (МВт·ч)'!C143:I143),"")</s:f>
        <s:v>2390.8911626503964</s:v>
      </s:c>
      <s:c r="L143" s="6" t="n">
        <s:f>IF(COUNT(C143:I143)&gt;0,AVERAGE(C143:I143),"")</s:f>
        <s:v>2502.8804783333335</s:v>
      </s:c>
      <s:c r="M143" s="10" t="n">
        <s:f>COUNT(C143:I143)</s:f>
        <s:v>6</s:v>
      </s:c>
      <s:c r="N143" s="11" t="n">
        <s:f>IF(AND(COUNT('Потребление (МВт·ч)'!C143:I143)=7,SUM('Потребление (МВт·ч)'!C143:I143)&gt;0),SUMIF(C143:I143,"&lt;&gt;",'Потребление (МВт·ч)'!C143:I143)/SUM('Потребление (МВт·ч)'!C143:I143),"")</s:f>
        <s:v>0.9626174491018968</s:v>
      </s:c>
    </s:row>
    <s:row r="144">
      <s:c r="A144" s="5" t="n">
        <s:v>46271</s:v>
      </s:c>
      <s:c r="B144" s="2" t="n">
        <s:v>19</s:v>
      </s:c>
      <s:c r="C144" s="6" t="n">
        <s:v>2358.18457</s:v>
      </s:c>
      <s:c r="D144" s="6" t="n">
        <s:v>2507.20313</s:v>
      </s:c>
      <s:c r="E144" s="6" t="n">
        <s:v>3779.55518</s:v>
      </s:c>
      <s:c r="F144" s="6" t="n">
        <s:v>2630.27734</s:v>
      </s:c>
      <s:c r="G144" s="6" t="n">
        <s:v>2314.7832</s:v>
      </s:c>
      <s:c r="H144" s="6" t="n">
        <s:v>1566.26111</s:v>
      </s:c>
      <s:c r="I144" s="6" t="n"/>
      <s:c r="J144" s="6" t="str">
        <s:f>IF(AND(COUNT(C144:I144)=7,COUNT('Потребление (МВт·ч)'!C144:I144)=7,SUM('Потребление (МВт·ч)'!C144:I144)&gt;0),SUMPRODUCT(C144:I144,'Потребление (МВт·ч)'!C144:I144)/SUM('Потребление (МВт·ч)'!C144:I144),"")</s:f>
      </s:c>
      <s:c r="K144" s="6" t="n">
        <s:f>IF(SUMIF(C144:I144,"&lt;&gt;",'Потребление (МВт·ч)'!C144:I144)&gt;0,SUMPRODUCT(C144:I144,'Потребление (МВт·ч)'!C144:I144)/SUMIF(C144:I144,"&lt;&gt;",'Потребление (МВт·ч)'!C144:I144),"")</s:f>
        <s:v>2420.873744668513</s:v>
      </s:c>
      <s:c r="L144" s="6" t="n">
        <s:f>IF(COUNT(C144:I144)&gt;0,AVERAGE(C144:I144),"")</s:f>
        <s:v>2526.044088333333</s:v>
      </s:c>
      <s:c r="M144" s="10" t="n">
        <s:f>COUNT(C144:I144)</s:f>
        <s:v>6</s:v>
      </s:c>
      <s:c r="N144" s="11" t="n">
        <s:f>IF(AND(COUNT('Потребление (МВт·ч)'!C144:I144)=7,SUM('Потребление (МВт·ч)'!C144:I144)&gt;0),SUMIF(C144:I144,"&lt;&gt;",'Потребление (МВт·ч)'!C144:I144)/SUM('Потребление (МВт·ч)'!C144:I144),"")</s:f>
        <s:v>0.9637920181291704</s:v>
      </s:c>
    </s:row>
    <s:row r="145">
      <s:c r="A145" s="5" t="n">
        <s:v>46271</s:v>
      </s:c>
      <s:c r="B145" s="2" t="n">
        <s:v>20</s:v>
      </s:c>
      <s:c r="C145" s="6" t="n">
        <s:v>2330.749</s:v>
      </s:c>
      <s:c r="D145" s="6" t="n">
        <s:v>2381.655</s:v>
      </s:c>
      <s:c r="E145" s="6" t="n">
        <s:v>3327.65576</s:v>
      </s:c>
      <s:c r="F145" s="6" t="n">
        <s:v>2411.71777</s:v>
      </s:c>
      <s:c r="G145" s="6" t="n">
        <s:v>2012.66052</s:v>
      </s:c>
      <s:c r="H145" s="6" t="n">
        <s:v>1400.16162</s:v>
      </s:c>
      <s:c r="I145" s="6" t="n"/>
      <s:c r="J145" s="6" t="str">
        <s:f>IF(AND(COUNT(C145:I145)=7,COUNT('Потребление (МВт·ч)'!C145:I145)=7,SUM('Потребление (МВт·ч)'!C145:I145)&gt;0),SUMPRODUCT(C145:I145,'Потребление (МВт·ч)'!C145:I145)/SUM('Потребление (МВт·ч)'!C145:I145),"")</s:f>
      </s:c>
      <s:c r="K145" s="6" t="n">
        <s:f>IF(SUMIF(C145:I145,"&lt;&gt;",'Потребление (МВт·ч)'!C145:I145)&gt;0,SUMPRODUCT(C145:I145,'Потребление (МВт·ч)'!C145:I145)/SUMIF(C145:I145,"&lt;&gt;",'Потребление (МВт·ч)'!C145:I145),"")</s:f>
        <s:v>2211.190256498918</s:v>
      </s:c>
      <s:c r="L145" s="6" t="n">
        <s:f>IF(COUNT(C145:I145)&gt;0,AVERAGE(C145:I145),"")</s:f>
        <s:v>2310.7666116666664</s:v>
      </s:c>
      <s:c r="M145" s="10" t="n">
        <s:f>COUNT(C145:I145)</s:f>
        <s:v>6</s:v>
      </s:c>
      <s:c r="N145" s="11" t="n">
        <s:f>IF(AND(COUNT('Потребление (МВт·ч)'!C145:I145)=7,SUM('Потребление (МВт·ч)'!C145:I145)&gt;0),SUMIF(C145:I145,"&lt;&gt;",'Потребление (МВт·ч)'!C145:I145)/SUM('Потребление (МВт·ч)'!C145:I145),"")</s:f>
        <s:v>0.9623010284641318</s:v>
      </s:c>
    </s:row>
    <s:row r="146">
      <s:c r="A146" s="5" t="n">
        <s:v>46271</s:v>
      </s:c>
      <s:c r="B146" s="2" t="n">
        <s:v>21</s:v>
      </s:c>
      <s:c r="C146" s="6" t="n">
        <s:v>1803.1366</s:v>
      </s:c>
      <s:c r="D146" s="6" t="n">
        <s:v>2031.88489</s:v>
      </s:c>
      <s:c r="E146" s="6" t="n">
        <s:v>2555.14526</s:v>
      </s:c>
      <s:c r="F146" s="6" t="n">
        <s:v>1854.20667</s:v>
      </s:c>
      <s:c r="G146" s="6" t="n">
        <s:v>1584.66809</s:v>
      </s:c>
      <s:c r="H146" s="6" t="n">
        <s:v>1197.75745</s:v>
      </s:c>
      <s:c r="I146" s="6" t="n"/>
      <s:c r="J146" s="6" t="str">
        <s:f>IF(AND(COUNT(C146:I146)=7,COUNT('Потребление (МВт·ч)'!C146:I146)=7,SUM('Потребление (МВт·ч)'!C146:I146)&gt;0),SUMPRODUCT(C146:I146,'Потребление (МВт·ч)'!C146:I146)/SUM('Потребление (МВт·ч)'!C146:I146),"")</s:f>
      </s:c>
      <s:c r="K146" s="6" t="n">
        <s:f>IF(SUMIF(C146:I146,"&lt;&gt;",'Потребление (МВт·ч)'!C146:I146)&gt;0,SUMPRODUCT(C146:I146,'Потребление (МВт·ч)'!C146:I146)/SUMIF(C146:I146,"&lt;&gt;",'Потребление (МВт·ч)'!C146:I146),"")</s:f>
        <s:v>1777.3140860941924</s:v>
      </s:c>
      <s:c r="L146" s="6" t="n">
        <s:f>IF(COUNT(C146:I146)&gt;0,AVERAGE(C146:I146),"")</s:f>
        <s:v>1837.7998266666666</s:v>
      </s:c>
      <s:c r="M146" s="10" t="n">
        <s:f>COUNT(C146:I146)</s:f>
        <s:v>6</s:v>
      </s:c>
      <s:c r="N146" s="11" t="n">
        <s:f>IF(AND(COUNT('Потребление (МВт·ч)'!C146:I146)=7,SUM('Потребление (МВт·ч)'!C146:I146)&gt;0),SUMIF(C146:I146,"&lt;&gt;",'Потребление (МВт·ч)'!C146:I146)/SUM('Потребление (МВт·ч)'!C146:I146),"")</s:f>
        <s:v>0.9615292244469548</s:v>
      </s:c>
    </s:row>
    <s:row r="147">
      <s:c r="A147" s="5" t="n">
        <s:v>46271</s:v>
      </s:c>
      <s:c r="B147" s="2" t="n">
        <s:v>22</s:v>
      </s:c>
      <s:c r="C147" s="6" t="n">
        <s:v>1691.69617</s:v>
      </s:c>
      <s:c r="D147" s="6" t="n">
        <s:v>1998.904</s:v>
      </s:c>
      <s:c r="E147" s="6" t="n">
        <s:v>1849.77441</s:v>
      </s:c>
      <s:c r="F147" s="6" t="n">
        <s:v>1758.4646</s:v>
      </s:c>
      <s:c r="G147" s="6" t="n">
        <s:v>1509.10779</s:v>
      </s:c>
      <s:c r="H147" s="6" t="n">
        <s:v>986.3321529999999</s:v>
      </s:c>
      <s:c r="I147" s="6" t="n"/>
      <s:c r="J147" s="6" t="str">
        <s:f>IF(AND(COUNT(C147:I147)=7,COUNT('Потребление (МВт·ч)'!C147:I147)=7,SUM('Потребление (МВт·ч)'!C147:I147)&gt;0),SUMPRODUCT(C147:I147,'Потребление (МВт·ч)'!C147:I147)/SUM('Потребление (МВт·ч)'!C147:I147),"")</s:f>
      </s:c>
      <s:c r="K147" s="6" t="n">
        <s:f>IF(SUMIF(C147:I147,"&lt;&gt;",'Потребление (МВт·ч)'!C147:I147)&gt;0,SUMPRODUCT(C147:I147,'Потребление (МВт·ч)'!C147:I147)/SUMIF(C147:I147,"&lt;&gt;",'Потребление (МВт·ч)'!C147:I147),"")</s:f>
        <s:v>1602.1613828399</s:v>
      </s:c>
      <s:c r="L147" s="6" t="n">
        <s:f>IF(COUNT(C147:I147)&gt;0,AVERAGE(C147:I147),"")</s:f>
        <s:v>1632.3798538333333</s:v>
      </s:c>
      <s:c r="M147" s="10" t="n">
        <s:f>COUNT(C147:I147)</s:f>
        <s:v>6</s:v>
      </s:c>
      <s:c r="N147" s="11" t="n">
        <s:f>IF(AND(COUNT('Потребление (МВт·ч)'!C147:I147)=7,SUM('Потребление (МВт·ч)'!C147:I147)&gt;0),SUMIF(C147:I147,"&lt;&gt;",'Потребление (МВт·ч)'!C147:I147)/SUM('Потребление (МВт·ч)'!C147:I147),"")</s:f>
        <s:v>0.9591880223099302</s:v>
      </s:c>
    </s:row>
    <s:row r="148">
      <s:c r="A148" s="5" t="n">
        <s:v>46271</s:v>
      </s:c>
      <s:c r="B148" s="2" t="n">
        <s:v>23</s:v>
      </s:c>
      <s:c r="C148" s="6" t="n">
        <s:v>1330.50684</s:v>
      </s:c>
      <s:c r="D148" s="6" t="n">
        <s:v>1778.85</s:v>
      </s:c>
      <s:c r="E148" s="6" t="n">
        <s:v>1196.84155</s:v>
      </s:c>
      <s:c r="F148" s="6" t="n">
        <s:v>1432.99866</s:v>
      </s:c>
      <s:c r="G148" s="6" t="n">
        <s:v>1276.804</s:v>
      </s:c>
      <s:c r="H148" s="6" t="n">
        <s:v>565.4057</s:v>
      </s:c>
      <s:c r="I148" s="6" t="n"/>
      <s:c r="J148" s="6" t="str">
        <s:f>IF(AND(COUNT(C148:I148)=7,COUNT('Потребление (МВт·ч)'!C148:I148)=7,SUM('Потребление (МВт·ч)'!C148:I148)&gt;0),SUMPRODUCT(C148:I148,'Потребление (МВт·ч)'!C148:I148)/SUM('Потребление (МВт·ч)'!C148:I148),"")</s:f>
      </s:c>
      <s:c r="K148" s="6" t="n">
        <s:f>IF(SUMIF(C148:I148,"&lt;&gt;",'Потребление (МВт·ч)'!C148:I148)&gt;0,SUMPRODUCT(C148:I148,'Потребление (МВт·ч)'!C148:I148)/SUMIF(C148:I148,"&lt;&gt;",'Потребление (МВт·ч)'!C148:I148),"")</s:f>
        <s:v>1255.2794071693515</s:v>
      </s:c>
      <s:c r="L148" s="6" t="n">
        <s:f>IF(COUNT(C148:I148)&gt;0,AVERAGE(C148:I148),"")</s:f>
        <s:v>1263.5677916666666</s:v>
      </s:c>
      <s:c r="M148" s="10" t="n">
        <s:f>COUNT(C148:I148)</s:f>
        <s:v>6</s:v>
      </s:c>
      <s:c r="N148" s="11" t="n">
        <s:f>IF(AND(COUNT('Потребление (МВт·ч)'!C148:I148)=7,SUM('Потребление (МВт·ч)'!C148:I148)&gt;0),SUMIF(C148:I148,"&lt;&gt;",'Потребление (МВт·ч)'!C148:I148)/SUM('Потребление (МВт·ч)'!C148:I148),"")</s:f>
        <s:v>0.9549205437488034</s:v>
      </s:c>
    </s:row>
    <s:row r="149">
      <s:c r="A149" s="5" t="n">
        <s:v>46272</s:v>
      </s:c>
      <s:c r="B149" s="2" t="n">
        <s:v>0</s:v>
      </s:c>
      <s:c r="C149" s="6" t="n">
        <s:v>1434.40662</s:v>
      </s:c>
      <s:c r="D149" s="6" t="n">
        <s:v>1612.355</s:v>
      </s:c>
      <s:c r="E149" s="6" t="n">
        <s:v>1540.94153</s:v>
      </s:c>
      <s:c r="F149" s="6" t="n">
        <s:v>1667.7948</s:v>
      </s:c>
      <s:c r="G149" s="6" t="n">
        <s:v>1530.71155</s:v>
      </s:c>
      <s:c r="H149" s="6" t="n">
        <s:v>611.7856</s:v>
      </s:c>
      <s:c r="I149" s="6" t="n"/>
      <s:c r="J149" s="6" t="str">
        <s:f>IF(AND(COUNT(C149:I149)=7,COUNT('Потребление (МВт·ч)'!C149:I149)=7,SUM('Потребление (МВт·ч)'!C149:I149)&gt;0),SUMPRODUCT(C149:I149,'Потребление (МВт·ч)'!C149:I149)/SUM('Потребление (МВт·ч)'!C149:I149),"")</s:f>
      </s:c>
      <s:c r="K149" s="6" t="n">
        <s:f>IF(SUMIF(C149:I149,"&lt;&gt;",'Потребление (МВт·ч)'!C149:I149)&gt;0,SUMPRODUCT(C149:I149,'Потребление (МВт·ч)'!C149:I149)/SUMIF(C149:I149,"&lt;&gt;",'Потребление (МВт·ч)'!C149:I149),"")</s:f>
        <s:v>1347.822768237495</s:v>
      </s:c>
      <s:c r="L149" s="6" t="n">
        <s:f>IF(COUNT(C149:I149)&gt;0,AVERAGE(C149:I149),"")</s:f>
        <s:v>1399.66585</s:v>
      </s:c>
      <s:c r="M149" s="10" t="n">
        <s:f>COUNT(C149:I149)</s:f>
        <s:v>6</s:v>
      </s:c>
      <s:c r="N149" s="11" t="n">
        <s:f>IF(AND(COUNT('Потребление (МВт·ч)'!C149:I149)=7,SUM('Потребление (МВт·ч)'!C149:I149)&gt;0),SUMIF(C149:I149,"&lt;&gt;",'Потребление (МВт·ч)'!C149:I149)/SUM('Потребление (МВт·ч)'!C149:I149),"")</s:f>
        <s:v>0.9527250710442281</s:v>
      </s:c>
    </s:row>
    <s:row r="150">
      <s:c r="A150" s="5" t="n">
        <s:v>46272</s:v>
      </s:c>
      <s:c r="B150" s="2" t="n">
        <s:v>1</s:v>
      </s:c>
      <s:c r="C150" s="6" t="n">
        <s:v>1120.83765</s:v>
      </s:c>
      <s:c r="D150" s="6" t="n">
        <s:v>1264.41345</s:v>
      </s:c>
      <s:c r="E150" s="6" t="n">
        <s:v>1221.75378</s:v>
      </s:c>
      <s:c r="F150" s="6" t="n">
        <s:v>1324.9502</s:v>
      </s:c>
      <s:c r="G150" s="6" t="n">
        <s:v>1271.68347</s:v>
      </s:c>
      <s:c r="H150" s="6" t="n">
        <s:v>220.096313</s:v>
      </s:c>
      <s:c r="I150" s="6" t="n"/>
      <s:c r="J150" s="6" t="str">
        <s:f>IF(AND(COUNT(C150:I150)=7,COUNT('Потребление (МВт·ч)'!C150:I150)=7,SUM('Потребление (МВт·ч)'!C150:I150)&gt;0),SUMPRODUCT(C150:I150,'Потребление (МВт·ч)'!C150:I150)/SUM('Потребление (МВт·ч)'!C150:I150),"")</s:f>
      </s:c>
      <s:c r="K150" s="6" t="n">
        <s:f>IF(SUMIF(C150:I150,"&lt;&gt;",'Потребление (МВт·ч)'!C150:I150)&gt;0,SUMPRODUCT(C150:I150,'Потребление (МВт·ч)'!C150:I150)/SUMIF(C150:I150,"&lt;&gt;",'Потребление (МВт·ч)'!C150:I150),"")</s:f>
        <s:v>1008.7859462730904</s:v>
      </s:c>
      <s:c r="L150" s="6" t="n">
        <s:f>IF(COUNT(C150:I150)&gt;0,AVERAGE(C150:I150),"")</s:f>
        <s:v>1070.6224771666666</s:v>
      </s:c>
      <s:c r="M150" s="10" t="n">
        <s:f>COUNT(C150:I150)</s:f>
        <s:v>6</s:v>
      </s:c>
      <s:c r="N150" s="11" t="n">
        <s:f>IF(AND(COUNT('Потребление (МВт·ч)'!C150:I150)=7,SUM('Потребление (МВт·ч)'!C150:I150)&gt;0),SUMIF(C150:I150,"&lt;&gt;",'Потребление (МВт·ч)'!C150:I150)/SUM('Потребление (МВт·ч)'!C150:I150),"")</s:f>
        <s:v>0.9503963180772181</s:v>
      </s:c>
    </s:row>
    <s:row r="151">
      <s:c r="A151" s="5" t="n">
        <s:v>46272</s:v>
      </s:c>
      <s:c r="B151" s="2" t="n">
        <s:v>2</s:v>
      </s:c>
      <s:c r="C151" s="6" t="n">
        <s:v>1158.4574</s:v>
      </s:c>
      <s:c r="D151" s="6" t="n">
        <s:v>1199.98511</s:v>
      </s:c>
      <s:c r="E151" s="6" t="n">
        <s:v>1179.88281</s:v>
      </s:c>
      <s:c r="F151" s="6" t="n">
        <s:v>1296.37732</s:v>
      </s:c>
      <s:c r="G151" s="6" t="n">
        <s:v>1276.414</s:v>
      </s:c>
      <s:c r="H151" s="6" t="n">
        <s:v>677.174</s:v>
      </s:c>
      <s:c r="I151" s="6" t="n"/>
      <s:c r="J151" s="6" t="str">
        <s:f>IF(AND(COUNT(C151:I151)=7,COUNT('Потребление (МВт·ч)'!C151:I151)=7,SUM('Потребление (МВт·ч)'!C151:I151)&gt;0),SUMPRODUCT(C151:I151,'Потребление (МВт·ч)'!C151:I151)/SUM('Потребление (МВт·ч)'!C151:I151),"")</s:f>
      </s:c>
      <s:c r="K151" s="6" t="n">
        <s:f>IF(SUMIF(C151:I151,"&lt;&gt;",'Потребление (МВт·ч)'!C151:I151)&gt;0,SUMPRODUCT(C151:I151,'Потребление (МВт·ч)'!C151:I151)/SUMIF(C151:I151,"&lt;&gt;",'Потребление (МВт·ч)'!C151:I151),"")</s:f>
        <s:v>1094.1779917550878</s:v>
      </s:c>
      <s:c r="L151" s="6" t="n">
        <s:f>IF(COUNT(C151:I151)&gt;0,AVERAGE(C151:I151),"")</s:f>
        <s:v>1131.3817733333333</s:v>
      </s:c>
      <s:c r="M151" s="10" t="n">
        <s:f>COUNT(C151:I151)</s:f>
        <s:v>6</s:v>
      </s:c>
      <s:c r="N151" s="11" t="n">
        <s:f>IF(AND(COUNT('Потребление (МВт·ч)'!C151:I151)=7,SUM('Потребление (МВт·ч)'!C151:I151)&gt;0),SUMIF(C151:I151,"&lt;&gt;",'Потребление (МВт·ч)'!C151:I151)/SUM('Потребление (МВт·ч)'!C151:I151),"")</s:f>
        <s:v>0.9503086117370432</s:v>
      </s:c>
    </s:row>
    <s:row r="152">
      <s:c r="A152" s="5" t="n">
        <s:v>46272</s:v>
      </s:c>
      <s:c r="B152" s="2" t="n">
        <s:v>3</s:v>
      </s:c>
      <s:c r="C152" s="6" t="n">
        <s:v>1006.70111</s:v>
      </s:c>
      <s:c r="D152" s="6" t="n">
        <s:v>1131.46</s:v>
      </s:c>
      <s:c r="E152" s="6" t="n">
        <s:v>1149.014</s:v>
      </s:c>
      <s:c r="F152" s="6" t="n">
        <s:v>1277.61646</s:v>
      </s:c>
      <s:c r="G152" s="6" t="n">
        <s:v>1263.91345</s:v>
      </s:c>
      <s:c r="H152" s="6" t="n">
        <s:v>214.680054</s:v>
      </s:c>
      <s:c r="I152" s="6" t="n"/>
      <s:c r="J152" s="6" t="str">
        <s:f>IF(AND(COUNT(C152:I152)=7,COUNT('Потребление (МВт·ч)'!C152:I152)=7,SUM('Потребление (МВт·ч)'!C152:I152)&gt;0),SUMPRODUCT(C152:I152,'Потребление (МВт·ч)'!C152:I152)/SUM('Потребление (МВт·ч)'!C152:I152),"")</s:f>
      </s:c>
      <s:c r="K152" s="6" t="n">
        <s:f>IF(SUMIF(C152:I152,"&lt;&gt;",'Потребление (МВт·ч)'!C152:I152)&gt;0,SUMPRODUCT(C152:I152,'Потребление (МВт·ч)'!C152:I152)/SUMIF(C152:I152,"&lt;&gt;",'Потребление (МВт·ч)'!C152:I152),"")</s:f>
        <s:v>944.9403857531927</s:v>
      </s:c>
      <s:c r="L152" s="6" t="n">
        <s:f>IF(COUNT(C152:I152)&gt;0,AVERAGE(C152:I152),"")</s:f>
        <s:v>1007.2308456666668</s:v>
      </s:c>
      <s:c r="M152" s="10" t="n">
        <s:f>COUNT(C152:I152)</s:f>
        <s:v>6</s:v>
      </s:c>
      <s:c r="N152" s="11" t="n">
        <s:f>IF(AND(COUNT('Потребление (МВт·ч)'!C152:I152)=7,SUM('Потребление (МВт·ч)'!C152:I152)&gt;0),SUMIF(C152:I152,"&lt;&gt;",'Потребление (МВт·ч)'!C152:I152)/SUM('Потребление (МВт·ч)'!C152:I152),"")</s:f>
        <s:v>0.9486681680515648</s:v>
      </s:c>
    </s:row>
    <s:row r="153">
      <s:c r="A153" s="5" t="n">
        <s:v>46272</s:v>
      </s:c>
      <s:c r="B153" s="2" t="n">
        <s:v>4</s:v>
      </s:c>
      <s:c r="C153" s="6" t="n">
        <s:v>949.8838500000001</s:v>
      </s:c>
      <s:c r="D153" s="6" t="n">
        <s:v>1271.0498</s:v>
      </s:c>
      <s:c r="E153" s="6" t="n">
        <s:v>1293.882</s:v>
      </s:c>
      <s:c r="F153" s="6" t="n">
        <s:v>1443.73486</s:v>
      </s:c>
      <s:c r="G153" s="6" t="n">
        <s:v>1428.58337</s:v>
      </s:c>
      <s:c r="H153" s="6" t="n">
        <s:v>240.606934</s:v>
      </s:c>
      <s:c r="I153" s="6" t="n"/>
      <s:c r="J153" s="6" t="str">
        <s:f>IF(AND(COUNT(C153:I153)=7,COUNT('Потребление (МВт·ч)'!C153:I153)=7,SUM('Потребление (МВт·ч)'!C153:I153)&gt;0),SUMPRODUCT(C153:I153,'Потребление (МВт·ч)'!C153:I153)/SUM('Потребление (МВт·ч)'!C153:I153),"")</s:f>
      </s:c>
      <s:c r="K153" s="6" t="n">
        <s:f>IF(SUMIF(C153:I153,"&lt;&gt;",'Потребление (МВт·ч)'!C153:I153)&gt;0,SUMPRODUCT(C153:I153,'Потребление (МВт·ч)'!C153:I153)/SUMIF(C153:I153,"&lt;&gt;",'Потребление (МВт·ч)'!C153:I153),"")</s:f>
        <s:v>1048.8925500700632</s:v>
      </s:c>
      <s:c r="L153" s="6" t="n">
        <s:f>IF(COUNT(C153:I153)&gt;0,AVERAGE(C153:I153),"")</s:f>
        <s:v>1104.6234690000001</s:v>
      </s:c>
      <s:c r="M153" s="10" t="n">
        <s:f>COUNT(C153:I153)</s:f>
        <s:v>6</s:v>
      </s:c>
      <s:c r="N153" s="11" t="n">
        <s:f>IF(AND(COUNT('Потребление (МВт·ч)'!C153:I153)=7,SUM('Потребление (МВт·ч)'!C153:I153)&gt;0),SUMIF(C153:I153,"&lt;&gt;",'Потребление (МВт·ч)'!C153:I153)/SUM('Потребление (МВт·ч)'!C153:I153),"")</s:f>
        <s:v>0.9508224827835827</s:v>
      </s:c>
    </s:row>
    <s:row r="154">
      <s:c r="A154" s="5" t="n">
        <s:v>46272</s:v>
      </s:c>
      <s:c r="B154" s="2" t="n">
        <s:v>5</s:v>
      </s:c>
      <s:c r="C154" s="6" t="n">
        <s:v>1266.58838</s:v>
      </s:c>
      <s:c r="D154" s="6" t="n">
        <s:v>1664.12732</s:v>
      </s:c>
      <s:c r="E154" s="6" t="n">
        <s:v>1422.058</s:v>
      </s:c>
      <s:c r="F154" s="6" t="n">
        <s:v>1779.61707</s:v>
      </s:c>
      <s:c r="G154" s="6" t="n">
        <s:v>1697.26941</s:v>
      </s:c>
      <s:c r="H154" s="6" t="n">
        <s:v>224.830353</s:v>
      </s:c>
      <s:c r="I154" s="6" t="n"/>
      <s:c r="J154" s="6" t="str">
        <s:f>IF(AND(COUNT(C154:I154)=7,COUNT('Потребление (МВт·ч)'!C154:I154)=7,SUM('Потребление (МВт·ч)'!C154:I154)&gt;0),SUMPRODUCT(C154:I154,'Потребление (МВт·ч)'!C154:I154)/SUM('Потребление (МВт·ч)'!C154:I154),"")</s:f>
      </s:c>
      <s:c r="K154" s="6" t="n">
        <s:f>IF(SUMIF(C154:I154,"&lt;&gt;",'Потребление (МВт·ч)'!C154:I154)&gt;0,SUMPRODUCT(C154:I154,'Потребление (МВт·ч)'!C154:I154)/SUMIF(C154:I154,"&lt;&gt;",'Потребление (МВт·ч)'!C154:I154),"")</s:f>
        <s:v>1280.7084170566786</s:v>
      </s:c>
      <s:c r="L154" s="6" t="n">
        <s:f>IF(COUNT(C154:I154)&gt;0,AVERAGE(C154:I154),"")</s:f>
        <s:v>1342.4150888333334</s:v>
      </s:c>
      <s:c r="M154" s="10" t="n">
        <s:f>COUNT(C154:I154)</s:f>
        <s:v>6</s:v>
      </s:c>
      <s:c r="N154" s="11" t="n">
        <s:f>IF(AND(COUNT('Потребление (МВт·ч)'!C154:I154)=7,SUM('Потребление (МВт·ч)'!C154:I154)&gt;0),SUMIF(C154:I154,"&lt;&gt;",'Потребление (МВт·ч)'!C154:I154)/SUM('Потребление (МВт·ч)'!C154:I154),"")</s:f>
        <s:v>0.9525784482918592</s:v>
      </s:c>
    </s:row>
    <s:row r="155">
      <s:c r="A155" s="5" t="n">
        <s:v>46272</s:v>
      </s:c>
      <s:c r="B155" s="2" t="n">
        <s:v>6</s:v>
      </s:c>
      <s:c r="C155" s="6" t="n">
        <s:v>1692.38977</s:v>
      </s:c>
      <s:c r="D155" s="6" t="n">
        <s:v>1898.991</s:v>
      </s:c>
      <s:c r="E155" s="6" t="n">
        <s:v>1669.99988</s:v>
      </s:c>
      <s:c r="F155" s="6" t="n">
        <s:v>2014.84253</s:v>
      </s:c>
      <s:c r="G155" s="6" t="n">
        <s:v>1893.64111</s:v>
      </s:c>
      <s:c r="H155" s="6" t="n">
        <s:v>848.61554</s:v>
      </s:c>
      <s:c r="I155" s="6" t="n"/>
      <s:c r="J155" s="6" t="str">
        <s:f>IF(AND(COUNT(C155:I155)=7,COUNT('Потребление (МВт·ч)'!C155:I155)=7,SUM('Потребление (МВт·ч)'!C155:I155)&gt;0),SUMPRODUCT(C155:I155,'Потребление (МВт·ч)'!C155:I155)/SUM('Потребление (МВт·ч)'!C155:I155),"")</s:f>
      </s:c>
      <s:c r="K155" s="6" t="n">
        <s:f>IF(SUMIF(C155:I155,"&lt;&gt;",'Потребление (МВт·ч)'!C155:I155)&gt;0,SUMPRODUCT(C155:I155,'Потребление (МВт·ч)'!C155:I155)/SUMIF(C155:I155,"&lt;&gt;",'Потребление (МВт·ч)'!C155:I155),"")</s:f>
        <s:v>1631.3246803054396</s:v>
      </s:c>
      <s:c r="L155" s="6" t="n">
        <s:f>IF(COUNT(C155:I155)&gt;0,AVERAGE(C155:I155),"")</s:f>
        <s:v>1669.7466383333333</s:v>
      </s:c>
      <s:c r="M155" s="10" t="n">
        <s:f>COUNT(C155:I155)</s:f>
        <s:v>6</s:v>
      </s:c>
      <s:c r="N155" s="11" t="n">
        <s:f>IF(AND(COUNT('Потребление (МВт·ч)'!C155:I155)=7,SUM('Потребление (МВт·ч)'!C155:I155)&gt;0),SUMIF(C155:I155,"&lt;&gt;",'Потребление (МВт·ч)'!C155:I155)/SUM('Потребление (МВт·ч)'!C155:I155),"")</s:f>
        <s:v>0.9546048219139398</s:v>
      </s:c>
    </s:row>
    <s:row r="156">
      <s:c r="A156" s="5" t="n">
        <s:v>46272</s:v>
      </s:c>
      <s:c r="B156" s="2" t="n">
        <s:v>7</s:v>
      </s:c>
      <s:c r="C156" s="6" t="n">
        <s:v>1981.48975</s:v>
      </s:c>
      <s:c r="D156" s="6" t="n">
        <s:v>2189.63647</s:v>
      </s:c>
      <s:c r="E156" s="6" t="n">
        <s:v>1667.26965</s:v>
      </s:c>
      <s:c r="F156" s="6" t="n">
        <s:v>2294.4126</s:v>
      </s:c>
      <s:c r="G156" s="6" t="n">
        <s:v>2055.71338</s:v>
      </s:c>
      <s:c r="H156" s="6" t="n">
        <s:v>818.5382</s:v>
      </s:c>
      <s:c r="I156" s="6" t="n"/>
      <s:c r="J156" s="6" t="str">
        <s:f>IF(AND(COUNT(C156:I156)=7,COUNT('Потребление (МВт·ч)'!C156:I156)=7,SUM('Потребление (МВт·ч)'!C156:I156)&gt;0),SUMPRODUCT(C156:I156,'Потребление (МВт·ч)'!C156:I156)/SUM('Потребление (МВт·ч)'!C156:I156),"")</s:f>
      </s:c>
      <s:c r="K156" s="6" t="n">
        <s:f>IF(SUMIF(C156:I156,"&lt;&gt;",'Потребление (МВт·ч)'!C156:I156)&gt;0,SUMPRODUCT(C156:I156,'Потребление (МВт·ч)'!C156:I156)/SUMIF(C156:I156,"&lt;&gt;",'Потребление (МВт·ч)'!C156:I156),"")</s:f>
        <s:v>1802.2454177677823</s:v>
      </s:c>
      <s:c r="L156" s="6" t="n">
        <s:f>IF(COUNT(C156:I156)&gt;0,AVERAGE(C156:I156),"")</s:f>
        <s:v>1834.5100083333334</s:v>
      </s:c>
      <s:c r="M156" s="10" t="n">
        <s:f>COUNT(C156:I156)</s:f>
        <s:v>6</s:v>
      </s:c>
      <s:c r="N156" s="11" t="n">
        <s:f>IF(AND(COUNT('Потребление (МВт·ч)'!C156:I156)=7,SUM('Потребление (МВт·ч)'!C156:I156)&gt;0),SUMIF(C156:I156,"&lt;&gt;",'Потребление (МВт·ч)'!C156:I156)/SUM('Потребление (МВт·ч)'!C156:I156),"")</s:f>
        <s:v>0.9564928764744932</s:v>
      </s:c>
    </s:row>
    <s:row r="157">
      <s:c r="A157" s="5" t="n">
        <s:v>46272</s:v>
      </s:c>
      <s:c r="B157" s="2" t="n">
        <s:v>8</s:v>
      </s:c>
      <s:c r="C157" s="6" t="n">
        <s:v>2436.03223</s:v>
      </s:c>
      <s:c r="D157" s="6" t="n">
        <s:v>2887.32764</s:v>
      </s:c>
      <s:c r="E157" s="6" t="n">
        <s:v>2151.2478</s:v>
      </s:c>
      <s:c r="F157" s="6" t="n">
        <s:v>2534.12549</s:v>
      </s:c>
      <s:c r="G157" s="6" t="n">
        <s:v>2198.15015</s:v>
      </s:c>
      <s:c r="H157" s="6" t="n">
        <s:v>816.2791999999999</s:v>
      </s:c>
      <s:c r="I157" s="6" t="n"/>
      <s:c r="J157" s="6" t="str">
        <s:f>IF(AND(COUNT(C157:I157)=7,COUNT('Потребление (МВт·ч)'!C157:I157)=7,SUM('Потребление (МВт·ч)'!C157:I157)&gt;0),SUMPRODUCT(C157:I157,'Потребление (МВт·ч)'!C157:I157)/SUM('Потребление (МВт·ч)'!C157:I157),"")</s:f>
      </s:c>
      <s:c r="K157" s="6" t="n">
        <s:f>IF(SUMIF(C157:I157,"&lt;&gt;",'Потребление (МВт·ч)'!C157:I157)&gt;0,SUMPRODUCT(C157:I157,'Потребление (МВт·ч)'!C157:I157)/SUMIF(C157:I157,"&lt;&gt;",'Потребление (МВт·ч)'!C157:I157),"")</s:f>
        <s:v>2132.30859185665</s:v>
      </s:c>
      <s:c r="L157" s="6" t="n">
        <s:f>IF(COUNT(C157:I157)&gt;0,AVERAGE(C157:I157),"")</s:f>
        <s:v>2170.5270849999997</s:v>
      </s:c>
      <s:c r="M157" s="10" t="n">
        <s:f>COUNT(C157:I157)</s:f>
        <s:v>6</s:v>
      </s:c>
      <s:c r="N157" s="11" t="n">
        <s:f>IF(AND(COUNT('Потребление (МВт·ч)'!C157:I157)=7,SUM('Потребление (МВт·ч)'!C157:I157)&gt;0),SUMIF(C157:I157,"&lt;&gt;",'Потребление (МВт·ч)'!C157:I157)/SUM('Потребление (МВт·ч)'!C157:I157),"")</s:f>
        <s:v>0.9582091507549209</s:v>
      </s:c>
    </s:row>
    <s:row r="158">
      <s:c r="A158" s="5" t="n">
        <s:v>46272</s:v>
      </s:c>
      <s:c r="B158" s="2" t="n">
        <s:v>9</s:v>
      </s:c>
      <s:c r="C158" s="6" t="n">
        <s:v>2798.4458</s:v>
      </s:c>
      <s:c r="D158" s="6" t="n">
        <s:v>3305.48022</s:v>
      </s:c>
      <s:c r="E158" s="6" t="n">
        <s:v>2204.74341</s:v>
      </s:c>
      <s:c r="F158" s="6" t="n">
        <s:v>2757.495</s:v>
      </s:c>
      <s:c r="G158" s="6" t="n">
        <s:v>2327.105</s:v>
      </s:c>
      <s:c r="H158" s="6" t="n">
        <s:v>698.626953</s:v>
      </s:c>
      <s:c r="I158" s="6" t="n"/>
      <s:c r="J158" s="6" t="str">
        <s:f>IF(AND(COUNT(C158:I158)=7,COUNT('Потребление (МВт·ч)'!C158:I158)=7,SUM('Потребление (МВт·ч)'!C158:I158)&gt;0),SUMPRODUCT(C158:I158,'Потребление (МВт·ч)'!C158:I158)/SUM('Потребление (МВт·ч)'!C158:I158),"")</s:f>
      </s:c>
      <s:c r="K158" s="6" t="n">
        <s:f>IF(SUMIF(C158:I158,"&lt;&gt;",'Потребление (МВт·ч)'!C158:I158)&gt;0,SUMPRODUCT(C158:I158,'Потребление (МВт·ч)'!C158:I158)/SUMIF(C158:I158,"&lt;&gt;",'Потребление (МВт·ч)'!C158:I158),"")</s:f>
        <s:v>2315.044963147867</s:v>
      </s:c>
      <s:c r="L158" s="6" t="n">
        <s:f>IF(COUNT(C158:I158)&gt;0,AVERAGE(C158:I158),"")</s:f>
        <s:v>2348.6493971666664</s:v>
      </s:c>
      <s:c r="M158" s="10" t="n">
        <s:f>COUNT(C158:I158)</s:f>
        <s:v>6</s:v>
      </s:c>
      <s:c r="N158" s="11" t="n">
        <s:f>IF(AND(COUNT('Потребление (МВт·ч)'!C158:I158)=7,SUM('Потребление (МВт·ч)'!C158:I158)&gt;0),SUMIF(C158:I158,"&lt;&gt;",'Потребление (МВт·ч)'!C158:I158)/SUM('Потребление (МВт·ч)'!C158:I158),"")</s:f>
        <s:v>0.9586581370963153</s:v>
      </s:c>
    </s:row>
    <s:row r="159">
      <s:c r="A159" s="5" t="n">
        <s:v>46272</s:v>
      </s:c>
      <s:c r="B159" s="2" t="n">
        <s:v>10</s:v>
      </s:c>
      <s:c r="C159" s="6" t="n">
        <s:v>2790.13574</s:v>
      </s:c>
      <s:c r="D159" s="6" t="n">
        <s:v>3270.05859</s:v>
      </s:c>
      <s:c r="E159" s="6" t="n">
        <s:v>2898.38086</s:v>
      </s:c>
      <s:c r="F159" s="6" t="n">
        <s:v>2669.25586</s:v>
      </s:c>
      <s:c r="G159" s="6" t="n">
        <s:v>2204.69067</s:v>
      </s:c>
      <s:c r="H159" s="6" t="n">
        <s:v>660.686646</s:v>
      </s:c>
      <s:c r="I159" s="6" t="n"/>
      <s:c r="J159" s="6" t="str">
        <s:f>IF(AND(COUNT(C159:I159)=7,COUNT('Потребление (МВт·ч)'!C159:I159)=7,SUM('Потребление (МВт·ч)'!C159:I159)&gt;0),SUMPRODUCT(C159:I159,'Потребление (МВт·ч)'!C159:I159)/SUM('Потребление (МВт·ч)'!C159:I159),"")</s:f>
      </s:c>
      <s:c r="K159" s="6" t="n">
        <s:f>IF(SUMIF(C159:I159,"&lt;&gt;",'Потребление (МВт·ч)'!C159:I159)&gt;0,SUMPRODUCT(C159:I159,'Потребление (МВт·ч)'!C159:I159)/SUMIF(C159:I159,"&lt;&gt;",'Потребление (МВт·ч)'!C159:I159),"")</s:f>
        <s:v>2331.4488183140247</s:v>
      </s:c>
      <s:c r="L159" s="6" t="n">
        <s:f>IF(COUNT(C159:I159)&gt;0,AVERAGE(C159:I159),"")</s:f>
        <s:v>2415.5347276666666</s:v>
      </s:c>
      <s:c r="M159" s="10" t="n">
        <s:f>COUNT(C159:I159)</s:f>
        <s:v>6</s:v>
      </s:c>
      <s:c r="N159" s="11" t="n">
        <s:f>IF(AND(COUNT('Потребление (МВт·ч)'!C159:I159)=7,SUM('Потребление (МВт·ч)'!C159:I159)&gt;0),SUMIF(C159:I159,"&lt;&gt;",'Потребление (МВт·ч)'!C159:I159)/SUM('Потребление (МВт·ч)'!C159:I159),"")</s:f>
        <s:v>0.9584253931256627</s:v>
      </s:c>
    </s:row>
    <s:row r="160">
      <s:c r="A160" s="5" t="n">
        <s:v>46272</s:v>
      </s:c>
      <s:c r="B160" s="2" t="n">
        <s:v>11</s:v>
      </s:c>
      <s:c r="C160" s="6" t="n">
        <s:v>2523.147</s:v>
      </s:c>
      <s:c r="D160" s="6" t="n">
        <s:v>3073.95215</s:v>
      </s:c>
      <s:c r="E160" s="6" t="n">
        <s:v>1982.65369</s:v>
      </s:c>
      <s:c r="F160" s="6" t="n">
        <s:v>2673.90674</s:v>
      </s:c>
      <s:c r="G160" s="6" t="n">
        <s:v>2262.65356</s:v>
      </s:c>
      <s:c r="H160" s="6" t="n">
        <s:v>677.4194</s:v>
      </s:c>
      <s:c r="I160" s="6" t="n"/>
      <s:c r="J160" s="6" t="str">
        <s:f>IF(AND(COUNT(C160:I160)=7,COUNT('Потребление (МВт·ч)'!C160:I160)=7,SUM('Потребление (МВт·ч)'!C160:I160)&gt;0),SUMPRODUCT(C160:I160,'Потребление (МВт·ч)'!C160:I160)/SUM('Потребление (МВт·ч)'!C160:I160),"")</s:f>
      </s:c>
      <s:c r="K160" s="6" t="n">
        <s:f>IF(SUMIF(C160:I160,"&lt;&gt;",'Потребление (МВт·ч)'!C160:I160)&gt;0,SUMPRODUCT(C160:I160,'Потребление (МВт·ч)'!C160:I160)/SUMIF(C160:I160,"&lt;&gt;",'Потребление (МВт·ч)'!C160:I160),"")</s:f>
        <s:v>2184.285079275659</s:v>
      </s:c>
      <s:c r="L160" s="6" t="n">
        <s:f>IF(COUNT(C160:I160)&gt;0,AVERAGE(C160:I160),"")</s:f>
        <s:v>2198.9554233333333</s:v>
      </s:c>
      <s:c r="M160" s="10" t="n">
        <s:f>COUNT(C160:I160)</s:f>
        <s:v>6</s:v>
      </s:c>
      <s:c r="N160" s="11" t="n">
        <s:f>IF(AND(COUNT('Потребление (МВт·ч)'!C160:I160)=7,SUM('Потребление (МВт·ч)'!C160:I160)&gt;0),SUMIF(C160:I160,"&lt;&gt;",'Потребление (МВт·ч)'!C160:I160)/SUM('Потребление (МВт·ч)'!C160:I160),"")</s:f>
        <s:v>0.9573874072441407</s:v>
      </s:c>
    </s:row>
    <s:row r="161">
      <s:c r="A161" s="5" t="n">
        <s:v>46272</s:v>
      </s:c>
      <s:c r="B161" s="2" t="n">
        <s:v>12</s:v>
      </s:c>
      <s:c r="C161" s="6" t="n">
        <s:v>2474.26587</s:v>
      </s:c>
      <s:c r="D161" s="6" t="n">
        <s:v>3041.20557</s:v>
      </s:c>
      <s:c r="E161" s="6" t="n">
        <s:v>628.6378</s:v>
      </s:c>
      <s:c r="F161" s="6" t="n">
        <s:v>2849.59155</s:v>
      </s:c>
      <s:c r="G161" s="6" t="n">
        <s:v>2223.11328</s:v>
      </s:c>
      <s:c r="H161" s="6" t="n">
        <s:v>664.2508</s:v>
      </s:c>
      <s:c r="I161" s="6" t="n"/>
      <s:c r="J161" s="6" t="str">
        <s:f>IF(AND(COUNT(C161:I161)=7,COUNT('Потребление (МВт·ч)'!C161:I161)=7,SUM('Потребление (МВт·ч)'!C161:I161)&gt;0),SUMPRODUCT(C161:I161,'Потребление (МВт·ч)'!C161:I161)/SUM('Потребление (МВт·ч)'!C161:I161),"")</s:f>
      </s:c>
      <s:c r="K161" s="6" t="n">
        <s:f>IF(SUMIF(C161:I161,"&lt;&gt;",'Потребление (МВт·ч)'!C161:I161)&gt;0,SUMPRODUCT(C161:I161,'Потребление (МВт·ч)'!C161:I161)/SUMIF(C161:I161,"&lt;&gt;",'Потребление (МВт·ч)'!C161:I161),"")</s:f>
        <s:v>2036.2388343851019</s:v>
      </s:c>
      <s:c r="L161" s="6" t="n">
        <s:f>IF(COUNT(C161:I161)&gt;0,AVERAGE(C161:I161),"")</s:f>
        <s:v>1980.177478333333</s:v>
      </s:c>
      <s:c r="M161" s="10" t="n">
        <s:f>COUNT(C161:I161)</s:f>
        <s:v>6</s:v>
      </s:c>
      <s:c r="N161" s="11" t="n">
        <s:f>IF(AND(COUNT('Потребление (МВт·ч)'!C161:I161)=7,SUM('Потребление (МВт·ч)'!C161:I161)&gt;0),SUMIF(C161:I161,"&lt;&gt;",'Потребление (МВт·ч)'!C161:I161)/SUM('Потребление (МВт·ч)'!C161:I161),"")</s:f>
        <s:v>0.9567131747483989</s:v>
      </s:c>
    </s:row>
    <s:row r="162">
      <s:c r="A162" s="5" t="n">
        <s:v>46272</s:v>
      </s:c>
      <s:c r="B162" s="2" t="n">
        <s:v>13</s:v>
      </s:c>
      <s:c r="C162" s="6" t="n">
        <s:v>2633.17114</s:v>
      </s:c>
      <s:c r="D162" s="6" t="n">
        <s:v>3105.748</s:v>
      </s:c>
      <s:c r="E162" s="6" t="n">
        <s:v>150.7386</s:v>
      </s:c>
      <s:c r="F162" s="6" t="n">
        <s:v>2585.68555</s:v>
      </s:c>
      <s:c r="G162" s="6" t="n">
        <s:v>2205.792</s:v>
      </s:c>
      <s:c r="H162" s="6" t="n">
        <s:v>1081.95789</s:v>
      </s:c>
      <s:c r="I162" s="6" t="n"/>
      <s:c r="J162" s="6" t="str">
        <s:f>IF(AND(COUNT(C162:I162)=7,COUNT('Потребление (МВт·ч)'!C162:I162)=7,SUM('Потребление (МВт·ч)'!C162:I162)&gt;0),SUMPRODUCT(C162:I162,'Потребление (МВт·ч)'!C162:I162)/SUM('Потребление (МВт·ч)'!C162:I162),"")</s:f>
      </s:c>
      <s:c r="K162" s="6" t="n">
        <s:f>IF(SUMIF(C162:I162,"&lt;&gt;",'Потребление (МВт·ч)'!C162:I162)&gt;0,SUMPRODUCT(C162:I162,'Потребление (МВт·ч)'!C162:I162)/SUMIF(C162:I162,"&lt;&gt;",'Потребление (МВт·ч)'!C162:I162),"")</s:f>
        <s:v>2071.630156625372</s:v>
      </s:c>
      <s:c r="L162" s="6" t="n">
        <s:f>IF(COUNT(C162:I162)&gt;0,AVERAGE(C162:I162),"")</s:f>
        <s:v>1960.51553</s:v>
      </s:c>
      <s:c r="M162" s="10" t="n">
        <s:f>COUNT(C162:I162)</s:f>
        <s:v>6</s:v>
      </s:c>
      <s:c r="N162" s="11" t="n">
        <s:f>IF(AND(COUNT('Потребление (МВт·ч)'!C162:I162)=7,SUM('Потребление (МВт·ч)'!C162:I162)&gt;0),SUMIF(C162:I162,"&lt;&gt;",'Потребление (МВт·ч)'!C162:I162)/SUM('Потребление (МВт·ч)'!C162:I162),"")</s:f>
        <s:v>0.9566746928947476</s:v>
      </s:c>
    </s:row>
    <s:row r="163">
      <s:c r="A163" s="5" t="n">
        <s:v>46272</s:v>
      </s:c>
      <s:c r="B163" s="2" t="n">
        <s:v>14</s:v>
      </s:c>
      <s:c r="C163" s="6" t="n">
        <s:v>2542.816</s:v>
      </s:c>
      <s:c r="D163" s="6" t="n">
        <s:v>2965.58838</s:v>
      </s:c>
      <s:c r="E163" s="6" t="n">
        <s:v>149.69841</s:v>
      </s:c>
      <s:c r="F163" s="6" t="n">
        <s:v>2548.84888</s:v>
      </s:c>
      <s:c r="G163" s="6" t="n">
        <s:v>2219.19067</s:v>
      </s:c>
      <s:c r="H163" s="6" t="n">
        <s:v>1012.97388</s:v>
      </s:c>
      <s:c r="I163" s="6" t="n"/>
      <s:c r="J163" s="6" t="str">
        <s:f>IF(AND(COUNT(C163:I163)=7,COUNT('Потребление (МВт·ч)'!C163:I163)=7,SUM('Потребление (МВт·ч)'!C163:I163)&gt;0),SUMPRODUCT(C163:I163,'Потребление (МВт·ч)'!C163:I163)/SUM('Потребление (МВт·ч)'!C163:I163),"")</s:f>
      </s:c>
      <s:c r="K163" s="6" t="n">
        <s:f>IF(SUMIF(C163:I163,"&lt;&gt;",'Потребление (МВт·ч)'!C163:I163)&gt;0,SUMPRODUCT(C163:I163,'Потребление (МВт·ч)'!C163:I163)/SUMIF(C163:I163,"&lt;&gt;",'Потребление (МВт·ч)'!C163:I163),"")</s:f>
        <s:v>2008.3147850999248</s:v>
      </s:c>
      <s:c r="L163" s="6" t="n">
        <s:f>IF(COUNT(C163:I163)&gt;0,AVERAGE(C163:I163),"")</s:f>
        <s:v>1906.51937</s:v>
      </s:c>
      <s:c r="M163" s="10" t="n">
        <s:f>COUNT(C163:I163)</s:f>
        <s:v>6</s:v>
      </s:c>
      <s:c r="N163" s="11" t="n">
        <s:f>IF(AND(COUNT('Потребление (МВт·ч)'!C163:I163)=7,SUM('Потребление (МВт·ч)'!C163:I163)&gt;0),SUMIF(C163:I163,"&lt;&gt;",'Потребление (МВт·ч)'!C163:I163)/SUM('Потребление (МВт·ч)'!C163:I163),"")</s:f>
        <s:v>0.9572043804601944</s:v>
      </s:c>
    </s:row>
    <s:row r="164">
      <s:c r="A164" s="5" t="n">
        <s:v>46272</s:v>
      </s:c>
      <s:c r="B164" s="2" t="n">
        <s:v>15</s:v>
      </s:c>
      <s:c r="C164" s="6" t="n">
        <s:v>1967.60034</s:v>
      </s:c>
      <s:c r="D164" s="6" t="n">
        <s:v>2668.63867</s:v>
      </s:c>
      <s:c r="E164" s="6" t="n">
        <s:v>169.150146</s:v>
      </s:c>
      <s:c r="F164" s="6" t="n">
        <s:v>2999.24463</s:v>
      </s:c>
      <s:c r="G164" s="6" t="n">
        <s:v>2404.55859</s:v>
      </s:c>
      <s:c r="H164" s="6" t="n">
        <s:v>1133.68774</s:v>
      </s:c>
      <s:c r="I164" s="6" t="n"/>
      <s:c r="J164" s="6" t="str">
        <s:f>IF(AND(COUNT(C164:I164)=7,COUNT('Потребление (МВт·ч)'!C164:I164)=7,SUM('Потребление (МВт·ч)'!C164:I164)&gt;0),SUMPRODUCT(C164:I164,'Потребление (МВт·ч)'!C164:I164)/SUM('Потребление (МВт·ч)'!C164:I164),"")</s:f>
      </s:c>
      <s:c r="K164" s="6" t="n">
        <s:f>IF(SUMIF(C164:I164,"&lt;&gt;",'Потребление (МВт·ч)'!C164:I164)&gt;0,SUMPRODUCT(C164:I164,'Потребление (МВт·ч)'!C164:I164)/SUMIF(C164:I164,"&lt;&gt;",'Потребление (МВт·ч)'!C164:I164),"")</s:f>
        <s:v>1996.4369716701613</s:v>
      </s:c>
      <s:c r="L164" s="6" t="n">
        <s:f>IF(COUNT(C164:I164)&gt;0,AVERAGE(C164:I164),"")</s:f>
        <s:v>1890.480019333333</s:v>
      </s:c>
      <s:c r="M164" s="10" t="n">
        <s:f>COUNT(C164:I164)</s:f>
        <s:v>6</s:v>
      </s:c>
      <s:c r="N164" s="11" t="n">
        <s:f>IF(AND(COUNT('Потребление (МВт·ч)'!C164:I164)=7,SUM('Потребление (МВт·ч)'!C164:I164)&gt;0),SUMIF(C164:I164,"&lt;&gt;",'Потребление (МВт·ч)'!C164:I164)/SUM('Потребление (МВт·ч)'!C164:I164),"")</s:f>
        <s:v>0.9584749519728092</s:v>
      </s:c>
    </s:row>
    <s:row r="165">
      <s:c r="A165" s="5" t="n">
        <s:v>46272</s:v>
      </s:c>
      <s:c r="B165" s="2" t="n">
        <s:v>16</s:v>
      </s:c>
      <s:c r="C165" s="6" t="n">
        <s:v>1841.48193</s:v>
      </s:c>
      <s:c r="D165" s="6" t="n">
        <s:v>2500.24658</s:v>
      </s:c>
      <s:c r="E165" s="6" t="n">
        <s:v>557.733337</s:v>
      </s:c>
      <s:c r="F165" s="6" t="n">
        <s:v>2843.82</s:v>
      </s:c>
      <s:c r="G165" s="6" t="n">
        <s:v>2269.97534</s:v>
      </s:c>
      <s:c r="H165" s="6" t="n">
        <s:v>873.5377999999999</s:v>
      </s:c>
      <s:c r="I165" s="6" t="n"/>
      <s:c r="J165" s="6" t="str">
        <s:f>IF(AND(COUNT(C165:I165)=7,COUNT('Потребление (МВт·ч)'!C165:I165)=7,SUM('Потребление (МВт·ч)'!C165:I165)&gt;0),SUMPRODUCT(C165:I165,'Потребление (МВт·ч)'!C165:I165)/SUM('Потребление (МВт·ч)'!C165:I165),"")</s:f>
      </s:c>
      <s:c r="K165" s="6" t="n">
        <s:f>IF(SUMIF(C165:I165,"&lt;&gt;",'Потребление (МВт·ч)'!C165:I165)&gt;0,SUMPRODUCT(C165:I165,'Потребление (МВт·ч)'!C165:I165)/SUMIF(C165:I165,"&lt;&gt;",'Потребление (МВт·ч)'!C165:I165),"")</s:f>
        <s:v>1880.7214553076944</s:v>
      </s:c>
      <s:c r="L165" s="6" t="n">
        <s:f>IF(COUNT(C165:I165)&gt;0,AVERAGE(C165:I165),"")</s:f>
        <s:v>1814.4658311666665</s:v>
      </s:c>
      <s:c r="M165" s="10" t="n">
        <s:f>COUNT(C165:I165)</s:f>
        <s:v>6</s:v>
      </s:c>
      <s:c r="N165" s="11" t="n">
        <s:f>IF(AND(COUNT('Потребление (МВт·ч)'!C165:I165)=7,SUM('Потребление (МВт·ч)'!C165:I165)&gt;0),SUMIF(C165:I165,"&lt;&gt;",'Потребление (МВт·ч)'!C165:I165)/SUM('Потребление (МВт·ч)'!C165:I165),"")</s:f>
        <s:v>0.9610273182312462</s:v>
      </s:c>
    </s:row>
    <s:row r="166">
      <s:c r="A166" s="5" t="n">
        <s:v>46272</s:v>
      </s:c>
      <s:c r="B166" s="2" t="n">
        <s:v>17</s:v>
      </s:c>
      <s:c r="C166" s="6" t="n">
        <s:v>2198.685</s:v>
      </s:c>
      <s:c r="D166" s="6" t="n">
        <s:v>2571.21777</s:v>
      </s:c>
      <s:c r="E166" s="6" t="n">
        <s:v>1426.73254</s:v>
      </s:c>
      <s:c r="F166" s="6" t="n">
        <s:v>2656.85938</s:v>
      </s:c>
      <s:c r="G166" s="6" t="n">
        <s:v>2364.23584</s:v>
      </s:c>
      <s:c r="H166" s="6" t="n">
        <s:v>1130.30334</s:v>
      </s:c>
      <s:c r="I166" s="6" t="n"/>
      <s:c r="J166" s="6" t="str">
        <s:f>IF(AND(COUNT(C166:I166)=7,COUNT('Потребление (МВт·ч)'!C166:I166)=7,SUM('Потребление (МВт·ч)'!C166:I166)&gt;0),SUMPRODUCT(C166:I166,'Потребление (МВт·ч)'!C166:I166)/SUM('Потребление (МВт·ч)'!C166:I166),"")</s:f>
      </s:c>
      <s:c r="K166" s="6" t="n">
        <s:f>IF(SUMIF(C166:I166,"&lt;&gt;",'Потребление (МВт·ч)'!C166:I166)&gt;0,SUMPRODUCT(C166:I166,'Потребление (МВт·ч)'!C166:I166)/SUMIF(C166:I166,"&lt;&gt;",'Потребление (МВт·ч)'!C166:I166),"")</s:f>
        <s:v>2078.9075804825766</s:v>
      </s:c>
      <s:c r="L166" s="6" t="n">
        <s:f>IF(COUNT(C166:I166)&gt;0,AVERAGE(C166:I166),"")</s:f>
        <s:v>2058.0056449999997</s:v>
      </s:c>
      <s:c r="M166" s="10" t="n">
        <s:f>COUNT(C166:I166)</s:f>
        <s:v>6</s:v>
      </s:c>
      <s:c r="N166" s="11" t="n">
        <s:f>IF(AND(COUNT('Потребление (МВт·ч)'!C166:I166)=7,SUM('Потребление (МВт·ч)'!C166:I166)&gt;0),SUMIF(C166:I166,"&lt;&gt;",'Потребление (МВт·ч)'!C166:I166)/SUM('Потребление (МВт·ч)'!C166:I166),"")</s:f>
        <s:v>0.9620766629462426</s:v>
      </s:c>
    </s:row>
    <s:row r="167">
      <s:c r="A167" s="5" t="n">
        <s:v>46272</s:v>
      </s:c>
      <s:c r="B167" s="2" t="n">
        <s:v>18</s:v>
      </s:c>
      <s:c r="C167" s="6" t="n">
        <s:v>2187.37158</s:v>
      </s:c>
      <s:c r="D167" s="6" t="n">
        <s:v>2572.32178</s:v>
      </s:c>
      <s:c r="E167" s="6" t="n">
        <s:v>148.160873</s:v>
      </s:c>
      <s:c r="F167" s="6" t="n">
        <s:v>2671.582</s:v>
      </s:c>
      <s:c r="G167" s="6" t="n">
        <s:v>2330.20361</s:v>
      </s:c>
      <s:c r="H167" s="6" t="n">
        <s:v>686.005432</s:v>
      </s:c>
      <s:c r="I167" s="6" t="n"/>
      <s:c r="J167" s="6" t="str">
        <s:f>IF(AND(COUNT(C167:I167)=7,COUNT('Потребление (МВт·ч)'!C167:I167)=7,SUM('Потребление (МВт·ч)'!C167:I167)&gt;0),SUMPRODUCT(C167:I167,'Потребление (МВт·ч)'!C167:I167)/SUM('Потребление (МВт·ч)'!C167:I167),"")</s:f>
      </s:c>
      <s:c r="K167" s="6" t="n">
        <s:f>IF(SUMIF(C167:I167,"&lt;&gt;",'Потребление (МВт·ч)'!C167:I167)&gt;0,SUMPRODUCT(C167:I167,'Потребление (МВт·ч)'!C167:I167)/SUMIF(C167:I167,"&lt;&gt;",'Потребление (МВт·ч)'!C167:I167),"")</s:f>
        <s:v>1852.5934138643634</s:v>
      </s:c>
      <s:c r="L167" s="6" t="n">
        <s:f>IF(COUNT(C167:I167)&gt;0,AVERAGE(C167:I167),"")</s:f>
        <s:v>1765.9408791666667</s:v>
      </s:c>
      <s:c r="M167" s="10" t="n">
        <s:f>COUNT(C167:I167)</s:f>
        <s:v>6</s:v>
      </s:c>
      <s:c r="N167" s="11" t="n">
        <s:f>IF(AND(COUNT('Потребление (МВт·ч)'!C167:I167)=7,SUM('Потребление (МВт·ч)'!C167:I167)&gt;0),SUMIF(C167:I167,"&lt;&gt;",'Потребление (МВт·ч)'!C167:I167)/SUM('Потребление (МВт·ч)'!C167:I167),"")</s:f>
        <s:v>0.9631305360336009</s:v>
      </s:c>
    </s:row>
    <s:row r="168">
      <s:c r="A168" s="5" t="n">
        <s:v>46272</s:v>
      </s:c>
      <s:c r="B168" s="2" t="n">
        <s:v>19</s:v>
      </s:c>
      <s:c r="C168" s="6" t="n">
        <s:v>2017.88818</s:v>
      </s:c>
      <s:c r="D168" s="6" t="n">
        <s:v>2657.46753</s:v>
      </s:c>
      <s:c r="E168" s="6" t="n">
        <s:v>112.749146</s:v>
      </s:c>
      <s:c r="F168" s="6" t="n">
        <s:v>2693.39478</s:v>
      </s:c>
      <s:c r="G168" s="6" t="n">
        <s:v>2268.59521</s:v>
      </s:c>
      <s:c r="H168" s="6" t="n">
        <s:v>594.247864</s:v>
      </s:c>
      <s:c r="I168" s="6" t="n"/>
      <s:c r="J168" s="6" t="str">
        <s:f>IF(AND(COUNT(C168:I168)=7,COUNT('Потребление (МВт·ч)'!C168:I168)=7,SUM('Потребление (МВт·ч)'!C168:I168)&gt;0),SUMPRODUCT(C168:I168,'Потребление (МВт·ч)'!C168:I168)/SUM('Потребление (МВт·ч)'!C168:I168),"")</s:f>
      </s:c>
      <s:c r="K168" s="6" t="n">
        <s:f>IF(SUMIF(C168:I168,"&lt;&gt;",'Потребление (МВт·ч)'!C168:I168)&gt;0,SUMPRODUCT(C168:I168,'Потребление (МВт·ч)'!C168:I168)/SUMIF(C168:I168,"&lt;&gt;",'Потребление (МВт·ч)'!C168:I168),"")</s:f>
        <s:v>1833.5276039067805</s:v>
      </s:c>
      <s:c r="L168" s="6" t="n">
        <s:f>IF(COUNT(C168:I168)&gt;0,AVERAGE(C168:I168),"")</s:f>
        <s:v>1724.0571183333334</s:v>
      </s:c>
      <s:c r="M168" s="10" t="n">
        <s:f>COUNT(C168:I168)</s:f>
        <s:v>6</s:v>
      </s:c>
      <s:c r="N168" s="11" t="n">
        <s:f>IF(AND(COUNT('Потребление (МВт·ч)'!C168:I168)=7,SUM('Потребление (МВт·ч)'!C168:I168)&gt;0),SUMIF(C168:I168,"&lt;&gt;",'Потребление (МВт·ч)'!C168:I168)/SUM('Потребление (МВт·ч)'!C168:I168),"")</s:f>
        <s:v>0.9629837118298271</s:v>
      </s:c>
    </s:row>
    <s:row r="169">
      <s:c r="A169" s="5" t="n">
        <s:v>46272</s:v>
      </s:c>
      <s:c r="B169" s="2" t="n">
        <s:v>20</s:v>
      </s:c>
      <s:c r="C169" s="6" t="n">
        <s:v>2202.3916</s:v>
      </s:c>
      <s:c r="D169" s="6" t="n">
        <s:v>2561.5874</s:v>
      </s:c>
      <s:c r="E169" s="6" t="n">
        <s:v>1067.33044</s:v>
      </s:c>
      <s:c r="F169" s="6" t="n">
        <s:v>2591.87158</s:v>
      </s:c>
      <s:c r="G169" s="6" t="n">
        <s:v>2130.48218</s:v>
      </s:c>
      <s:c r="H169" s="6" t="n">
        <s:v>592.299744</s:v>
      </s:c>
      <s:c r="I169" s="6" t="n"/>
      <s:c r="J169" s="6" t="str">
        <s:f>IF(AND(COUNT(C169:I169)=7,COUNT('Потребление (МВт·ч)'!C169:I169)=7,SUM('Потребление (МВт·ч)'!C169:I169)&gt;0),SUMPRODUCT(C169:I169,'Потребление (МВт·ч)'!C169:I169)/SUM('Потребление (МВт·ч)'!C169:I169),"")</s:f>
      </s:c>
      <s:c r="K169" s="6" t="n">
        <s:f>IF(SUMIF(C169:I169,"&lt;&gt;",'Потребление (МВт·ч)'!C169:I169)&gt;0,SUMPRODUCT(C169:I169,'Потребление (МВт·ч)'!C169:I169)/SUMIF(C169:I169,"&lt;&gt;",'Потребление (МВт·ч)'!C169:I169),"")</s:f>
        <s:v>1885.132776884406</s:v>
      </s:c>
      <s:c r="L169" s="6" t="n">
        <s:f>IF(COUNT(C169:I169)&gt;0,AVERAGE(C169:I169),"")</s:f>
        <s:v>1857.6604906666664</s:v>
      </s:c>
      <s:c r="M169" s="10" t="n">
        <s:f>COUNT(C169:I169)</s:f>
        <s:v>6</s:v>
      </s:c>
      <s:c r="N169" s="11" t="n">
        <s:f>IF(AND(COUNT('Потребление (МВт·ч)'!C169:I169)=7,SUM('Потребление (МВт·ч)'!C169:I169)&gt;0),SUMIF(C169:I169,"&lt;&gt;",'Потребление (МВт·ч)'!C169:I169)/SUM('Потребление (МВт·ч)'!C169:I169),"")</s:f>
        <s:v>0.9625727704332557</s:v>
      </s:c>
    </s:row>
    <s:row r="170">
      <s:c r="A170" s="5" t="n">
        <s:v>46272</s:v>
      </s:c>
      <s:c r="B170" s="2" t="n">
        <s:v>21</s:v>
      </s:c>
      <s:c r="C170" s="6" t="n">
        <s:v>1124.08887</s:v>
      </s:c>
      <s:c r="D170" s="6" t="n">
        <s:v>2448.50073</s:v>
      </s:c>
      <s:c r="E170" s="6" t="n">
        <s:v>1211.99646</s:v>
      </s:c>
      <s:c r="F170" s="6" t="n">
        <s:v>2286.55176</s:v>
      </s:c>
      <s:c r="G170" s="6" t="n">
        <s:v>1580.56165</s:v>
      </s:c>
      <s:c r="H170" s="6" t="n">
        <s:v>139.252029</s:v>
      </s:c>
      <s:c r="I170" s="6" t="n"/>
      <s:c r="J170" s="6" t="str">
        <s:f>IF(AND(COUNT(C170:I170)=7,COUNT('Потребление (МВт·ч)'!C170:I170)=7,SUM('Потребление (МВт·ч)'!C170:I170)&gt;0),SUMPRODUCT(C170:I170,'Потребление (МВт·ч)'!C170:I170)/SUM('Потребление (МВт·ч)'!C170:I170),"")</s:f>
      </s:c>
      <s:c r="K170" s="6" t="n">
        <s:f>IF(SUMIF(C170:I170,"&lt;&gt;",'Потребление (МВт·ч)'!C170:I170)&gt;0,SUMPRODUCT(C170:I170,'Потребление (МВт·ч)'!C170:I170)/SUMIF(C170:I170,"&lt;&gt;",'Потребление (МВт·ч)'!C170:I170),"")</s:f>
        <s:v>1504.9461712030864</s:v>
      </s:c>
      <s:c r="L170" s="6" t="n">
        <s:f>IF(COUNT(C170:I170)&gt;0,AVERAGE(C170:I170),"")</s:f>
        <s:v>1465.1585831666664</s:v>
      </s:c>
      <s:c r="M170" s="10" t="n">
        <s:f>COUNT(C170:I170)</s:f>
        <s:v>6</s:v>
      </s:c>
      <s:c r="N170" s="11" t="n">
        <s:f>IF(AND(COUNT('Потребление (МВт·ч)'!C170:I170)=7,SUM('Потребление (МВт·ч)'!C170:I170)&gt;0),SUMIF(C170:I170,"&lt;&gt;",'Потребление (МВт·ч)'!C170:I170)/SUM('Потребление (МВт·ч)'!C170:I170),"")</s:f>
        <s:v>0.9614551640084525</s:v>
      </s:c>
    </s:row>
    <s:row r="171">
      <s:c r="A171" s="5" t="n">
        <s:v>46272</s:v>
      </s:c>
      <s:c r="B171" s="2" t="n">
        <s:v>22</s:v>
      </s:c>
      <s:c r="C171" s="6" t="n">
        <s:v>1023.10944</s:v>
      </s:c>
      <s:c r="D171" s="6" t="n">
        <s:v>1366.46912</s:v>
      </s:c>
      <s:c r="E171" s="6" t="n">
        <s:v>14.4414473</s:v>
      </s:c>
      <s:c r="F171" s="6" t="n">
        <s:v>1336.94238</s:v>
      </s:c>
      <s:c r="G171" s="6" t="n">
        <s:v>1111.276</s:v>
      </s:c>
      <s:c r="H171" s="6" t="n">
        <s:v>63.30239</s:v>
      </s:c>
      <s:c r="I171" s="6" t="n"/>
      <s:c r="J171" s="6" t="str">
        <s:f>IF(AND(COUNT(C171:I171)=7,COUNT('Потребление (МВт·ч)'!C171:I171)=7,SUM('Потребление (МВт·ч)'!C171:I171)&gt;0),SUMPRODUCT(C171:I171,'Потребление (МВт·ч)'!C171:I171)/SUM('Потребление (МВт·ч)'!C171:I171),"")</s:f>
      </s:c>
      <s:c r="K171" s="6" t="n">
        <s:f>IF(SUMIF(C171:I171,"&lt;&gt;",'Потребление (МВт·ч)'!C171:I171)&gt;0,SUMPRODUCT(C171:I171,'Потребление (МВт·ч)'!C171:I171)/SUMIF(C171:I171,"&lt;&gt;",'Потребление (МВт·ч)'!C171:I171),"")</s:f>
        <s:v>858.350373642888</s:v>
      </s:c>
      <s:c r="L171" s="6" t="n">
        <s:f>IF(COUNT(C171:I171)&gt;0,AVERAGE(C171:I171),"")</s:f>
        <s:v>819.2567962166667</s:v>
      </s:c>
      <s:c r="M171" s="10" t="n">
        <s:f>COUNT(C171:I171)</s:f>
        <s:v>6</s:v>
      </s:c>
      <s:c r="N171" s="11" t="n">
        <s:f>IF(AND(COUNT('Потребление (МВт·ч)'!C171:I171)=7,SUM('Потребление (МВт·ч)'!C171:I171)&gt;0),SUMIF(C171:I171,"&lt;&gt;",'Потребление (МВт·ч)'!C171:I171)/SUM('Потребление (МВт·ч)'!C171:I171),"")</s:f>
        <s:v>0.9582951000183519</s:v>
      </s:c>
    </s:row>
    <s:row r="172">
      <s:c r="A172" s="5" t="n">
        <s:v>46272</s:v>
      </s:c>
      <s:c r="B172" s="2" t="n">
        <s:v>23</s:v>
      </s:c>
      <s:c r="C172" s="6" t="n">
        <s:v>1031.76782</s:v>
      </s:c>
      <s:c r="D172" s="6" t="n">
        <s:v>1350.384</s:v>
      </s:c>
      <s:c r="E172" s="6" t="n">
        <s:v>13.7970209</s:v>
      </s:c>
      <s:c r="F172" s="6" t="n">
        <s:v>1353.7583</s:v>
      </s:c>
      <s:c r="G172" s="6" t="n">
        <s:v>1248.6449</s:v>
      </s:c>
      <s:c r="H172" s="6" t="n">
        <s:v>96.34669</s:v>
      </s:c>
      <s:c r="I172" s="6" t="n"/>
      <s:c r="J172" s="6" t="str">
        <s:f>IF(AND(COUNT(C172:I172)=7,COUNT('Потребление (МВт·ч)'!C172:I172)=7,SUM('Потребление (МВт·ч)'!C172:I172)&gt;0),SUMPRODUCT(C172:I172,'Потребление (МВт·ч)'!C172:I172)/SUM('Потребление (МВт·ч)'!C172:I172),"")</s:f>
      </s:c>
      <s:c r="K172" s="6" t="n">
        <s:f>IF(SUMIF(C172:I172,"&lt;&gt;",'Потребление (МВт·ч)'!C172:I172)&gt;0,SUMPRODUCT(C172:I172,'Потребление (МВт·ч)'!C172:I172)/SUMIF(C172:I172,"&lt;&gt;",'Потребление (МВт·ч)'!C172:I172),"")</s:f>
        <s:v>890.5131721149111</s:v>
      </s:c>
      <s:c r="L172" s="6" t="n">
        <s:f>IF(COUNT(C172:I172)&gt;0,AVERAGE(C172:I172),"")</s:f>
        <s:v>849.1164551500001</s:v>
      </s:c>
      <s:c r="M172" s="10" t="n">
        <s:f>COUNT(C172:I172)</s:f>
        <s:v>6</s:v>
      </s:c>
      <s:c r="N172" s="11" t="n">
        <s:f>IF(AND(COUNT('Потребление (МВт·ч)'!C172:I172)=7,SUM('Потребление (МВт·ч)'!C172:I172)&gt;0),SUMIF(C172:I172,"&lt;&gt;",'Потребление (МВт·ч)'!C172:I172)/SUM('Потребление (МВт·ч)'!C172:I172),"")</s:f>
        <s:v>0.9546126720509612</s:v>
      </s:c>
    </s:row>
    <s:row r="173">
      <s:c r="A173" s="5" t="n">
        <s:v>46273</s:v>
      </s:c>
      <s:c r="B173" s="2" t="n">
        <s:v>0</s:v>
      </s:c>
      <s:c r="C173" s="6" t="n">
        <s:v>802.6822</s:v>
      </s:c>
      <s:c r="D173" s="6" t="n">
        <s:v>1413.66443</s:v>
      </s:c>
      <s:c r="E173" s="6" t="n">
        <s:v>1376.55835</s:v>
      </s:c>
      <s:c r="F173" s="6" t="n">
        <s:v>1439.42688</s:v>
      </s:c>
      <s:c r="G173" s="6" t="n">
        <s:v>1363.63269</s:v>
      </s:c>
      <s:c r="H173" s="6" t="n">
        <s:v>1167.18616</s:v>
      </s:c>
      <s:c r="I173" s="6" t="n"/>
      <s:c r="J173" s="6" t="str">
        <s:f>IF(AND(COUNT(C173:I173)=7,COUNT('Потребление (МВт·ч)'!C173:I173)=7,SUM('Потребление (МВт·ч)'!C173:I173)&gt;0),SUMPRODUCT(C173:I173,'Потребление (МВт·ч)'!C173:I173)/SUM('Потребление (МВт·ч)'!C173:I173),"")</s:f>
      </s:c>
      <s:c r="K173" s="6" t="n">
        <s:f>IF(SUMIF(C173:I173,"&lt;&gt;",'Потребление (МВт·ч)'!C173:I173)&gt;0,SUMPRODUCT(C173:I173,'Потребление (МВт·ч)'!C173:I173)/SUMIF(C173:I173,"&lt;&gt;",'Потребление (МВт·ч)'!C173:I173),"")</s:f>
        <s:v>1287.3548775593986</s:v>
      </s:c>
      <s:c r="L173" s="6" t="n">
        <s:f>IF(COUNT(C173:I173)&gt;0,AVERAGE(C173:I173),"")</s:f>
        <s:v>1260.5251183333335</s:v>
      </s:c>
      <s:c r="M173" s="10" t="n">
        <s:f>COUNT(C173:I173)</s:f>
        <s:v>6</s:v>
      </s:c>
      <s:c r="N173" s="11" t="n">
        <s:f>IF(AND(COUNT('Потребление (МВт·ч)'!C173:I173)=7,SUM('Потребление (МВт·ч)'!C173:I173)&gt;0),SUMIF(C173:I173,"&lt;&gt;",'Потребление (МВт·ч)'!C173:I173)/SUM('Потребление (МВт·ч)'!C173:I173),"")</s:f>
        <s:v>0.9519057572459231</s:v>
      </s:c>
    </s:row>
    <s:row r="174">
      <s:c r="A174" s="5" t="n">
        <s:v>46273</s:v>
      </s:c>
      <s:c r="B174" s="2" t="n">
        <s:v>1</s:v>
      </s:c>
      <s:c r="C174" s="6" t="n">
        <s:v>1025.50757</s:v>
      </s:c>
      <s:c r="D174" s="6" t="n">
        <s:v>1332.97778</s:v>
      </s:c>
      <s:c r="E174" s="6" t="n">
        <s:v>1276.42871</s:v>
      </s:c>
      <s:c r="F174" s="6" t="n">
        <s:v>1374.50745</s:v>
      </s:c>
      <s:c r="G174" s="6" t="n">
        <s:v>1329.39233</s:v>
      </s:c>
      <s:c r="H174" s="6" t="n">
        <s:v>1205.70972</s:v>
      </s:c>
      <s:c r="I174" s="6" t="n"/>
      <s:c r="J174" s="6" t="str">
        <s:f>IF(AND(COUNT(C174:I174)=7,COUNT('Потребление (МВт·ч)'!C174:I174)=7,SUM('Потребление (МВт·ч)'!C174:I174)&gt;0),SUMPRODUCT(C174:I174,'Потребление (МВт·ч)'!C174:I174)/SUM('Потребление (МВт·ч)'!C174:I174),"")</s:f>
      </s:c>
      <s:c r="K174" s="6" t="n">
        <s:f>IF(SUMIF(C174:I174,"&lt;&gt;",'Потребление (МВт·ч)'!C174:I174)&gt;0,SUMPRODUCT(C174:I174,'Потребление (МВт·ч)'!C174:I174)/SUMIF(C174:I174,"&lt;&gt;",'Потребление (МВт·ч)'!C174:I174),"")</s:f>
        <s:v>1272.6955724293398</s:v>
      </s:c>
      <s:c r="L174" s="6" t="n">
        <s:f>IF(COUNT(C174:I174)&gt;0,AVERAGE(C174:I174),"")</s:f>
        <s:v>1257.4205933333333</s:v>
      </s:c>
      <s:c r="M174" s="10" t="n">
        <s:f>COUNT(C174:I174)</s:f>
        <s:v>6</s:v>
      </s:c>
      <s:c r="N174" s="11" t="n">
        <s:f>IF(AND(COUNT('Потребление (МВт·ч)'!C174:I174)=7,SUM('Потребление (МВт·ч)'!C174:I174)&gt;0),SUMIF(C174:I174,"&lt;&gt;",'Потребление (МВт·ч)'!C174:I174)/SUM('Потребление (МВт·ч)'!C174:I174),"")</s:f>
        <s:v>0.9496084439904665</s:v>
      </s:c>
    </s:row>
    <s:row r="175">
      <s:c r="A175" s="5" t="n">
        <s:v>46273</s:v>
      </s:c>
      <s:c r="B175" s="2" t="n">
        <s:v>2</s:v>
      </s:c>
      <s:c r="C175" s="6" t="n">
        <s:v>1096.76086</s:v>
      </s:c>
      <s:c r="D175" s="6" t="n">
        <s:v>1430.11438</s:v>
      </s:c>
      <s:c r="E175" s="6" t="n">
        <s:v>14.8491745</s:v>
      </s:c>
      <s:c r="F175" s="6" t="n">
        <s:v>1481.57068</s:v>
      </s:c>
      <s:c r="G175" s="6" t="n">
        <s:v>1463.7301</s:v>
      </s:c>
      <s:c r="H175" s="6" t="n">
        <s:v>1296.57886</s:v>
      </s:c>
      <s:c r="I175" s="6" t="n"/>
      <s:c r="J175" s="6" t="str">
        <s:f>IF(AND(COUNT(C175:I175)=7,COUNT('Потребление (МВт·ч)'!C175:I175)=7,SUM('Потребление (МВт·ч)'!C175:I175)&gt;0),SUMPRODUCT(C175:I175,'Потребление (МВт·ч)'!C175:I175)/SUM('Потребление (МВт·ч)'!C175:I175),"")</s:f>
      </s:c>
      <s:c r="K175" s="6" t="n">
        <s:f>IF(SUMIF(C175:I175,"&lt;&gt;",'Потребление (МВт·ч)'!C175:I175)&gt;0,SUMPRODUCT(C175:I175,'Потребление (МВт·ч)'!C175:I175)/SUMIF(C175:I175,"&lt;&gt;",'Потребление (МВт·ч)'!C175:I175),"")</s:f>
        <s:v>1251.6343614036102</s:v>
      </s:c>
      <s:c r="L175" s="6" t="n">
        <s:f>IF(COUNT(C175:I175)&gt;0,AVERAGE(C175:I175),"")</s:f>
        <s:v>1130.60067575</s:v>
      </s:c>
      <s:c r="M175" s="10" t="n">
        <s:f>COUNT(C175:I175)</s:f>
        <s:v>6</s:v>
      </s:c>
      <s:c r="N175" s="11" t="n">
        <s:f>IF(AND(COUNT('Потребление (МВт·ч)'!C175:I175)=7,SUM('Потребление (МВт·ч)'!C175:I175)&gt;0),SUMIF(C175:I175,"&lt;&gt;",'Потребление (МВт·ч)'!C175:I175)/SUM('Потребление (МВт·ч)'!C175:I175),"")</s:f>
        <s:v>0.9490401396160558</s:v>
      </s:c>
    </s:row>
    <s:row r="176">
      <s:c r="A176" s="5" t="n">
        <s:v>46273</s:v>
      </s:c>
      <s:c r="B176" s="2" t="n">
        <s:v>3</s:v>
      </s:c>
      <s:c r="C176" s="6" t="n">
        <s:v>1328.06519</s:v>
      </s:c>
      <s:c r="D176" s="6" t="n">
        <s:v>1479.21484</s:v>
      </s:c>
      <s:c r="E176" s="6" t="n">
        <s:v>15.2657166</s:v>
      </s:c>
      <s:c r="F176" s="6" t="n">
        <s:v>1536.11072</s:v>
      </s:c>
      <s:c r="G176" s="6" t="n">
        <s:v>1513.74377</s:v>
      </s:c>
      <s:c r="H176" s="6" t="n">
        <s:v>1505.146</s:v>
      </s:c>
      <s:c r="I176" s="6" t="n"/>
      <s:c r="J176" s="6" t="str">
        <s:f>IF(AND(COUNT(C176:I176)=7,COUNT('Потребление (МВт·ч)'!C176:I176)=7,SUM('Потребление (МВт·ч)'!C176:I176)&gt;0),SUMPRODUCT(C176:I176,'Потребление (МВт·ч)'!C176:I176)/SUM('Потребление (МВт·ч)'!C176:I176),"")</s:f>
      </s:c>
      <s:c r="K176" s="6" t="n">
        <s:f>IF(SUMIF(C176:I176,"&lt;&gt;",'Потребление (МВт·ч)'!C176:I176)&gt;0,SUMPRODUCT(C176:I176,'Потребление (МВт·ч)'!C176:I176)/SUMIF(C176:I176,"&lt;&gt;",'Потребление (МВт·ч)'!C176:I176),"")</s:f>
        <s:v>1353.6015002106665</s:v>
      </s:c>
      <s:c r="L176" s="6" t="n">
        <s:f>IF(COUNT(C176:I176)&gt;0,AVERAGE(C176:I176),"")</s:f>
        <s:v>1229.5910394333332</s:v>
      </s:c>
      <s:c r="M176" s="10" t="n">
        <s:f>COUNT(C176:I176)</s:f>
        <s:v>6</s:v>
      </s:c>
      <s:c r="N176" s="11" t="n">
        <s:f>IF(AND(COUNT('Потребление (МВт·ч)'!C176:I176)=7,SUM('Потребление (МВт·ч)'!C176:I176)&gt;0),SUMIF(C176:I176,"&lt;&gt;",'Потребление (МВт·ч)'!C176:I176)/SUM('Потребление (МВт·ч)'!C176:I176),"")</s:f>
        <s:v>0.9504618781106571</s:v>
      </s:c>
    </s:row>
    <s:row r="177">
      <s:c r="A177" s="5" t="n">
        <s:v>46273</s:v>
      </s:c>
      <s:c r="B177" s="2" t="n">
        <s:v>4</s:v>
      </s:c>
      <s:c r="C177" s="6" t="n">
        <s:v>1407.88367</s:v>
      </s:c>
      <s:c r="D177" s="6" t="n">
        <s:v>1561.01465</s:v>
      </s:c>
      <s:c r="E177" s="6" t="n">
        <s:v>1286.79272</s:v>
      </s:c>
      <s:c r="F177" s="6" t="n">
        <s:v>1621.26172</s:v>
      </s:c>
      <s:c r="G177" s="6" t="n">
        <s:v>1578.50134</s:v>
      </s:c>
      <s:c r="H177" s="6" t="n">
        <s:v>1504.13916</s:v>
      </s:c>
      <s:c r="I177" s="6" t="n"/>
      <s:c r="J177" s="6" t="str">
        <s:f>IF(AND(COUNT(C177:I177)=7,COUNT('Потребление (МВт·ч)'!C177:I177)=7,SUM('Потребление (МВт·ч)'!C177:I177)&gt;0),SUMPRODUCT(C177:I177,'Потребление (МВт·ч)'!C177:I177)/SUM('Потребление (МВт·ч)'!C177:I177),"")</s:f>
      </s:c>
      <s:c r="K177" s="6" t="n">
        <s:f>IF(SUMIF(C177:I177,"&lt;&gt;",'Потребление (МВт·ч)'!C177:I177)&gt;0,SUMPRODUCT(C177:I177,'Потребление (МВт·ч)'!C177:I177)/SUMIF(C177:I177,"&lt;&gt;",'Потребление (МВт·ч)'!C177:I177),"")</s:f>
        <s:v>1519.4033029335199</s:v>
      </s:c>
      <s:c r="L177" s="6" t="n">
        <s:f>IF(COUNT(C177:I177)&gt;0,AVERAGE(C177:I177),"")</s:f>
        <s:v>1493.2655433333332</s:v>
      </s:c>
      <s:c r="M177" s="10" t="n">
        <s:f>COUNT(C177:I177)</s:f>
        <s:v>6</s:v>
      </s:c>
      <s:c r="N177" s="11" t="n">
        <s:f>IF(AND(COUNT('Потребление (МВт·ч)'!C177:I177)=7,SUM('Потребление (МВт·ч)'!C177:I177)&gt;0),SUMIF(C177:I177,"&lt;&gt;",'Потребление (МВт·ч)'!C177:I177)/SUM('Потребление (МВт·ч)'!C177:I177),"")</s:f>
        <s:v>0.9519138077686419</s:v>
      </s:c>
    </s:row>
    <s:row r="178">
      <s:c r="A178" s="5" t="n">
        <s:v>46273</s:v>
      </s:c>
      <s:c r="B178" s="2" t="n">
        <s:v>5</s:v>
      </s:c>
      <s:c r="C178" s="6" t="n">
        <s:v>1638.03967</s:v>
      </s:c>
      <s:c r="D178" s="6" t="n">
        <s:v>1823.87451</s:v>
      </s:c>
      <s:c r="E178" s="6" t="n">
        <s:v>1202.01221</s:v>
      </s:c>
      <s:c r="F178" s="6" t="n">
        <s:v>1867.20239</s:v>
      </s:c>
      <s:c r="G178" s="6" t="n">
        <s:v>1755.55383</s:v>
      </s:c>
      <s:c r="H178" s="6" t="n">
        <s:v>1322.86865</s:v>
      </s:c>
      <s:c r="I178" s="6" t="n"/>
      <s:c r="J178" s="6" t="str">
        <s:f>IF(AND(COUNT(C178:I178)=7,COUNT('Потребление (МВт·ч)'!C178:I178)=7,SUM('Потребление (МВт·ч)'!C178:I178)&gt;0),SUMPRODUCT(C178:I178,'Потребление (МВт·ч)'!C178:I178)/SUM('Потребление (МВт·ч)'!C178:I178),"")</s:f>
      </s:c>
      <s:c r="K178" s="6" t="n">
        <s:f>IF(SUMIF(C178:I178,"&lt;&gt;",'Потребление (МВт·ч)'!C178:I178)&gt;0,SUMPRODUCT(C178:I178,'Потребление (МВт·ч)'!C178:I178)/SUMIF(C178:I178,"&lt;&gt;",'Потребление (МВт·ч)'!C178:I178),"")</s:f>
        <s:v>1621.318011164302</s:v>
      </s:c>
      <s:c r="L178" s="6" t="n">
        <s:f>IF(COUNT(C178:I178)&gt;0,AVERAGE(C178:I178),"")</s:f>
        <s:v>1601.5918766666666</s:v>
      </s:c>
      <s:c r="M178" s="10" t="n">
        <s:f>COUNT(C178:I178)</s:f>
        <s:v>6</s:v>
      </s:c>
      <s:c r="N178" s="11" t="n">
        <s:f>IF(AND(COUNT('Потребление (МВт·ч)'!C178:I178)=7,SUM('Потребление (МВт·ч)'!C178:I178)&gt;0),SUMIF(C178:I178,"&lt;&gt;",'Потребление (МВт·ч)'!C178:I178)/SUM('Потребление (МВт·ч)'!C178:I178),"")</s:f>
        <s:v>0.9538491299501645</s:v>
      </s:c>
    </s:row>
    <s:row r="179">
      <s:c r="A179" s="5" t="n">
        <s:v>46273</s:v>
      </s:c>
      <s:c r="B179" s="2" t="n">
        <s:v>6</s:v>
      </s:c>
      <s:c r="C179" s="6" t="n">
        <s:v>2003.36938</s:v>
      </s:c>
      <s:c r="D179" s="6" t="n">
        <s:v>2208.02734</s:v>
      </s:c>
      <s:c r="E179" s="6" t="n">
        <s:v>2088.2915</s:v>
      </s:c>
      <s:c r="F179" s="6" t="n">
        <s:v>2214.73779</s:v>
      </s:c>
      <s:c r="G179" s="6" t="n">
        <s:v>1982.98608</s:v>
      </s:c>
      <s:c r="H179" s="6" t="n">
        <s:v>997.4748540000001</s:v>
      </s:c>
      <s:c r="I179" s="6" t="n"/>
      <s:c r="J179" s="6" t="str">
        <s:f>IF(AND(COUNT(C179:I179)=7,COUNT('Потребление (МВт·ч)'!C179:I179)=7,SUM('Потребление (МВт·ч)'!C179:I179)&gt;0),SUMPRODUCT(C179:I179,'Потребление (МВт·ч)'!C179:I179)/SUM('Потребление (МВт·ч)'!C179:I179),"")</s:f>
      </s:c>
      <s:c r="K179" s="6" t="n">
        <s:f>IF(SUMIF(C179:I179,"&lt;&gt;",'Потребление (МВт·ч)'!C179:I179)&gt;0,SUMPRODUCT(C179:I179,'Потребление (МВт·ч)'!C179:I179)/SUMIF(C179:I179,"&lt;&gt;",'Потребление (МВт·ч)'!C179:I179),"")</s:f>
        <s:v>1856.6819510983707</s:v>
      </s:c>
      <s:c r="L179" s="6" t="n">
        <s:f>IF(COUNT(C179:I179)&gt;0,AVERAGE(C179:I179),"")</s:f>
        <s:v>1915.8144906666666</s:v>
      </s:c>
      <s:c r="M179" s="10" t="n">
        <s:f>COUNT(C179:I179)</s:f>
        <s:v>6</s:v>
      </s:c>
      <s:c r="N179" s="11" t="n">
        <s:f>IF(AND(COUNT('Потребление (МВт·ч)'!C179:I179)=7,SUM('Потребление (МВт·ч)'!C179:I179)&gt;0),SUMIF(C179:I179,"&lt;&gt;",'Потребление (МВт·ч)'!C179:I179)/SUM('Потребление (МВт·ч)'!C179:I179),"")</s:f>
        <s:v>0.9560007753167346</s:v>
      </s:c>
    </s:row>
    <s:row r="180">
      <s:c r="A180" s="5" t="n">
        <s:v>46273</s:v>
      </s:c>
      <s:c r="B180" s="2" t="n">
        <s:v>7</s:v>
      </s:c>
      <s:c r="C180" s="6" t="n">
        <s:v>2399.083</s:v>
      </s:c>
      <s:c r="D180" s="6" t="n">
        <s:v>2712.52124</s:v>
      </s:c>
      <s:c r="E180" s="6" t="n">
        <s:v>2597.99927</s:v>
      </s:c>
      <s:c r="F180" s="6" t="n">
        <s:v>2662.11646</s:v>
      </s:c>
      <s:c r="G180" s="6" t="n">
        <s:v>2322.065</s:v>
      </s:c>
      <s:c r="H180" s="6" t="n">
        <s:v>772.147461</s:v>
      </s:c>
      <s:c r="I180" s="6" t="n"/>
      <s:c r="J180" s="6" t="str">
        <s:f>IF(AND(COUNT(C180:I180)=7,COUNT('Потребление (МВт·ч)'!C180:I180)=7,SUM('Потребление (МВт·ч)'!C180:I180)&gt;0),SUMPRODUCT(C180:I180,'Потребление (МВт·ч)'!C180:I180)/SUM('Потребление (МВт·ч)'!C180:I180),"")</s:f>
      </s:c>
      <s:c r="K180" s="6" t="n">
        <s:f>IF(SUMIF(C180:I180,"&lt;&gt;",'Потребление (МВт·ч)'!C180:I180)&gt;0,SUMPRODUCT(C180:I180,'Потребление (МВт·ч)'!C180:I180)/SUMIF(C180:I180,"&lt;&gt;",'Потребление (МВт·ч)'!C180:I180),"")</s:f>
        <s:v>2161.8433660153323</s:v>
      </s:c>
      <s:c r="L180" s="6" t="n">
        <s:f>IF(COUNT(C180:I180)&gt;0,AVERAGE(C180:I180),"")</s:f>
        <s:v>2244.3220718333337</s:v>
      </s:c>
      <s:c r="M180" s="10" t="n">
        <s:f>COUNT(C180:I180)</s:f>
        <s:v>6</s:v>
      </s:c>
      <s:c r="N180" s="11" t="n">
        <s:f>IF(AND(COUNT('Потребление (МВт·ч)'!C180:I180)=7,SUM('Потребление (МВт·ч)'!C180:I180)&gt;0),SUMIF(C180:I180,"&lt;&gt;",'Потребление (МВт·ч)'!C180:I180)/SUM('Потребление (МВт·ч)'!C180:I180),"")</s:f>
        <s:v>0.9580290882445662</s:v>
      </s:c>
    </s:row>
    <s:row r="181">
      <s:c r="A181" s="5" t="n">
        <s:v>46273</s:v>
      </s:c>
      <s:c r="B181" s="2" t="n">
        <s:v>8</s:v>
      </s:c>
      <s:c r="C181" s="6" t="n">
        <s:v>2576.78076</s:v>
      </s:c>
      <s:c r="D181" s="6" t="n">
        <s:v>2951.21216</s:v>
      </s:c>
      <s:c r="E181" s="6" t="n">
        <s:v>2779.17627</s:v>
      </s:c>
      <s:c r="F181" s="6" t="n">
        <s:v>2828.95117</s:v>
      </s:c>
      <s:c r="G181" s="6" t="n">
        <s:v>2467.06079</s:v>
      </s:c>
      <s:c r="H181" s="6" t="n">
        <s:v>932.436</s:v>
      </s:c>
      <s:c r="I181" s="6" t="n"/>
      <s:c r="J181" s="6" t="str">
        <s:f>IF(AND(COUNT(C181:I181)=7,COUNT('Потребление (МВт·ч)'!C181:I181)=7,SUM('Потребление (МВт·ч)'!C181:I181)&gt;0),SUMPRODUCT(C181:I181,'Потребление (МВт·ч)'!C181:I181)/SUM('Потребление (МВт·ч)'!C181:I181),"")</s:f>
      </s:c>
      <s:c r="K181" s="6" t="n">
        <s:f>IF(SUMIF(C181:I181,"&lt;&gt;",'Потребление (МВт·ч)'!C181:I181)&gt;0,SUMPRODUCT(C181:I181,'Потребление (МВт·ч)'!C181:I181)/SUMIF(C181:I181,"&lt;&gt;",'Потребление (МВт·ч)'!C181:I181),"")</s:f>
        <s:v>2350.717218708696</s:v>
      </s:c>
      <s:c r="L181" s="6" t="n">
        <s:f>IF(COUNT(C181:I181)&gt;0,AVERAGE(C181:I181),"")</s:f>
        <s:v>2422.602858333333</s:v>
      </s:c>
      <s:c r="M181" s="10" t="n">
        <s:f>COUNT(C181:I181)</s:f>
        <s:v>6</s:v>
      </s:c>
      <s:c r="N181" s="11" t="n">
        <s:f>IF(AND(COUNT('Потребление (МВт·ч)'!C181:I181)=7,SUM('Потребление (МВт·ч)'!C181:I181)&gt;0),SUMIF(C181:I181,"&lt;&gt;",'Потребление (МВт·ч)'!C181:I181)/SUM('Потребление (МВт·ч)'!C181:I181),"")</s:f>
        <s:v>0.9587065494288767</s:v>
      </s:c>
    </s:row>
    <s:row r="182">
      <s:c r="A182" s="5" t="n">
        <s:v>46273</s:v>
      </s:c>
      <s:c r="B182" s="2" t="n">
        <s:v>9</s:v>
      </s:c>
      <s:c r="C182" s="6" t="n">
        <s:v>2137.113</s:v>
      </s:c>
      <s:c r="D182" s="6" t="n">
        <s:v>3041.30518</s:v>
      </s:c>
      <s:c r="E182" s="6" t="n">
        <s:v>2926.78174</s:v>
      </s:c>
      <s:c r="F182" s="6" t="n">
        <s:v>2879.79419</s:v>
      </s:c>
      <s:c r="G182" s="6" t="n">
        <s:v>2505.61255</s:v>
      </s:c>
      <s:c r="H182" s="6" t="n">
        <s:v>728.779358</s:v>
      </s:c>
      <s:c r="I182" s="6" t="n"/>
      <s:c r="J182" s="6" t="str">
        <s:f>IF(AND(COUNT(C182:I182)=7,COUNT('Потребление (МВт·ч)'!C182:I182)=7,SUM('Потребление (МВт·ч)'!C182:I182)&gt;0),SUMPRODUCT(C182:I182,'Потребление (МВт·ч)'!C182:I182)/SUM('Потребление (МВт·ч)'!C182:I182),"")</s:f>
      </s:c>
      <s:c r="K182" s="6" t="n">
        <s:f>IF(SUMIF(C182:I182,"&lt;&gt;",'Потребление (МВт·ч)'!C182:I182)&gt;0,SUMPRODUCT(C182:I182,'Потребление (МВт·ч)'!C182:I182)/SUMIF(C182:I182,"&lt;&gt;",'Потребление (МВт·ч)'!C182:I182),"")</s:f>
        <s:v>2327.6874980117746</s:v>
      </s:c>
      <s:c r="L182" s="6" t="n">
        <s:f>IF(COUNT(C182:I182)&gt;0,AVERAGE(C182:I182),"")</s:f>
        <s:v>2369.8976696666664</s:v>
      </s:c>
      <s:c r="M182" s="10" t="n">
        <s:f>COUNT(C182:I182)</s:f>
        <s:v>6</s:v>
      </s:c>
      <s:c r="N182" s="11" t="n">
        <s:f>IF(AND(COUNT('Потребление (МВт·ч)'!C182:I182)=7,SUM('Потребление (МВт·ч)'!C182:I182)&gt;0),SUMIF(C182:I182,"&lt;&gt;",'Потребление (МВт·ч)'!C182:I182)/SUM('Потребление (МВт·ч)'!C182:I182),"")</s:f>
        <s:v>0.959583543623724</s:v>
      </s:c>
    </s:row>
    <s:row r="183">
      <s:c r="A183" s="5" t="n">
        <s:v>46273</s:v>
      </s:c>
      <s:c r="B183" s="2" t="n">
        <s:v>10</s:v>
      </s:c>
      <s:c r="C183" s="6" t="n">
        <s:v>2160.77368</s:v>
      </s:c>
      <s:c r="D183" s="6" t="n">
        <s:v>2970.83374</s:v>
      </s:c>
      <s:c r="E183" s="6" t="n">
        <s:v>3003.66431</s:v>
      </s:c>
      <s:c r="F183" s="6" t="n">
        <s:v>2814.20483</s:v>
      </s:c>
      <s:c r="G183" s="6" t="n">
        <s:v>2430.55884</s:v>
      </s:c>
      <s:c r="H183" s="6" t="n">
        <s:v>929.129</s:v>
      </s:c>
      <s:c r="I183" s="6" t="n"/>
      <s:c r="J183" s="6" t="str">
        <s:f>IF(AND(COUNT(C183:I183)=7,COUNT('Потребление (МВт·ч)'!C183:I183)=7,SUM('Потребление (МВт·ч)'!C183:I183)&gt;0),SUMPRODUCT(C183:I183,'Потребление (МВт·ч)'!C183:I183)/SUM('Потребление (МВт·ч)'!C183:I183),"")</s:f>
      </s:c>
      <s:c r="K183" s="6" t="n">
        <s:f>IF(SUMIF(C183:I183,"&lt;&gt;",'Потребление (МВт·ч)'!C183:I183)&gt;0,SUMPRODUCT(C183:I183,'Потребление (МВт·ч)'!C183:I183)/SUMIF(C183:I183,"&lt;&gt;",'Потребление (МВт·ч)'!C183:I183),"")</s:f>
        <s:v>2331.6368321609734</s:v>
      </s:c>
      <s:c r="L183" s="6" t="n">
        <s:f>IF(COUNT(C183:I183)&gt;0,AVERAGE(C183:I183),"")</s:f>
        <s:v>2384.8607333333334</s:v>
      </s:c>
      <s:c r="M183" s="10" t="n">
        <s:f>COUNT(C183:I183)</s:f>
        <s:v>6</s:v>
      </s:c>
      <s:c r="N183" s="11" t="n">
        <s:f>IF(AND(COUNT('Потребление (МВт·ч)'!C183:I183)=7,SUM('Потребление (МВт·ч)'!C183:I183)&gt;0),SUMIF(C183:I183,"&lt;&gt;",'Потребление (МВт·ч)'!C183:I183)/SUM('Потребление (МВт·ч)'!C183:I183),"")</s:f>
        <s:v>0.9585366052969201</s:v>
      </s:c>
    </s:row>
    <s:row r="184">
      <s:c r="A184" s="5" t="n">
        <s:v>46273</s:v>
      </s:c>
      <s:c r="B184" s="2" t="n">
        <s:v>11</s:v>
      </s:c>
      <s:c r="C184" s="6" t="n">
        <s:v>2115.35864</s:v>
      </s:c>
      <s:c r="D184" s="6" t="n">
        <s:v>2944.72217</s:v>
      </s:c>
      <s:c r="E184" s="6" t="n">
        <s:v>2641.34253</s:v>
      </s:c>
      <s:c r="F184" s="6" t="n">
        <s:v>2789.101</s:v>
      </s:c>
      <s:c r="G184" s="6" t="n">
        <s:v>2439.93628</s:v>
      </s:c>
      <s:c r="H184" s="6" t="n">
        <s:v>939.420837</s:v>
      </s:c>
      <s:c r="I184" s="6" t="n"/>
      <s:c r="J184" s="6" t="str">
        <s:f>IF(AND(COUNT(C184:I184)=7,COUNT('Потребление (МВт·ч)'!C184:I184)=7,SUM('Потребление (МВт·ч)'!C184:I184)&gt;0),SUMPRODUCT(C184:I184,'Потребление (МВт·ч)'!C184:I184)/SUM('Потребление (МВт·ч)'!C184:I184),"")</s:f>
      </s:c>
      <s:c r="K184" s="6" t="n">
        <s:f>IF(SUMIF(C184:I184,"&lt;&gt;",'Потребление (МВт·ч)'!C184:I184)&gt;0,SUMPRODUCT(C184:I184,'Потребление (МВт·ч)'!C184:I184)/SUMIF(C184:I184,"&lt;&gt;",'Потребление (МВт·ч)'!C184:I184),"")</s:f>
        <s:v>2288.082222819932</s:v>
      </s:c>
      <s:c r="L184" s="6" t="n">
        <s:f>IF(COUNT(C184:I184)&gt;0,AVERAGE(C184:I184),"")</s:f>
        <s:v>2311.6469094999998</s:v>
      </s:c>
      <s:c r="M184" s="10" t="n">
        <s:f>COUNT(C184:I184)</s:f>
        <s:v>6</s:v>
      </s:c>
      <s:c r="N184" s="11" t="n">
        <s:f>IF(AND(COUNT('Потребление (МВт·ч)'!C184:I184)=7,SUM('Потребление (МВт·ч)'!C184:I184)&gt;0),SUMIF(C184:I184,"&lt;&gt;",'Потребление (МВт·ч)'!C184:I184)/SUM('Потребление (МВт·ч)'!C184:I184),"")</s:f>
        <s:v>0.9584411317810357</s:v>
      </s:c>
    </s:row>
    <s:row r="185">
      <s:c r="A185" s="5" t="n">
        <s:v>46273</s:v>
      </s:c>
      <s:c r="B185" s="2" t="n">
        <s:v>12</s:v>
      </s:c>
      <s:c r="C185" s="6" t="n">
        <s:v>2315.62329</s:v>
      </s:c>
      <s:c r="D185" s="6" t="n">
        <s:v>2871.60132</s:v>
      </s:c>
      <s:c r="E185" s="6" t="n">
        <s:v>2169.97119</s:v>
      </s:c>
      <s:c r="F185" s="6" t="n">
        <s:v>2725.49951</s:v>
      </s:c>
      <s:c r="G185" s="6" t="n">
        <s:v>2396.15771</s:v>
      </s:c>
      <s:c r="H185" s="6" t="n">
        <s:v>1105.92236</s:v>
      </s:c>
      <s:c r="I185" s="6" t="n"/>
      <s:c r="J185" s="6" t="str">
        <s:f>IF(AND(COUNT(C185:I185)=7,COUNT('Потребление (МВт·ч)'!C185:I185)=7,SUM('Потребление (МВт·ч)'!C185:I185)&gt;0),SUMPRODUCT(C185:I185,'Потребление (МВт·ч)'!C185:I185)/SUM('Потребление (МВт·ч)'!C185:I185),"")</s:f>
      </s:c>
      <s:c r="K185" s="6" t="n">
        <s:f>IF(SUMIF(C185:I185,"&lt;&gt;",'Потребление (МВт·ч)'!C185:I185)&gt;0,SUMPRODUCT(C185:I185,'Потребление (МВт·ч)'!C185:I185)/SUMIF(C185:I185,"&lt;&gt;",'Потребление (МВт·ч)'!C185:I185),"")</s:f>
        <s:v>2258.371023823906</s:v>
      </s:c>
      <s:c r="L185" s="6" t="n">
        <s:f>IF(COUNT(C185:I185)&gt;0,AVERAGE(C185:I185),"")</s:f>
        <s:v>2264.12923</s:v>
      </s:c>
      <s:c r="M185" s="10" t="n">
        <s:f>COUNT(C185:I185)</s:f>
        <s:v>6</s:v>
      </s:c>
      <s:c r="N185" s="11" t="n">
        <s:f>IF(AND(COUNT('Потребление (МВт·ч)'!C185:I185)=7,SUM('Потребление (МВт·ч)'!C185:I185)&gt;0),SUMIF(C185:I185,"&lt;&gt;",'Потребление (МВт·ч)'!C185:I185)/SUM('Потребление (МВт·ч)'!C185:I185),"")</s:f>
        <s:v>0.9566128435843707</s:v>
      </s:c>
    </s:row>
    <s:row r="186">
      <s:c r="A186" s="5" t="n">
        <s:v>46273</s:v>
      </s:c>
      <s:c r="B186" s="2" t="n">
        <s:v>13</s:v>
      </s:c>
      <s:c r="C186" s="6" t="n">
        <s:v>2097.991</s:v>
      </s:c>
      <s:c r="D186" s="6" t="n">
        <s:v>2869.67017</s:v>
      </s:c>
      <s:c r="E186" s="6" t="n">
        <s:v>1915.07373</s:v>
      </s:c>
      <s:c r="F186" s="6" t="n">
        <s:v>2722.67944</s:v>
      </s:c>
      <s:c r="G186" s="6" t="n">
        <s:v>2391.44336</s:v>
      </s:c>
      <s:c r="H186" s="6" t="n">
        <s:v>1386.37769</s:v>
      </s:c>
      <s:c r="I186" s="6" t="n"/>
      <s:c r="J186" s="6" t="str">
        <s:f>IF(AND(COUNT(C186:I186)=7,COUNT('Потребление (МВт·ч)'!C186:I186)=7,SUM('Потребление (МВт·ч)'!C186:I186)&gt;0),SUMPRODUCT(C186:I186,'Потребление (МВт·ч)'!C186:I186)/SUM('Потребление (МВт·ч)'!C186:I186),"")</s:f>
      </s:c>
      <s:c r="K186" s="6" t="n">
        <s:f>IF(SUMIF(C186:I186,"&lt;&gt;",'Потребление (МВт·ч)'!C186:I186)&gt;0,SUMPRODUCT(C186:I186,'Потребление (МВт·ч)'!C186:I186)/SUMIF(C186:I186,"&lt;&gt;",'Потребление (МВт·ч)'!C186:I186),"")</s:f>
        <s:v>2266.8736821802636</s:v>
      </s:c>
      <s:c r="L186" s="6" t="n">
        <s:f>IF(COUNT(C186:I186)&gt;0,AVERAGE(C186:I186),"")</s:f>
        <s:v>2230.5392316666666</s:v>
      </s:c>
      <s:c r="M186" s="10" t="n">
        <s:f>COUNT(C186:I186)</s:f>
        <s:v>6</s:v>
      </s:c>
      <s:c r="N186" s="11" t="n">
        <s:f>IF(AND(COUNT('Потребление (МВт·ч)'!C186:I186)=7,SUM('Потребление (МВт·ч)'!C186:I186)&gt;0),SUMIF(C186:I186,"&lt;&gt;",'Потребление (МВт·ч)'!C186:I186)/SUM('Потребление (МВт·ч)'!C186:I186),"")</s:f>
        <s:v>0.9562060469593878</s:v>
      </s:c>
    </s:row>
    <s:row r="187">
      <s:c r="A187" s="5" t="n">
        <s:v>46273</s:v>
      </s:c>
      <s:c r="B187" s="2" t="n">
        <s:v>14</s:v>
      </s:c>
      <s:c r="C187" s="6" t="n">
        <s:v>2263.80615</s:v>
      </s:c>
      <s:c r="D187" s="6" t="n">
        <s:v>2803.01953</s:v>
      </s:c>
      <s:c r="E187" s="6" t="n">
        <s:v>1891.06934</s:v>
      </s:c>
      <s:c r="F187" s="6" t="n">
        <s:v>2674.71362</s:v>
      </s:c>
      <s:c r="G187" s="6" t="n">
        <s:v>2361.574</s:v>
      </s:c>
      <s:c r="H187" s="6" t="n">
        <s:v>1241.44482</s:v>
      </s:c>
      <s:c r="I187" s="6" t="n"/>
      <s:c r="J187" s="6" t="str">
        <s:f>IF(AND(COUNT(C187:I187)=7,COUNT('Потребление (МВт·ч)'!C187:I187)=7,SUM('Потребление (МВт·ч)'!C187:I187)&gt;0),SUMPRODUCT(C187:I187,'Потребление (МВт·ч)'!C187:I187)/SUM('Потребление (МВт·ч)'!C187:I187),"")</s:f>
      </s:c>
      <s:c r="K187" s="6" t="n">
        <s:f>IF(SUMIF(C187:I187,"&lt;&gt;",'Потребление (МВт·ч)'!C187:I187)&gt;0,SUMPRODUCT(C187:I187,'Потребление (МВт·ч)'!C187:I187)/SUMIF(C187:I187,"&lt;&gt;",'Потребление (МВт·ч)'!C187:I187),"")</s:f>
        <s:v>2215.917029431489</s:v>
      </s:c>
      <s:c r="L187" s="6" t="n">
        <s:f>IF(COUNT(C187:I187)&gt;0,AVERAGE(C187:I187),"")</s:f>
        <s:v>2205.93791</s:v>
      </s:c>
      <s:c r="M187" s="10" t="n">
        <s:f>COUNT(C187:I187)</s:f>
        <s:v>6</s:v>
      </s:c>
      <s:c r="N187" s="11" t="n">
        <s:f>IF(AND(COUNT('Потребление (МВт·ч)'!C187:I187)=7,SUM('Потребление (МВт·ч)'!C187:I187)&gt;0),SUMIF(C187:I187,"&lt;&gt;",'Потребление (МВт·ч)'!C187:I187)/SUM('Потребление (МВт·ч)'!C187:I187),"")</s:f>
        <s:v>0.9575553732567679</s:v>
      </s:c>
    </s:row>
    <s:row r="188">
      <s:c r="A188" s="5" t="n">
        <s:v>46273</s:v>
      </s:c>
      <s:c r="B188" s="2" t="n">
        <s:v>15</s:v>
      </s:c>
      <s:c r="C188" s="6" t="n">
        <s:v>2175.59</s:v>
      </s:c>
      <s:c r="D188" s="6" t="n">
        <s:v>2773.18579</s:v>
      </s:c>
      <s:c r="E188" s="6" t="n">
        <s:v>2488.434</s:v>
      </s:c>
      <s:c r="F188" s="6" t="n">
        <s:v>2659.45947</s:v>
      </s:c>
      <s:c r="G188" s="6" t="n">
        <s:v>2342.2168</s:v>
      </s:c>
      <s:c r="H188" s="6" t="n">
        <s:v>1532.699</s:v>
      </s:c>
      <s:c r="I188" s="6" t="n"/>
      <s:c r="J188" s="6" t="str">
        <s:f>IF(AND(COUNT(C188:I188)=7,COUNT('Потребление (МВт·ч)'!C188:I188)=7,SUM('Потребление (МВт·ч)'!C188:I188)&gt;0),SUMPRODUCT(C188:I188,'Потребление (МВт·ч)'!C188:I188)/SUM('Потребление (МВт·ч)'!C188:I188),"")</s:f>
      </s:c>
      <s:c r="K188" s="6" t="n">
        <s:f>IF(SUMIF(C188:I188,"&lt;&gt;",'Потребление (МВт·ч)'!C188:I188)&gt;0,SUMPRODUCT(C188:I188,'Потребление (МВт·ч)'!C188:I188)/SUMIF(C188:I188,"&lt;&gt;",'Потребление (МВт·ч)'!C188:I188),"")</s:f>
        <s:v>2315.946259306011</s:v>
      </s:c>
      <s:c r="L188" s="6" t="n">
        <s:f>IF(COUNT(C188:I188)&gt;0,AVERAGE(C188:I188),"")</s:f>
        <s:v>2328.59751</s:v>
      </s:c>
      <s:c r="M188" s="10" t="n">
        <s:f>COUNT(C188:I188)</s:f>
        <s:v>6</s:v>
      </s:c>
      <s:c r="N188" s="11" t="n">
        <s:f>IF(AND(COUNT('Потребление (МВт·ч)'!C188:I188)=7,SUM('Потребление (МВт·ч)'!C188:I188)&gt;0),SUMIF(C188:I188,"&lt;&gt;",'Потребление (МВт·ч)'!C188:I188)/SUM('Потребление (МВт·ч)'!C188:I188),"")</s:f>
        <s:v>0.959000255373133</s:v>
      </s:c>
    </s:row>
    <s:row r="189">
      <s:c r="A189" s="5" t="n">
        <s:v>46273</s:v>
      </s:c>
      <s:c r="B189" s="2" t="n">
        <s:v>16</s:v>
      </s:c>
      <s:c r="C189" s="6" t="n">
        <s:v>1916.109</s:v>
      </s:c>
      <s:c r="D189" s="6" t="n">
        <s:v>2729.921</s:v>
      </s:c>
      <s:c r="E189" s="6" t="n">
        <s:v>2682.01025</s:v>
      </s:c>
      <s:c r="F189" s="6" t="n">
        <s:v>2640.02734</s:v>
      </s:c>
      <s:c r="G189" s="6" t="n">
        <s:v>2395.06641</s:v>
      </s:c>
      <s:c r="H189" s="6" t="n">
        <s:v>1151.16565</s:v>
      </s:c>
      <s:c r="I189" s="6" t="n"/>
      <s:c r="J189" s="6" t="str">
        <s:f>IF(AND(COUNT(C189:I189)=7,COUNT('Потребление (МВт·ч)'!C189:I189)=7,SUM('Потребление (МВт·ч)'!C189:I189)&gt;0),SUMPRODUCT(C189:I189,'Потребление (МВт·ч)'!C189:I189)/SUM('Потребление (МВт·ч)'!C189:I189),"")</s:f>
      </s:c>
      <s:c r="K189" s="6" t="n">
        <s:f>IF(SUMIF(C189:I189,"&lt;&gt;",'Потребление (МВт·ч)'!C189:I189)&gt;0,SUMPRODUCT(C189:I189,'Потребление (МВт·ч)'!C189:I189)/SUMIF(C189:I189,"&lt;&gt;",'Потребление (МВт·ч)'!C189:I189),"")</s:f>
        <s:v>2226.6538227158435</s:v>
      </s:c>
      <s:c r="L189" s="6" t="n">
        <s:f>IF(COUNT(C189:I189)&gt;0,AVERAGE(C189:I189),"")</s:f>
        <s:v>2252.383275</s:v>
      </s:c>
      <s:c r="M189" s="10" t="n">
        <s:f>COUNT(C189:I189)</s:f>
        <s:v>6</s:v>
      </s:c>
      <s:c r="N189" s="11" t="n">
        <s:f>IF(AND(COUNT('Потребление (МВт·ч)'!C189:I189)=7,SUM('Потребление (МВт·ч)'!C189:I189)&gt;0),SUMIF(C189:I189,"&lt;&gt;",'Потребление (МВт·ч)'!C189:I189)/SUM('Потребление (МВт·ч)'!C189:I189),"")</s:f>
        <s:v>0.9603896914942337</s:v>
      </s:c>
    </s:row>
    <s:row r="190">
      <s:c r="A190" s="5" t="n">
        <s:v>46273</s:v>
      </s:c>
      <s:c r="B190" s="2" t="n">
        <s:v>17</s:v>
      </s:c>
      <s:c r="C190" s="6" t="n">
        <s:v>1809.82581</s:v>
      </s:c>
      <s:c r="D190" s="6" t="n">
        <s:v>2655.64355</s:v>
      </s:c>
      <s:c r="E190" s="6" t="n">
        <s:v>2187.826</s:v>
      </s:c>
      <s:c r="F190" s="6" t="n">
        <s:v>2573.40063</s:v>
      </s:c>
      <s:c r="G190" s="6" t="n">
        <s:v>2327.69019</s:v>
      </s:c>
      <s:c r="H190" s="6" t="n">
        <s:v>1301.36951</s:v>
      </s:c>
      <s:c r="I190" s="6" t="n"/>
      <s:c r="J190" s="6" t="str">
        <s:f>IF(AND(COUNT(C190:I190)=7,COUNT('Потребление (МВт·ч)'!C190:I190)=7,SUM('Потребление (МВт·ч)'!C190:I190)&gt;0),SUMPRODUCT(C190:I190,'Потребление (МВт·ч)'!C190:I190)/SUM('Потребление (МВт·ч)'!C190:I190),"")</s:f>
      </s:c>
      <s:c r="K190" s="6" t="n">
        <s:f>IF(SUMIF(C190:I190,"&lt;&gt;",'Потребление (МВт·ч)'!C190:I190)&gt;0,SUMPRODUCT(C190:I190,'Потребление (МВт·ч)'!C190:I190)/SUMIF(C190:I190,"&lt;&gt;",'Потребление (МВт·ч)'!C190:I190),"")</s:f>
        <s:v>2158.4957663732425</s:v>
      </s:c>
      <s:c r="L190" s="6" t="n">
        <s:f>IF(COUNT(C190:I190)&gt;0,AVERAGE(C190:I190),"")</s:f>
        <s:v>2142.6259483333333</s:v>
      </s:c>
      <s:c r="M190" s="10" t="n">
        <s:f>COUNT(C190:I190)</s:f>
        <s:v>6</s:v>
      </s:c>
      <s:c r="N190" s="11" t="n">
        <s:f>IF(AND(COUNT('Потребление (МВт·ч)'!C190:I190)=7,SUM('Потребление (МВт·ч)'!C190:I190)&gt;0),SUMIF(C190:I190,"&lt;&gt;",'Потребление (МВт·ч)'!C190:I190)/SUM('Потребление (МВт·ч)'!C190:I190),"")</s:f>
        <s:v>0.9625933497434186</s:v>
      </s:c>
    </s:row>
    <s:row r="191">
      <s:c r="A191" s="5" t="n">
        <s:v>46273</s:v>
      </s:c>
      <s:c r="B191" s="2" t="n">
        <s:v>18</s:v>
      </s:c>
      <s:c r="C191" s="6" t="n">
        <s:v>1895.93335</s:v>
      </s:c>
      <s:c r="D191" s="6" t="n">
        <s:v>2698.701</s:v>
      </s:c>
      <s:c r="E191" s="6" t="n">
        <s:v>2810.55835</s:v>
      </s:c>
      <s:c r="F191" s="6" t="n">
        <s:v>2623.605</s:v>
      </s:c>
      <s:c r="G191" s="6" t="n">
        <s:v>2353.247</s:v>
      </s:c>
      <s:c r="H191" s="6" t="n">
        <s:v>865.2368</s:v>
      </s:c>
      <s:c r="I191" s="6" t="n"/>
      <s:c r="J191" s="6" t="str">
        <s:f>IF(AND(COUNT(C191:I191)=7,COUNT('Потребление (МВт·ч)'!C191:I191)=7,SUM('Потребление (МВт·ч)'!C191:I191)&gt;0),SUMPRODUCT(C191:I191,'Потребление (МВт·ч)'!C191:I191)/SUM('Потребление (МВт·ч)'!C191:I191),"")</s:f>
      </s:c>
      <s:c r="K191" s="6" t="n">
        <s:f>IF(SUMIF(C191:I191,"&lt;&gt;",'Потребление (МВт·ч)'!C191:I191)&gt;0,SUMPRODUCT(C191:I191,'Потребление (МВт·ч)'!C191:I191)/SUMIF(C191:I191,"&lt;&gt;",'Потребление (МВт·ч)'!C191:I191),"")</s:f>
        <s:v>2174.776073831755</s:v>
      </s:c>
      <s:c r="L191" s="6" t="n">
        <s:f>IF(COUNT(C191:I191)&gt;0,AVERAGE(C191:I191),"")</s:f>
        <s:v>2207.8802499999997</s:v>
      </s:c>
      <s:c r="M191" s="10" t="n">
        <s:f>COUNT(C191:I191)</s:f>
        <s:v>6</s:v>
      </s:c>
      <s:c r="N191" s="11" t="n">
        <s:f>IF(AND(COUNT('Потребление (МВт·ч)'!C191:I191)=7,SUM('Потребление (МВт·ч)'!C191:I191)&gt;0),SUMIF(C191:I191,"&lt;&gt;",'Потребление (МВт·ч)'!C191:I191)/SUM('Потребление (МВт·ч)'!C191:I191),"")</s:f>
        <s:v>0.9628580212548504</s:v>
      </s:c>
    </s:row>
    <s:row r="192">
      <s:c r="A192" s="5" t="n">
        <s:v>46273</s:v>
      </s:c>
      <s:c r="B192" s="2" t="n">
        <s:v>19</s:v>
      </s:c>
      <s:c r="C192" s="6" t="n">
        <s:v>1937.86865</s:v>
      </s:c>
      <s:c r="D192" s="6" t="n">
        <s:v>2742.24243</s:v>
      </s:c>
      <s:c r="E192" s="6" t="n">
        <s:v>2927.69165</s:v>
      </s:c>
      <s:c r="F192" s="6" t="n">
        <s:v>2630.8335</s:v>
      </s:c>
      <s:c r="G192" s="6" t="n">
        <s:v>2298.95483</s:v>
      </s:c>
      <s:c r="H192" s="6" t="n">
        <s:v>669.518738</s:v>
      </s:c>
      <s:c r="I192" s="6" t="n"/>
      <s:c r="J192" s="6" t="str">
        <s:f>IF(AND(COUNT(C192:I192)=7,COUNT('Потребление (МВт·ч)'!C192:I192)=7,SUM('Потребление (МВт·ч)'!C192:I192)&gt;0),SUMPRODUCT(C192:I192,'Потребление (МВт·ч)'!C192:I192)/SUM('Потребление (МВт·ч)'!C192:I192),"")</s:f>
      </s:c>
      <s:c r="K192" s="6" t="n">
        <s:f>IF(SUMIF(C192:I192,"&lt;&gt;",'Потребление (МВт·ч)'!C192:I192)&gt;0,SUMPRODUCT(C192:I192,'Потребление (МВт·ч)'!C192:I192)/SUMIF(C192:I192,"&lt;&gt;",'Потребление (МВт·ч)'!C192:I192),"")</s:f>
        <s:v>2164.685667972899</s:v>
      </s:c>
      <s:c r="L192" s="6" t="n">
        <s:f>IF(COUNT(C192:I192)&gt;0,AVERAGE(C192:I192),"")</s:f>
        <s:v>2201.1849663333337</s:v>
      </s:c>
      <s:c r="M192" s="10" t="n">
        <s:f>COUNT(C192:I192)</s:f>
        <s:v>6</s:v>
      </s:c>
      <s:c r="N192" s="11" t="n">
        <s:f>IF(AND(COUNT('Потребление (МВт·ч)'!C192:I192)=7,SUM('Потребление (МВт·ч)'!C192:I192)&gt;0),SUMIF(C192:I192,"&lt;&gt;",'Потребление (МВт·ч)'!C192:I192)/SUM('Потребление (МВт·ч)'!C192:I192),"")</s:f>
        <s:v>0.9647764886823365</s:v>
      </s:c>
    </s:row>
    <s:row r="193">
      <s:c r="A193" s="5" t="n">
        <s:v>46273</s:v>
      </s:c>
      <s:c r="B193" s="2" t="n">
        <s:v>20</s:v>
      </s:c>
      <s:c r="C193" s="6" t="n">
        <s:v>1942.03149</s:v>
      </s:c>
      <s:c r="D193" s="6" t="n">
        <s:v>2740.07</s:v>
      </s:c>
      <s:c r="E193" s="6" t="n">
        <s:v>2933.38</s:v>
      </s:c>
      <s:c r="F193" s="6" t="n">
        <s:v>2501.0437</s:v>
      </s:c>
      <s:c r="G193" s="6" t="n">
        <s:v>2063.83887</s:v>
      </s:c>
      <s:c r="H193" s="6" t="n">
        <s:v>864.617432</s:v>
      </s:c>
      <s:c r="I193" s="6" t="n"/>
      <s:c r="J193" s="6" t="str">
        <s:f>IF(AND(COUNT(C193:I193)=7,COUNT('Потребление (МВт·ч)'!C193:I193)=7,SUM('Потребление (МВт·ч)'!C193:I193)&gt;0),SUMPRODUCT(C193:I193,'Потребление (МВт·ч)'!C193:I193)/SUM('Потребление (МВт·ч)'!C193:I193),"")</s:f>
      </s:c>
      <s:c r="K193" s="6" t="n">
        <s:f>IF(SUMIF(C193:I193,"&lt;&gt;",'Потребление (МВт·ч)'!C193:I193)&gt;0,SUMPRODUCT(C193:I193,'Потребление (МВт·ч)'!C193:I193)/SUMIF(C193:I193,"&lt;&gt;",'Потребление (МВт·ч)'!C193:I193),"")</s:f>
        <s:v>2132.6356476188034</s:v>
      </s:c>
      <s:c r="L193" s="6" t="n">
        <s:f>IF(COUNT(C193:I193)&gt;0,AVERAGE(C193:I193),"")</s:f>
        <s:v>2174.1635819999997</s:v>
      </s:c>
      <s:c r="M193" s="10" t="n">
        <s:f>COUNT(C193:I193)</s:f>
        <s:v>6</s:v>
      </s:c>
      <s:c r="N193" s="11" t="n">
        <s:f>IF(AND(COUNT('Потребление (МВт·ч)'!C193:I193)=7,SUM('Потребление (МВт·ч)'!C193:I193)&gt;0),SUMIF(C193:I193,"&lt;&gt;",'Потребление (МВт·ч)'!C193:I193)/SUM('Потребление (МВт·ч)'!C193:I193),"")</s:f>
        <s:v>0.9631323843840774</s:v>
      </s:c>
    </s:row>
    <s:row r="194">
      <s:c r="A194" s="5" t="n">
        <s:v>46273</s:v>
      </s:c>
      <s:c r="B194" s="2" t="n">
        <s:v>21</s:v>
      </s:c>
      <s:c r="C194" s="6" t="n">
        <s:v>1723.677</s:v>
      </s:c>
      <s:c r="D194" s="6" t="n">
        <s:v>2411.61426</s:v>
      </s:c>
      <s:c r="E194" s="6" t="n">
        <s:v>2846.681</s:v>
      </s:c>
      <s:c r="F194" s="6" t="n">
        <s:v>2264.77783</s:v>
      </s:c>
      <s:c r="G194" s="6" t="n">
        <s:v>1855.46</s:v>
      </s:c>
      <s:c r="H194" s="6" t="n">
        <s:v>523.335266</s:v>
      </s:c>
      <s:c r="I194" s="6" t="n"/>
      <s:c r="J194" s="6" t="str">
        <s:f>IF(AND(COUNT(C194:I194)=7,COUNT('Потребление (МВт·ч)'!C194:I194)=7,SUM('Потребление (МВт·ч)'!C194:I194)&gt;0),SUMPRODUCT(C194:I194,'Потребление (МВт·ч)'!C194:I194)/SUM('Потребление (МВт·ч)'!C194:I194),"")</s:f>
      </s:c>
      <s:c r="K194" s="6" t="n">
        <s:f>IF(SUMIF(C194:I194,"&lt;&gt;",'Потребление (МВт·ч)'!C194:I194)&gt;0,SUMPRODUCT(C194:I194,'Потребление (МВт·ч)'!C194:I194)/SUMIF(C194:I194,"&lt;&gt;",'Потребление (МВт·ч)'!C194:I194),"")</s:f>
        <s:v>1868.5530995815534</s:v>
      </s:c>
      <s:c r="L194" s="6" t="n">
        <s:f>IF(COUNT(C194:I194)&gt;0,AVERAGE(C194:I194),"")</s:f>
        <s:v>1937.5908926666668</s:v>
      </s:c>
      <s:c r="M194" s="10" t="n">
        <s:f>COUNT(C194:I194)</s:f>
        <s:v>6</s:v>
      </s:c>
      <s:c r="N194" s="11" t="n">
        <s:f>IF(AND(COUNT('Потребление (МВт·ч)'!C194:I194)=7,SUM('Потребление (МВт·ч)'!C194:I194)&gt;0),SUMIF(C194:I194,"&lt;&gt;",'Потребление (МВт·ч)'!C194:I194)/SUM('Потребление (МВт·ч)'!C194:I194),"")</s:f>
        <s:v>0.9616086148233891</s:v>
      </s:c>
    </s:row>
    <s:row r="195">
      <s:c r="A195" s="5" t="n">
        <s:v>46273</s:v>
      </s:c>
      <s:c r="B195" s="2" t="n">
        <s:v>22</s:v>
      </s:c>
      <s:c r="C195" s="6" t="n">
        <s:v>1418.69141</s:v>
      </s:c>
      <s:c r="D195" s="6" t="n">
        <s:v>1917.51453</s:v>
      </s:c>
      <s:c r="E195" s="6" t="n">
        <s:v>1915.1615</s:v>
      </s:c>
      <s:c r="F195" s="6" t="n">
        <s:v>1823.3335</s:v>
      </s:c>
      <s:c r="G195" s="6" t="n">
        <s:v>1516.317</s:v>
      </s:c>
      <s:c r="H195" s="6" t="n">
        <s:v>400.853851</s:v>
      </s:c>
      <s:c r="I195" s="6" t="n"/>
      <s:c r="J195" s="6" t="str">
        <s:f>IF(AND(COUNT(C195:I195)=7,COUNT('Потребление (МВт·ч)'!C195:I195)=7,SUM('Потребление (МВт·ч)'!C195:I195)&gt;0),SUMPRODUCT(C195:I195,'Потребление (МВт·ч)'!C195:I195)/SUM('Потребление (МВт·ч)'!C195:I195),"")</s:f>
      </s:c>
      <s:c r="K195" s="6" t="n">
        <s:f>IF(SUMIF(C195:I195,"&lt;&gt;",'Потребление (МВт·ч)'!C195:I195)&gt;0,SUMPRODUCT(C195:I195,'Потребление (МВт·ч)'!C195:I195)/SUMIF(C195:I195,"&lt;&gt;",'Потребление (МВт·ч)'!C195:I195),"")</s:f>
        <s:v>1446.4690611610242</s:v>
      </s:c>
      <s:c r="L195" s="6" t="n">
        <s:f>IF(COUNT(C195:I195)&gt;0,AVERAGE(C195:I195),"")</s:f>
        <s:v>1498.6452984999999</s:v>
      </s:c>
      <s:c r="M195" s="10" t="n">
        <s:f>COUNT(C195:I195)</s:f>
        <s:v>6</s:v>
      </s:c>
      <s:c r="N195" s="11" t="n">
        <s:f>IF(AND(COUNT('Потребление (МВт·ч)'!C195:I195)=7,SUM('Потребление (МВт·ч)'!C195:I195)&gt;0),SUMIF(C195:I195,"&lt;&gt;",'Потребление (МВт·ч)'!C195:I195)/SUM('Потребление (МВт·ч)'!C195:I195),"")</s:f>
        <s:v>0.9583550329377153</s:v>
      </s:c>
    </s:row>
    <s:row r="196">
      <s:c r="A196" s="5" t="n">
        <s:v>46273</s:v>
      </s:c>
      <s:c r="B196" s="2" t="n">
        <s:v>23</s:v>
      </s:c>
      <s:c r="C196" s="6" t="n">
        <s:v>1156.79028</s:v>
      </s:c>
      <s:c r="D196" s="6" t="n">
        <s:v>1511.2948</s:v>
      </s:c>
      <s:c r="E196" s="6" t="n">
        <s:v>1433.21375</s:v>
      </s:c>
      <s:c r="F196" s="6" t="n">
        <s:v>1473.80652</s:v>
      </s:c>
      <s:c r="G196" s="6" t="n">
        <s:v>1290.63611</s:v>
      </s:c>
      <s:c r="H196" s="6" t="n">
        <s:v>370.691254</s:v>
      </s:c>
      <s:c r="I196" s="6" t="n"/>
      <s:c r="J196" s="6" t="str">
        <s:f>IF(AND(COUNT(C196:I196)=7,COUNT('Потребление (МВт·ч)'!C196:I196)=7,SUM('Потребление (МВт·ч)'!C196:I196)&gt;0),SUMPRODUCT(C196:I196,'Потребление (МВт·ч)'!C196:I196)/SUM('Потребление (МВт·ч)'!C196:I196),"")</s:f>
      </s:c>
      <s:c r="K196" s="6" t="n">
        <s:f>IF(SUMIF(C196:I196,"&lt;&gt;",'Потребление (МВт·ч)'!C196:I196)&gt;0,SUMPRODUCT(C196:I196,'Потребление (МВт·ч)'!C196:I196)/SUMIF(C196:I196,"&lt;&gt;",'Потребление (МВт·ч)'!C196:I196),"")</s:f>
        <s:v>1164.5201058663508</s:v>
      </s:c>
      <s:c r="L196" s="6" t="n">
        <s:f>IF(COUNT(C196:I196)&gt;0,AVERAGE(C196:I196),"")</s:f>
        <s:v>1206.072119</s:v>
      </s:c>
      <s:c r="M196" s="10" t="n">
        <s:f>COUNT(C196:I196)</s:f>
        <s:v>6</s:v>
      </s:c>
      <s:c r="N196" s="11" t="n">
        <s:f>IF(AND(COUNT('Потребление (МВт·ч)'!C196:I196)=7,SUM('Потребление (МВт·ч)'!C196:I196)&gt;0),SUMIF(C196:I196,"&lt;&gt;",'Потребление (МВт·ч)'!C196:I196)/SUM('Потребление (МВт·ч)'!C196:I196),"")</s:f>
        <s:v>0.955191547582852</s:v>
      </s:c>
    </s:row>
    <s:row r="197">
      <s:c r="A197" s="5" t="n">
        <s:v>46274</s:v>
      </s:c>
      <s:c r="B197" s="2" t="n">
        <s:v>0</s:v>
      </s:c>
      <s:c r="C197" s="6" t="n">
        <s:v>1387.262</s:v>
      </s:c>
      <s:c r="D197" s="6" t="n">
        <s:v>1695.4292</s:v>
      </s:c>
      <s:c r="E197" s="6" t="n">
        <s:v>1642.33936</s:v>
      </s:c>
      <s:c r="F197" s="6" t="n">
        <s:v>1693.45435</s:v>
      </s:c>
      <s:c r="G197" s="6" t="n">
        <s:v>1539.87659</s:v>
      </s:c>
      <s:c r="H197" s="6" t="n">
        <s:v>699.006348</s:v>
      </s:c>
      <s:c r="I197" s="6" t="n"/>
      <s:c r="J197" s="6" t="str">
        <s:f>IF(AND(COUNT(C197:I197)=7,COUNT('Потребление (МВт·ч)'!C197:I197)=7,SUM('Потребление (МВт·ч)'!C197:I197)&gt;0),SUMPRODUCT(C197:I197,'Потребление (МВт·ч)'!C197:I197)/SUM('Потребление (МВт·ч)'!C197:I197),"")</s:f>
      </s:c>
      <s:c r="K197" s="6" t="n">
        <s:f>IF(SUMIF(C197:I197,"&lt;&gt;",'Потребление (МВт·ч)'!C197:I197)&gt;0,SUMPRODUCT(C197:I197,'Потребление (МВт·ч)'!C197:I197)/SUMIF(C197:I197,"&lt;&gt;",'Потребление (МВт·ч)'!C197:I197),"")</s:f>
        <s:v>1398.9214133337862</s:v>
      </s:c>
      <s:c r="L197" s="6" t="n">
        <s:f>IF(COUNT(C197:I197)&gt;0,AVERAGE(C197:I197),"")</s:f>
        <s:v>1442.8946413333333</s:v>
      </s:c>
      <s:c r="M197" s="10" t="n">
        <s:f>COUNT(C197:I197)</s:f>
        <s:v>6</s:v>
      </s:c>
      <s:c r="N197" s="11" t="n">
        <s:f>IF(AND(COUNT('Потребление (МВт·ч)'!C197:I197)=7,SUM('Потребление (МВт·ч)'!C197:I197)&gt;0),SUMIF(C197:I197,"&lt;&gt;",'Потребление (МВт·ч)'!C197:I197)/SUM('Потребление (МВт·ч)'!C197:I197),"")</s:f>
        <s:v>0.9526918062865144</s:v>
      </s:c>
    </s:row>
    <s:row r="198">
      <s:c r="A198" s="5" t="n">
        <s:v>46274</s:v>
      </s:c>
      <s:c r="B198" s="2" t="n">
        <s:v>1</s:v>
      </s:c>
      <s:c r="C198" s="6" t="n">
        <s:v>1183.95947</s:v>
      </s:c>
      <s:c r="D198" s="6" t="n">
        <s:v>1536.09241</s:v>
      </s:c>
      <s:c r="E198" s="6" t="n">
        <s:v>1516.88965</s:v>
      </s:c>
      <s:c r="F198" s="6" t="n">
        <s:v>1544.6925</s:v>
      </s:c>
      <s:c r="G198" s="6" t="n">
        <s:v>1440.42688</s:v>
      </s:c>
      <s:c r="H198" s="6" t="n">
        <s:v>665.5628</s:v>
      </s:c>
      <s:c r="I198" s="6" t="n"/>
      <s:c r="J198" s="6" t="str">
        <s:f>IF(AND(COUNT(C198:I198)=7,COUNT('Потребление (МВт·ч)'!C198:I198)=7,SUM('Потребление (МВт·ч)'!C198:I198)&gt;0),SUMPRODUCT(C198:I198,'Потребление (МВт·ч)'!C198:I198)/SUM('Потребление (МВт·ч)'!C198:I198),"")</s:f>
      </s:c>
      <s:c r="K198" s="6" t="n">
        <s:f>IF(SUMIF(C198:I198,"&lt;&gt;",'Потребление (МВт·ч)'!C198:I198)&gt;0,SUMPRODUCT(C198:I198,'Потребление (МВт·ч)'!C198:I198)/SUMIF(C198:I198,"&lt;&gt;",'Потребление (МВт·ч)'!C198:I198),"")</s:f>
        <s:v>1277.0515699820708</s:v>
      </s:c>
      <s:c r="L198" s="6" t="n">
        <s:f>IF(COUNT(C198:I198)&gt;0,AVERAGE(C198:I198),"")</s:f>
        <s:v>1314.6039516666667</s:v>
      </s:c>
      <s:c r="M198" s="10" t="n">
        <s:f>COUNT(C198:I198)</s:f>
        <s:v>6</s:v>
      </s:c>
      <s:c r="N198" s="11" t="n">
        <s:f>IF(AND(COUNT('Потребление (МВт·ч)'!C198:I198)=7,SUM('Потребление (МВт·ч)'!C198:I198)&gt;0),SUMIF(C198:I198,"&lt;&gt;",'Потребление (МВт·ч)'!C198:I198)/SUM('Потребление (МВт·ч)'!C198:I198),"")</s:f>
        <s:v>0.9491054064566317</s:v>
      </s:c>
    </s:row>
    <s:row r="199">
      <s:c r="A199" s="5" t="n">
        <s:v>46274</s:v>
      </s:c>
      <s:c r="B199" s="2" t="n">
        <s:v>2</s:v>
      </s:c>
      <s:c r="C199" s="6" t="n">
        <s:v>1183.44727</s:v>
      </s:c>
      <s:c r="D199" s="6" t="n">
        <s:v>1538.47766</s:v>
      </s:c>
      <s:c r="E199" s="6" t="n">
        <s:v>1497.66</s:v>
      </s:c>
      <s:c r="F199" s="6" t="n">
        <s:v>1557.25879</s:v>
      </s:c>
      <s:c r="G199" s="6" t="n">
        <s:v>1469.76038</s:v>
      </s:c>
      <s:c r="H199" s="6" t="n">
        <s:v>213.122879</s:v>
      </s:c>
      <s:c r="I199" s="6" t="n"/>
      <s:c r="J199" s="6" t="str">
        <s:f>IF(AND(COUNT(C199:I199)=7,COUNT('Потребление (МВт·ч)'!C199:I199)=7,SUM('Потребление (МВт·ч)'!C199:I199)&gt;0),SUMPRODUCT(C199:I199,'Потребление (МВт·ч)'!C199:I199)/SUM('Потребление (МВт·ч)'!C199:I199),"")</s:f>
      </s:c>
      <s:c r="K199" s="6" t="n">
        <s:f>IF(SUMIF(C199:I199,"&lt;&gt;",'Потребление (МВт·ч)'!C199:I199)&gt;0,SUMPRODUCT(C199:I199,'Потребление (МВт·ч)'!C199:I199)/SUMIF(C199:I199,"&lt;&gt;",'Потребление (МВт·ч)'!C199:I199),"")</s:f>
        <s:v>1168.909837865064</s:v>
      </s:c>
      <s:c r="L199" s="6" t="n">
        <s:f>IF(COUNT(C199:I199)&gt;0,AVERAGE(C199:I199),"")</s:f>
        <s:v>1243.2878298333333</s:v>
      </s:c>
      <s:c r="M199" s="10" t="n">
        <s:f>COUNT(C199:I199)</s:f>
        <s:v>6</s:v>
      </s:c>
      <s:c r="N199" s="11" t="n">
        <s:f>IF(AND(COUNT('Потребление (МВт·ч)'!C199:I199)=7,SUM('Потребление (МВт·ч)'!C199:I199)&gt;0),SUMIF(C199:I199,"&lt;&gt;",'Потребление (МВт·ч)'!C199:I199)/SUM('Потребление (МВт·ч)'!C199:I199),"")</s:f>
        <s:v>0.9496980916289484</s:v>
      </s:c>
    </s:row>
    <s:row r="200">
      <s:c r="A200" s="5" t="n">
        <s:v>46274</s:v>
      </s:c>
      <s:c r="B200" s="2" t="n">
        <s:v>3</s:v>
      </s:c>
      <s:c r="C200" s="6" t="n">
        <s:v>1154.638</s:v>
      </s:c>
      <s:c r="D200" s="6" t="n">
        <s:v>1688.04382</s:v>
      </s:c>
      <s:c r="E200" s="6" t="n">
        <s:v>1360.532</s:v>
      </s:c>
      <s:c r="F200" s="6" t="n">
        <s:v>1639.83716</s:v>
      </s:c>
      <s:c r="G200" s="6" t="n">
        <s:v>1495.69214</s:v>
      </s:c>
      <s:c r="H200" s="6" t="n">
        <s:v>183.8326</s:v>
      </s:c>
      <s:c r="I200" s="6" t="n"/>
      <s:c r="J200" s="6" t="str">
        <s:f>IF(AND(COUNT(C200:I200)=7,COUNT('Потребление (МВт·ч)'!C200:I200)=7,SUM('Потребление (МВт·ч)'!C200:I200)&gt;0),SUMPRODUCT(C200:I200,'Потребление (МВт·ч)'!C200:I200)/SUM('Потребление (МВт·ч)'!C200:I200),"")</s:f>
      </s:c>
      <s:c r="K200" s="6" t="n">
        <s:f>IF(SUMIF(C200:I200,"&lt;&gt;",'Потребление (МВт·ч)'!C200:I200)&gt;0,SUMPRODUCT(C200:I200,'Потребление (МВт·ч)'!C200:I200)/SUMIF(C200:I200,"&lt;&gt;",'Потребление (МВт·ч)'!C200:I200),"")</s:f>
        <s:v>1198.4016904963069</s:v>
      </s:c>
      <s:c r="L200" s="6" t="n">
        <s:f>IF(COUNT(C200:I200)&gt;0,AVERAGE(C200:I200),"")</s:f>
        <s:v>1253.76262</s:v>
      </s:c>
      <s:c r="M200" s="10" t="n">
        <s:f>COUNT(C200:I200)</s:f>
        <s:v>6</s:v>
      </s:c>
      <s:c r="N200" s="11" t="n">
        <s:f>IF(AND(COUNT('Потребление (МВт·ч)'!C200:I200)=7,SUM('Потребление (МВт·ч)'!C200:I200)&gt;0),SUMIF(C200:I200,"&lt;&gt;",'Потребление (МВт·ч)'!C200:I200)/SUM('Потребление (МВт·ч)'!C200:I200),"")</s:f>
        <s:v>0.9495359740685716</s:v>
      </s:c>
    </s:row>
    <s:row r="201">
      <s:c r="A201" s="5" t="n">
        <s:v>46274</s:v>
      </s:c>
      <s:c r="B201" s="2" t="n">
        <s:v>4</s:v>
      </s:c>
      <s:c r="C201" s="6" t="n">
        <s:v>1292.16772</s:v>
      </s:c>
      <s:c r="D201" s="6" t="n">
        <s:v>1862.43762</s:v>
      </s:c>
      <s:c r="E201" s="6" t="n">
        <s:v>1497.56274</s:v>
      </s:c>
      <s:c r="F201" s="6" t="n">
        <s:v>1815.4574</s:v>
      </s:c>
      <s:c r="G201" s="6" t="n">
        <s:v>1630.61316</s:v>
      </s:c>
      <s:c r="H201" s="6" t="n">
        <s:v>776.179565</s:v>
      </s:c>
      <s:c r="I201" s="6" t="n"/>
      <s:c r="J201" s="6" t="str">
        <s:f>IF(AND(COUNT(C201:I201)=7,COUNT('Потребление (МВт·ч)'!C201:I201)=7,SUM('Потребление (МВт·ч)'!C201:I201)&gt;0),SUMPRODUCT(C201:I201,'Потребление (МВт·ч)'!C201:I201)/SUM('Потребление (МВт·ч)'!C201:I201),"")</s:f>
      </s:c>
      <s:c r="K201" s="6" t="n">
        <s:f>IF(SUMIF(C201:I201,"&lt;&gt;",'Потребление (МВт·ч)'!C201:I201)&gt;0,SUMPRODUCT(C201:I201,'Потребление (МВт·ч)'!C201:I201)/SUMIF(C201:I201,"&lt;&gt;",'Потребление (МВт·ч)'!C201:I201),"")</s:f>
        <s:v>1457.3542995220978</s:v>
      </s:c>
      <s:c r="L201" s="6" t="n">
        <s:f>IF(COUNT(C201:I201)&gt;0,AVERAGE(C201:I201),"")</s:f>
        <s:v>1479.0697008333334</s:v>
      </s:c>
      <s:c r="M201" s="10" t="n">
        <s:f>COUNT(C201:I201)</s:f>
        <s:v>6</s:v>
      </s:c>
      <s:c r="N201" s="11" t="n">
        <s:f>IF(AND(COUNT('Потребление (МВт·ч)'!C201:I201)=7,SUM('Потребление (МВт·ч)'!C201:I201)&gt;0),SUMIF(C201:I201,"&lt;&gt;",'Потребление (МВт·ч)'!C201:I201)/SUM('Потребление (МВт·ч)'!C201:I201),"")</s:f>
        <s:v>0.9512434709510451</s:v>
      </s:c>
    </s:row>
    <s:row r="202">
      <s:c r="A202" s="5" t="n">
        <s:v>46274</s:v>
      </s:c>
      <s:c r="B202" s="2" t="n">
        <s:v>5</s:v>
      </s:c>
      <s:c r="C202" s="6" t="n">
        <s:v>1468.48059</s:v>
      </s:c>
      <s:c r="D202" s="6" t="n">
        <s:v>2113.13965</s:v>
      </s:c>
      <s:c r="E202" s="6" t="n">
        <s:v>1791.61145</s:v>
      </s:c>
      <s:c r="F202" s="6" t="n">
        <s:v>2049.076</s:v>
      </s:c>
      <s:c r="G202" s="6" t="n">
        <s:v>1780.12915</s:v>
      </s:c>
      <s:c r="H202" s="6" t="n">
        <s:v>958.279</s:v>
      </s:c>
      <s:c r="I202" s="6" t="n"/>
      <s:c r="J202" s="6" t="str">
        <s:f>IF(AND(COUNT(C202:I202)=7,COUNT('Потребление (МВт·ч)'!C202:I202)=7,SUM('Потребление (МВт·ч)'!C202:I202)&gt;0),SUMPRODUCT(C202:I202,'Потребление (МВт·ч)'!C202:I202)/SUM('Потребление (МВт·ч)'!C202:I202),"")</s:f>
      </s:c>
      <s:c r="K202" s="6" t="n">
        <s:f>IF(SUMIF(C202:I202,"&lt;&gt;",'Потребление (МВт·ч)'!C202:I202)&gt;0,SUMPRODUCT(C202:I202,'Потребление (МВт·ч)'!C202:I202)/SUMIF(C202:I202,"&lt;&gt;",'Потребление (МВт·ч)'!C202:I202),"")</s:f>
        <s:v>1669.2029468092876</s:v>
      </s:c>
      <s:c r="L202" s="6" t="n">
        <s:f>IF(COUNT(C202:I202)&gt;0,AVERAGE(C202:I202),"")</s:f>
        <s:v>1693.4526400000002</s:v>
      </s:c>
      <s:c r="M202" s="10" t="n">
        <s:f>COUNT(C202:I202)</s:f>
        <s:v>6</s:v>
      </s:c>
      <s:c r="N202" s="11" t="n">
        <s:f>IF(AND(COUNT('Потребление (МВт·ч)'!C202:I202)=7,SUM('Потребление (МВт·ч)'!C202:I202)&gt;0),SUMIF(C202:I202,"&lt;&gt;",'Потребление (МВт·ч)'!C202:I202)/SUM('Потребление (МВт·ч)'!C202:I202),"")</s:f>
        <s:v>0.953428558306159</s:v>
      </s:c>
    </s:row>
    <s:row r="203">
      <s:c r="A203" s="5" t="n">
        <s:v>46274</s:v>
      </s:c>
      <s:c r="B203" s="2" t="n">
        <s:v>6</s:v>
      </s:c>
      <s:c r="C203" s="6" t="n">
        <s:v>1343.475</s:v>
      </s:c>
      <s:c r="D203" s="6" t="n">
        <s:v>2395.68945</s:v>
      </s:c>
      <s:c r="E203" s="6" t="n">
        <s:v>1971.48364</s:v>
      </s:c>
      <s:c r="F203" s="6" t="n">
        <s:v>2395.27026</s:v>
      </s:c>
      <s:c r="G203" s="6" t="n">
        <s:v>2067.414</s:v>
      </s:c>
      <s:c r="H203" s="6" t="n">
        <s:v>813.6973</s:v>
      </s:c>
      <s:c r="I203" s="6" t="n"/>
      <s:c r="J203" s="6" t="str">
        <s:f>IF(AND(COUNT(C203:I203)=7,COUNT('Потребление (МВт·ч)'!C203:I203)=7,SUM('Потребление (МВт·ч)'!C203:I203)&gt;0),SUMPRODUCT(C203:I203,'Потребление (МВт·ч)'!C203:I203)/SUM('Потребление (МВт·ч)'!C203:I203),"")</s:f>
      </s:c>
      <s:c r="K203" s="6" t="n">
        <s:f>IF(SUMIF(C203:I203,"&lt;&gt;",'Потребление (МВт·ч)'!C203:I203)&gt;0,SUMPRODUCT(C203:I203,'Потребление (МВт·ч)'!C203:I203)/SUMIF(C203:I203,"&lt;&gt;",'Потребление (МВт·ч)'!C203:I203),"")</s:f>
        <s:v>1833.162052635922</s:v>
      </s:c>
      <s:c r="L203" s="6" t="n">
        <s:f>IF(COUNT(C203:I203)&gt;0,AVERAGE(C203:I203),"")</s:f>
        <s:v>1831.1716083333333</s:v>
      </s:c>
      <s:c r="M203" s="10" t="n">
        <s:f>COUNT(C203:I203)</s:f>
        <s:v>6</s:v>
      </s:c>
      <s:c r="N203" s="11" t="n">
        <s:f>IF(AND(COUNT('Потребление (МВт·ч)'!C203:I203)=7,SUM('Потребление (МВт·ч)'!C203:I203)&gt;0),SUMIF(C203:I203,"&lt;&gt;",'Потребление (МВт·ч)'!C203:I203)/SUM('Потребление (МВт·ч)'!C203:I203),"")</s:f>
        <s:v>0.9551265717122548</s:v>
      </s:c>
    </s:row>
    <s:row r="204">
      <s:c r="A204" s="5" t="n">
        <s:v>46274</s:v>
      </s:c>
      <s:c r="B204" s="2" t="n">
        <s:v>7</s:v>
      </s:c>
      <s:c r="C204" s="6" t="n">
        <s:v>1521.167</s:v>
      </s:c>
      <s:c r="D204" s="6" t="n">
        <s:v>2655.44</s:v>
      </s:c>
      <s:c r="E204" s="6" t="n">
        <s:v>1883.63159</s:v>
      </s:c>
      <s:c r="F204" s="6" t="n">
        <s:v>2846.84155</s:v>
      </s:c>
      <s:c r="G204" s="6" t="n">
        <s:v>2304.36035</s:v>
      </s:c>
      <s:c r="H204" s="6" t="n">
        <s:v>823.643066</s:v>
      </s:c>
      <s:c r="I204" s="6" t="n"/>
      <s:c r="J204" s="6" t="str">
        <s:f>IF(AND(COUNT(C204:I204)=7,COUNT('Потребление (МВт·ч)'!C204:I204)=7,SUM('Потребление (МВт·ч)'!C204:I204)&gt;0),SUMPRODUCT(C204:I204,'Потребление (МВт·ч)'!C204:I204)/SUM('Потребление (МВт·ч)'!C204:I204),"")</s:f>
      </s:c>
      <s:c r="K204" s="6" t="n">
        <s:f>IF(SUMIF(C204:I204,"&lt;&gt;",'Потребление (МВт·ч)'!C204:I204)&gt;0,SUMPRODUCT(C204:I204,'Потребление (МВт·ч)'!C204:I204)/SUMIF(C204:I204,"&lt;&gt;",'Потребление (МВт·ч)'!C204:I204),"")</s:f>
        <s:v>2024.6999900321784</s:v>
      </s:c>
      <s:c r="L204" s="6" t="n">
        <s:f>IF(COUNT(C204:I204)&gt;0,AVERAGE(C204:I204),"")</s:f>
        <s:v>2005.8472593333336</s:v>
      </s:c>
      <s:c r="M204" s="10" t="n">
        <s:f>COUNT(C204:I204)</s:f>
        <s:v>6</s:v>
      </s:c>
      <s:c r="N204" s="11" t="n">
        <s:f>IF(AND(COUNT('Потребление (МВт·ч)'!C204:I204)=7,SUM('Потребление (МВт·ч)'!C204:I204)&gt;0),SUMIF(C204:I204,"&lt;&gt;",'Потребление (МВт·ч)'!C204:I204)/SUM('Потребление (МВт·ч)'!C204:I204),"")</s:f>
        <s:v>0.9567063468427457</s:v>
      </s:c>
    </s:row>
    <s:row r="205">
      <s:c r="A205" s="5" t="n">
        <s:v>46274</s:v>
      </s:c>
      <s:c r="B205" s="2" t="n">
        <s:v>8</s:v>
      </s:c>
      <s:c r="C205" s="6" t="n">
        <s:v>1750.44543</s:v>
      </s:c>
      <s:c r="D205" s="6" t="n">
        <s:v>3058.6394</s:v>
      </s:c>
      <s:c r="E205" s="6" t="n">
        <s:v>1755.97522</s:v>
      </s:c>
      <s:c r="F205" s="6" t="n">
        <s:v>3485.207</s:v>
      </s:c>
      <s:c r="G205" s="6" t="n">
        <s:v>2760.0415</s:v>
      </s:c>
      <s:c r="H205" s="6" t="n">
        <s:v>795.4921000000001</s:v>
      </s:c>
      <s:c r="I205" s="6" t="n"/>
      <s:c r="J205" s="6" t="str">
        <s:f>IF(AND(COUNT(C205:I205)=7,COUNT('Потребление (МВт·ч)'!C205:I205)=7,SUM('Потребление (МВт·ч)'!C205:I205)&gt;0),SUMPRODUCT(C205:I205,'Потребление (МВт·ч)'!C205:I205)/SUM('Потребление (МВт·ч)'!C205:I205),"")</s:f>
      </s:c>
      <s:c r="K205" s="6" t="n">
        <s:f>IF(SUMIF(C205:I205,"&lt;&gt;",'Потребление (МВт·ч)'!C205:I205)&gt;0,SUMPRODUCT(C205:I205,'Потребление (МВт·ч)'!C205:I205)/SUMIF(C205:I205,"&lt;&gt;",'Потребление (МВт·ч)'!C205:I205),"")</s:f>
        <s:v>2310.2982635778035</s:v>
      </s:c>
      <s:c r="L205" s="6" t="n">
        <s:f>IF(COUNT(C205:I205)&gt;0,AVERAGE(C205:I205),"")</s:f>
        <s:v>2267.6334416666664</s:v>
      </s:c>
      <s:c r="M205" s="10" t="n">
        <s:f>COUNT(C205:I205)</s:f>
        <s:v>6</s:v>
      </s:c>
      <s:c r="N205" s="11" t="n">
        <s:f>IF(AND(COUNT('Потребление (МВт·ч)'!C205:I205)=7,SUM('Потребление (МВт·ч)'!C205:I205)&gt;0),SUMIF(C205:I205,"&lt;&gt;",'Потребление (МВт·ч)'!C205:I205)/SUM('Потребление (МВт·ч)'!C205:I205),"")</s:f>
        <s:v>0.9580929493774021</s:v>
      </s:c>
    </s:row>
    <s:row r="206">
      <s:c r="A206" s="5" t="n">
        <s:v>46274</s:v>
      </s:c>
      <s:c r="B206" s="2" t="n">
        <s:v>9</s:v>
      </s:c>
      <s:c r="C206" s="6" t="n">
        <s:v>1831.35962</s:v>
      </s:c>
      <s:c r="D206" s="6" t="n">
        <s:v>3071.0564</s:v>
      </s:c>
      <s:c r="E206" s="6" t="n">
        <s:v>2362.74585</s:v>
      </s:c>
      <s:c r="F206" s="6" t="n">
        <s:v>3312.64526</s:v>
      </s:c>
      <s:c r="G206" s="6" t="n">
        <s:v>2645.38818</s:v>
      </s:c>
      <s:c r="H206" s="6" t="n">
        <s:v>423.654938</s:v>
      </s:c>
      <s:c r="I206" s="6" t="n"/>
      <s:c r="J206" s="6" t="str">
        <s:f>IF(AND(COUNT(C206:I206)=7,COUNT('Потребление (МВт·ч)'!C206:I206)=7,SUM('Потребление (МВт·ч)'!C206:I206)&gt;0),SUMPRODUCT(C206:I206,'Потребление (МВт·ч)'!C206:I206)/SUM('Потребление (МВт·ч)'!C206:I206),"")</s:f>
      </s:c>
      <s:c r="K206" s="6" t="n">
        <s:f>IF(SUMIF(C206:I206,"&lt;&gt;",'Потребление (МВт·ч)'!C206:I206)&gt;0,SUMPRODUCT(C206:I206,'Потребление (МВт·ч)'!C206:I206)/SUMIF(C206:I206,"&lt;&gt;",'Потребление (МВт·ч)'!C206:I206),"")</s:f>
        <s:v>2261.065664159048</s:v>
      </s:c>
      <s:c r="L206" s="6" t="n">
        <s:f>IF(COUNT(C206:I206)&gt;0,AVERAGE(C206:I206),"")</s:f>
        <s:v>2274.475041333333</s:v>
      </s:c>
      <s:c r="M206" s="10" t="n">
        <s:f>COUNT(C206:I206)</s:f>
        <s:v>6</s:v>
      </s:c>
      <s:c r="N206" s="11" t="n">
        <s:f>IF(AND(COUNT('Потребление (МВт·ч)'!C206:I206)=7,SUM('Потребление (МВт·ч)'!C206:I206)&gt;0),SUMIF(C206:I206,"&lt;&gt;",'Потребление (МВт·ч)'!C206:I206)/SUM('Потребление (МВт·ч)'!C206:I206),"")</s:f>
        <s:v>0.9594453080258529</s:v>
      </s:c>
    </s:row>
    <s:row r="207">
      <s:c r="A207" s="5" t="n">
        <s:v>46274</s:v>
      </s:c>
      <s:c r="B207" s="2" t="n">
        <s:v>10</s:v>
      </s:c>
      <s:c r="C207" s="6" t="n">
        <s:v>1894.89392</s:v>
      </s:c>
      <s:c r="D207" s="6" t="n">
        <s:v>2917.67822</s:v>
      </s:c>
      <s:c r="E207" s="6" t="n">
        <s:v>2834.23877</s:v>
      </s:c>
      <s:c r="F207" s="6" t="n">
        <s:v>2926.91333</s:v>
      </s:c>
      <s:c r="G207" s="6" t="n">
        <s:v>2530.922</s:v>
      </s:c>
      <s:c r="H207" s="6" t="n">
        <s:v>581.3123000000001</s:v>
      </s:c>
      <s:c r="I207" s="6" t="n"/>
      <s:c r="J207" s="6" t="str">
        <s:f>IF(AND(COUNT(C207:I207)=7,COUNT('Потребление (МВт·ч)'!C207:I207)=7,SUM('Потребление (МВт·ч)'!C207:I207)&gt;0),SUMPRODUCT(C207:I207,'Потребление (МВт·ч)'!C207:I207)/SUM('Потребление (МВт·ч)'!C207:I207),"")</s:f>
      </s:c>
      <s:c r="K207" s="6" t="n">
        <s:f>IF(SUMIF(C207:I207,"&lt;&gt;",'Потребление (МВт·ч)'!C207:I207)&gt;0,SUMPRODUCT(C207:I207,'Потребление (МВт·ч)'!C207:I207)/SUMIF(C207:I207,"&lt;&gt;",'Потребление (МВт·ч)'!C207:I207),"")</s:f>
        <s:v>2233.3771147391185</s:v>
      </s:c>
      <s:c r="L207" s="6" t="n">
        <s:f>IF(COUNT(C207:I207)&gt;0,AVERAGE(C207:I207),"")</s:f>
        <s:v>2280.99309</s:v>
      </s:c>
      <s:c r="M207" s="10" t="n">
        <s:f>COUNT(C207:I207)</s:f>
        <s:v>6</s:v>
      </s:c>
      <s:c r="N207" s="11" t="n">
        <s:f>IF(AND(COUNT('Потребление (МВт·ч)'!C207:I207)=7,SUM('Потребление (МВт·ч)'!C207:I207)&gt;0),SUMIF(C207:I207,"&lt;&gt;",'Потребление (МВт·ч)'!C207:I207)/SUM('Потребление (МВт·ч)'!C207:I207),"")</s:f>
        <s:v>0.9573517399117791</s:v>
      </s:c>
    </s:row>
    <s:row r="208">
      <s:c r="A208" s="5" t="n">
        <s:v>46274</s:v>
      </s:c>
      <s:c r="B208" s="2" t="n">
        <s:v>11</s:v>
      </s:c>
      <s:c r="C208" s="6" t="n">
        <s:v>1819.45093</s:v>
      </s:c>
      <s:c r="D208" s="6" t="n">
        <s:v>2847.55664</s:v>
      </s:c>
      <s:c r="E208" s="6" t="n">
        <s:v>2607.98267</s:v>
      </s:c>
      <s:c r="F208" s="6" t="n">
        <s:v>2874.19238</s:v>
      </s:c>
      <s:c r="G208" s="6" t="n">
        <s:v>2485.60913</s:v>
      </s:c>
      <s:c r="H208" s="6" t="n">
        <s:v>1016.34448</s:v>
      </s:c>
      <s:c r="I208" s="6" t="n"/>
      <s:c r="J208" s="6" t="str">
        <s:f>IF(AND(COUNT(C208:I208)=7,COUNT('Потребление (МВт·ч)'!C208:I208)=7,SUM('Потребление (МВт·ч)'!C208:I208)&gt;0),SUMPRODUCT(C208:I208,'Потребление (МВт·ч)'!C208:I208)/SUM('Потребление (МВт·ч)'!C208:I208),"")</s:f>
      </s:c>
      <s:c r="K208" s="6" t="n">
        <s:f>IF(SUMIF(C208:I208,"&lt;&gt;",'Потребление (МВт·ч)'!C208:I208)&gt;0,SUMPRODUCT(C208:I208,'Потребление (МВт·ч)'!C208:I208)/SUMIF(C208:I208,"&lt;&gt;",'Потребление (МВт·ч)'!C208:I208),"")</s:f>
        <s:v>2268.0548735507446</s:v>
      </s:c>
      <s:c r="L208" s="6" t="n">
        <s:f>IF(COUNT(C208:I208)&gt;0,AVERAGE(C208:I208),"")</s:f>
        <s:v>2275.189371666667</s:v>
      </s:c>
      <s:c r="M208" s="10" t="n">
        <s:f>COUNT(C208:I208)</s:f>
        <s:v>6</s:v>
      </s:c>
      <s:c r="N208" s="11" t="n">
        <s:f>IF(AND(COUNT('Потребление (МВт·ч)'!C208:I208)=7,SUM('Потребление (МВт·ч)'!C208:I208)&gt;0),SUMIF(C208:I208,"&lt;&gt;",'Потребление (МВт·ч)'!C208:I208)/SUM('Потребление (МВт·ч)'!C208:I208),"")</s:f>
        <s:v>0.9573981214529413</s:v>
      </s:c>
    </s:row>
    <s:row r="209">
      <s:c r="A209" s="5" t="n">
        <s:v>46274</s:v>
      </s:c>
      <s:c r="B209" s="2" t="n">
        <s:v>12</s:v>
      </s:c>
      <s:c r="C209" s="6" t="n">
        <s:v>1832.50488</s:v>
      </s:c>
      <s:c r="D209" s="6" t="n">
        <s:v>2860.68628</s:v>
      </s:c>
      <s:c r="E209" s="6" t="n">
        <s:v>2562.546</s:v>
      </s:c>
      <s:c r="F209" s="6" t="n">
        <s:v>2900.276</s:v>
      </s:c>
      <s:c r="G209" s="6" t="n">
        <s:v>2523.51318</s:v>
      </s:c>
      <s:c r="H209" s="6" t="n">
        <s:v>1050.224</s:v>
      </s:c>
      <s:c r="I209" s="6" t="n"/>
      <s:c r="J209" s="6" t="str">
        <s:f>IF(AND(COUNT(C209:I209)=7,COUNT('Потребление (МВт·ч)'!C209:I209)=7,SUM('Потребление (МВт·ч)'!C209:I209)&gt;0),SUMPRODUCT(C209:I209,'Потребление (МВт·ч)'!C209:I209)/SUM('Потребление (МВт·ч)'!C209:I209),"")</s:f>
      </s:c>
      <s:c r="K209" s="6" t="n">
        <s:f>IF(SUMIF(C209:I209,"&lt;&gt;",'Потребление (МВт·ч)'!C209:I209)&gt;0,SUMPRODUCT(C209:I209,'Потребление (МВт·ч)'!C209:I209)/SUMIF(C209:I209,"&lt;&gt;",'Потребление (МВт·ч)'!C209:I209),"")</s:f>
        <s:v>2285.7875327592124</s:v>
      </s:c>
      <s:c r="L209" s="6" t="n">
        <s:f>IF(COUNT(C209:I209)&gt;0,AVERAGE(C209:I209),"")</s:f>
        <s:v>2288.2917233333333</s:v>
      </s:c>
      <s:c r="M209" s="10" t="n">
        <s:f>COUNT(C209:I209)</s:f>
        <s:v>6</s:v>
      </s:c>
      <s:c r="N209" s="11" t="n">
        <s:f>IF(AND(COUNT('Потребление (МВт·ч)'!C209:I209)=7,SUM('Потребление (МВт·ч)'!C209:I209)&gt;0),SUMIF(C209:I209,"&lt;&gt;",'Потребление (МВт·ч)'!C209:I209)/SUM('Потребление (МВт·ч)'!C209:I209),"")</s:f>
        <s:v>0.9563018276331532</s:v>
      </s:c>
    </s:row>
    <s:row r="210">
      <s:c r="A210" s="5" t="n">
        <s:v>46274</s:v>
      </s:c>
      <s:c r="B210" s="2" t="n">
        <s:v>13</s:v>
      </s:c>
      <s:c r="C210" s="6" t="n">
        <s:v>1921.47839</s:v>
      </s:c>
      <s:c r="D210" s="6" t="n">
        <s:v>2883.292</s:v>
      </s:c>
      <s:c r="E210" s="6" t="n">
        <s:v>2534.85767</s:v>
      </s:c>
      <s:c r="F210" s="6" t="n">
        <s:v>2915.887</s:v>
      </s:c>
      <s:c r="G210" s="6" t="n">
        <s:v>2556.33423</s:v>
      </s:c>
      <s:c r="H210" s="6" t="n">
        <s:v>1200.8783</s:v>
      </s:c>
      <s:c r="I210" s="6" t="n"/>
      <s:c r="J210" s="6" t="str">
        <s:f>IF(AND(COUNT(C210:I210)=7,COUNT('Потребление (МВт·ч)'!C210:I210)=7,SUM('Потребление (МВт·ч)'!C210:I210)&gt;0),SUMPRODUCT(C210:I210,'Потребление (МВт·ч)'!C210:I210)/SUM('Потребление (МВт·ч)'!C210:I210),"")</s:f>
      </s:c>
      <s:c r="K210" s="6" t="n">
        <s:f>IF(SUMIF(C210:I210,"&lt;&gt;",'Потребление (МВт·ч)'!C210:I210)&gt;0,SUMPRODUCT(C210:I210,'Потребление (МВт·ч)'!C210:I210)/SUMIF(C210:I210,"&lt;&gt;",'Потребление (МВт·ч)'!C210:I210),"")</s:f>
        <s:v>2338.3004445100532</s:v>
      </s:c>
      <s:c r="L210" s="6" t="n">
        <s:f>IF(COUNT(C210:I210)&gt;0,AVERAGE(C210:I210),"")</s:f>
        <s:v>2335.4545983333333</s:v>
      </s:c>
      <s:c r="M210" s="10" t="n">
        <s:f>COUNT(C210:I210)</s:f>
        <s:v>6</s:v>
      </s:c>
      <s:c r="N210" s="11" t="n">
        <s:f>IF(AND(COUNT('Потребление (МВт·ч)'!C210:I210)=7,SUM('Потребление (МВт·ч)'!C210:I210)&gt;0),SUMIF(C210:I210,"&lt;&gt;",'Потребление (МВт·ч)'!C210:I210)/SUM('Потребление (МВт·ч)'!C210:I210),"")</s:f>
        <s:v>0.9557732703163976</s:v>
      </s:c>
    </s:row>
    <s:row r="211">
      <s:c r="A211" s="5" t="n">
        <s:v>46274</s:v>
      </s:c>
      <s:c r="B211" s="2" t="n">
        <s:v>14</s:v>
      </s:c>
      <s:c r="C211" s="6" t="n">
        <s:v>1738.05518</s:v>
      </s:c>
      <s:c r="D211" s="6" t="n">
        <s:v>2751.11548</s:v>
      </s:c>
      <s:c r="E211" s="6" t="n">
        <s:v>2451.71655</s:v>
      </s:c>
      <s:c r="F211" s="6" t="n">
        <s:v>2795.833</s:v>
      </s:c>
      <s:c r="G211" s="6" t="n">
        <s:v>2467.69043</s:v>
      </s:c>
      <s:c r="H211" s="6" t="n">
        <s:v>1226.89417</s:v>
      </s:c>
      <s:c r="I211" s="6" t="n"/>
      <s:c r="J211" s="6" t="str">
        <s:f>IF(AND(COUNT(C211:I211)=7,COUNT('Потребление (МВт·ч)'!C211:I211)=7,SUM('Потребление (МВт·ч)'!C211:I211)&gt;0),SUMPRODUCT(C211:I211,'Потребление (МВт·ч)'!C211:I211)/SUM('Потребление (МВт·ч)'!C211:I211),"")</s:f>
      </s:c>
      <s:c r="K211" s="6" t="n">
        <s:f>IF(SUMIF(C211:I211,"&lt;&gt;",'Потребление (МВт·ч)'!C211:I211)&gt;0,SUMPRODUCT(C211:I211,'Потребление (МВт·ч)'!C211:I211)/SUMIF(C211:I211,"&lt;&gt;",'Потребление (МВт·ч)'!C211:I211),"")</s:f>
        <s:v>2247.1394891375044</s:v>
      </s:c>
      <s:c r="L211" s="6" t="n">
        <s:f>IF(COUNT(C211:I211)&gt;0,AVERAGE(C211:I211),"")</s:f>
        <s:v>2238.5508016666668</s:v>
      </s:c>
      <s:c r="M211" s="10" t="n">
        <s:f>COUNT(C211:I211)</s:f>
        <s:v>6</s:v>
      </s:c>
      <s:c r="N211" s="11" t="n">
        <s:f>IF(AND(COUNT('Потребление (МВт·ч)'!C211:I211)=7,SUM('Потребление (МВт·ч)'!C211:I211)&gt;0),SUMIF(C211:I211,"&lt;&gt;",'Потребление (МВт·ч)'!C211:I211)/SUM('Потребление (МВт·ч)'!C211:I211),"")</s:f>
        <s:v>0.9558323989182772</s:v>
      </s:c>
    </s:row>
    <s:row r="212">
      <s:c r="A212" s="5" t="n">
        <s:v>46274</s:v>
      </s:c>
      <s:c r="B212" s="2" t="n">
        <s:v>15</s:v>
      </s:c>
      <s:c r="C212" s="6" t="n">
        <s:v>1722.82373</s:v>
      </s:c>
      <s:c r="D212" s="6" t="n">
        <s:v>2719.12842</s:v>
      </s:c>
      <s:c r="E212" s="6" t="n">
        <s:v>2421.362</s:v>
      </s:c>
      <s:c r="F212" s="6" t="n">
        <s:v>2758.39868</s:v>
      </s:c>
      <s:c r="G212" s="6" t="n">
        <s:v>2464.67188</s:v>
      </s:c>
      <s:c r="H212" s="6" t="n">
        <s:v>1560.09863</s:v>
      </s:c>
      <s:c r="I212" s="6" t="n"/>
      <s:c r="J212" s="6" t="str">
        <s:f>IF(AND(COUNT(C212:I212)=7,COUNT('Потребление (МВт·ч)'!C212:I212)=7,SUM('Потребление (МВт·ч)'!C212:I212)&gt;0),SUMPRODUCT(C212:I212,'Потребление (МВт·ч)'!C212:I212)/SUM('Потребление (МВт·ч)'!C212:I212),"")</s:f>
      </s:c>
      <s:c r="K212" s="6" t="n">
        <s:f>IF(SUMIF(C212:I212,"&lt;&gt;",'Потребление (МВт·ч)'!C212:I212)&gt;0,SUMPRODUCT(C212:I212,'Потребление (МВт·ч)'!C212:I212)/SUMIF(C212:I212,"&lt;&gt;",'Потребление (МВт·ч)'!C212:I212),"")</s:f>
        <s:v>2299.5674683597886</s:v>
      </s:c>
      <s:c r="L212" s="6" t="n">
        <s:f>IF(COUNT(C212:I212)&gt;0,AVERAGE(C212:I212),"")</s:f>
        <s:v>2274.4138900000003</s:v>
      </s:c>
      <s:c r="M212" s="10" t="n">
        <s:f>COUNT(C212:I212)</s:f>
        <s:v>6</s:v>
      </s:c>
      <s:c r="N212" s="11" t="n">
        <s:f>IF(AND(COUNT('Потребление (МВт·ч)'!C212:I212)=7,SUM('Потребление (МВт·ч)'!C212:I212)&gt;0),SUMIF(C212:I212,"&lt;&gt;",'Потребление (МВт·ч)'!C212:I212)/SUM('Потребление (МВт·ч)'!C212:I212),"")</s:f>
        <s:v>0.9586684539767649</s:v>
      </s:c>
    </s:row>
    <s:row r="213">
      <s:c r="A213" s="5" t="n">
        <s:v>46274</s:v>
      </s:c>
      <s:c r="B213" s="2" t="n">
        <s:v>16</s:v>
      </s:c>
      <s:c r="C213" s="6" t="n">
        <s:v>1713.20508</s:v>
      </s:c>
      <s:c r="D213" s="6" t="n">
        <s:v>2712.217</s:v>
      </s:c>
      <s:c r="E213" s="6" t="n">
        <s:v>2458.177</s:v>
      </s:c>
      <s:c r="F213" s="6" t="n">
        <s:v>2761.44434</s:v>
      </s:c>
      <s:c r="G213" s="6" t="n">
        <s:v>2469.36182</s:v>
      </s:c>
      <s:c r="H213" s="6" t="n">
        <s:v>1383.32849</s:v>
      </s:c>
      <s:c r="I213" s="6" t="n"/>
      <s:c r="J213" s="6" t="str">
        <s:f>IF(AND(COUNT(C213:I213)=7,COUNT('Потребление (МВт·ч)'!C213:I213)=7,SUM('Потребление (МВт·ч)'!C213:I213)&gt;0),SUMPRODUCT(C213:I213,'Потребление (МВт·ч)'!C213:I213)/SUM('Потребление (МВт·ч)'!C213:I213),"")</s:f>
      </s:c>
      <s:c r="K213" s="6" t="n">
        <s:f>IF(SUMIF(C213:I213,"&lt;&gt;",'Потребление (МВт·ч)'!C213:I213)&gt;0,SUMPRODUCT(C213:I213,'Потребление (МВт·ч)'!C213:I213)/SUMIF(C213:I213,"&lt;&gt;",'Потребление (МВт·ч)'!C213:I213),"")</s:f>
        <s:v>2260.5226141412195</s:v>
      </s:c>
      <s:c r="L213" s="6" t="n">
        <s:f>IF(COUNT(C213:I213)&gt;0,AVERAGE(C213:I213),"")</s:f>
        <s:v>2249.6222883333335</s:v>
      </s:c>
      <s:c r="M213" s="10" t="n">
        <s:f>COUNT(C213:I213)</s:f>
        <s:v>6</s:v>
      </s:c>
      <s:c r="N213" s="11" t="n">
        <s:f>IF(AND(COUNT('Потребление (МВт·ч)'!C213:I213)=7,SUM('Потребление (МВт·ч)'!C213:I213)&gt;0),SUMIF(C213:I213,"&lt;&gt;",'Потребление (МВт·ч)'!C213:I213)/SUM('Потребление (МВт·ч)'!C213:I213),"")</s:f>
        <s:v>0.9591802732422526</s:v>
      </s:c>
    </s:row>
    <s:row r="214">
      <s:c r="A214" s="5" t="n">
        <s:v>46274</s:v>
      </s:c>
      <s:c r="B214" s="2" t="n">
        <s:v>17</s:v>
      </s:c>
      <s:c r="C214" s="6" t="n">
        <s:v>2055.06982</s:v>
      </s:c>
      <s:c r="D214" s="6" t="n">
        <s:v>2673.13159</s:v>
      </s:c>
      <s:c r="E214" s="6" t="n">
        <s:v>2457.48145</s:v>
      </s:c>
      <s:c r="F214" s="6" t="n">
        <s:v>2721.06714</s:v>
      </s:c>
      <s:c r="G214" s="6" t="n">
        <s:v>2427.93164</s:v>
      </s:c>
      <s:c r="H214" s="6" t="n">
        <s:v>1321.45264</s:v>
      </s:c>
      <s:c r="I214" s="6" t="n"/>
      <s:c r="J214" s="6" t="str">
        <s:f>IF(AND(COUNT(C214:I214)=7,COUNT('Потребление (МВт·ч)'!C214:I214)=7,SUM('Потребление (МВт·ч)'!C214:I214)&gt;0),SUMPRODUCT(C214:I214,'Потребление (МВт·ч)'!C214:I214)/SUM('Потребление (МВт·ч)'!C214:I214),"")</s:f>
      </s:c>
      <s:c r="K214" s="6" t="n">
        <s:f>IF(SUMIF(C214:I214,"&lt;&gt;",'Потребление (МВт·ч)'!C214:I214)&gt;0,SUMPRODUCT(C214:I214,'Потребление (МВт·ч)'!C214:I214)/SUMIF(C214:I214,"&lt;&gt;",'Потребление (МВт·ч)'!C214:I214),"")</s:f>
        <s:v>2255.7750835935194</s:v>
      </s:c>
      <s:c r="L214" s="6" t="n">
        <s:f>IF(COUNT(C214:I214)&gt;0,AVERAGE(C214:I214),"")</s:f>
        <s:v>2276.02238</s:v>
      </s:c>
      <s:c r="M214" s="10" t="n">
        <s:f>COUNT(C214:I214)</s:f>
        <s:v>6</s:v>
      </s:c>
      <s:c r="N214" s="11" t="n">
        <s:f>IF(AND(COUNT('Потребление (МВт·ч)'!C214:I214)=7,SUM('Потребление (МВт·ч)'!C214:I214)&gt;0),SUMIF(C214:I214,"&lt;&gt;",'Потребление (МВт·ч)'!C214:I214)/SUM('Потребление (МВт·ч)'!C214:I214),"")</s:f>
        <s:v>0.9612844282768679</s:v>
      </s:c>
    </s:row>
    <s:row r="215">
      <s:c r="A215" s="5" t="n">
        <s:v>46274</s:v>
      </s:c>
      <s:c r="B215" s="2" t="n">
        <s:v>18</s:v>
      </s:c>
      <s:c r="C215" s="6" t="n">
        <s:v>1750.72754</s:v>
      </s:c>
      <s:c r="D215" s="6" t="n">
        <s:v>2665.88037</s:v>
      </s:c>
      <s:c r="E215" s="6" t="n">
        <s:v>2527.77271</s:v>
      </s:c>
      <s:c r="F215" s="6" t="n">
        <s:v>2705.787</s:v>
      </s:c>
      <s:c r="G215" s="6" t="n">
        <s:v>2367.317</s:v>
      </s:c>
      <s:c r="H215" s="6" t="n">
        <s:v>913.0538330000001</s:v>
      </s:c>
      <s:c r="I215" s="6" t="n"/>
      <s:c r="J215" s="6" t="str">
        <s:f>IF(AND(COUNT(C215:I215)=7,COUNT('Потребление (МВт·ч)'!C215:I215)=7,SUM('Потребление (МВт·ч)'!C215:I215)&gt;0),SUMPRODUCT(C215:I215,'Потребление (МВт·ч)'!C215:I215)/SUM('Потребление (МВт·ч)'!C215:I215),"")</s:f>
      </s:c>
      <s:c r="K215" s="6" t="n">
        <s:f>IF(SUMIF(C215:I215,"&lt;&gt;",'Потребление (МВт·ч)'!C215:I215)&gt;0,SUMPRODUCT(C215:I215,'Потребление (МВт·ч)'!C215:I215)/SUMIF(C215:I215,"&lt;&gt;",'Потребление (МВт·ч)'!C215:I215),"")</s:f>
        <s:v>2144.510927828918</s:v>
      </s:c>
      <s:c r="L215" s="6" t="n">
        <s:f>IF(COUNT(C215:I215)&gt;0,AVERAGE(C215:I215),"")</s:f>
        <s:v>2155.0897421666664</s:v>
      </s:c>
      <s:c r="M215" s="10" t="n">
        <s:f>COUNT(C215:I215)</s:f>
        <s:v>6</s:v>
      </s:c>
      <s:c r="N215" s="11" t="n">
        <s:f>IF(AND(COUNT('Потребление (МВт·ч)'!C215:I215)=7,SUM('Потребление (МВт·ч)'!C215:I215)&gt;0),SUMIF(C215:I215,"&lt;&gt;",'Потребление (МВт·ч)'!C215:I215)/SUM('Потребление (МВт·ч)'!C215:I215),"")</s:f>
        <s:v>0.9620227712569432</s:v>
      </s:c>
    </s:row>
    <s:row r="216">
      <s:c r="A216" s="5" t="n">
        <s:v>46274</s:v>
      </s:c>
      <s:c r="B216" s="2" t="n">
        <s:v>19</s:v>
      </s:c>
      <s:c r="C216" s="6" t="n">
        <s:v>1989.30469</s:v>
      </s:c>
      <s:c r="D216" s="6" t="n">
        <s:v>2645.67041</s:v>
      </s:c>
      <s:c r="E216" s="6" t="n">
        <s:v>2439.02515</s:v>
      </s:c>
      <s:c r="F216" s="6" t="n">
        <s:v>2625.6875</s:v>
      </s:c>
      <s:c r="G216" s="6" t="n">
        <s:v>2212.31323</s:v>
      </s:c>
      <s:c r="H216" s="6" t="n">
        <s:v>658.1072</s:v>
      </s:c>
      <s:c r="I216" s="6" t="n"/>
      <s:c r="J216" s="6" t="str">
        <s:f>IF(AND(COUNT(C216:I216)=7,COUNT('Потребление (МВт·ч)'!C216:I216)=7,SUM('Потребление (МВт·ч)'!C216:I216)&gt;0),SUMPRODUCT(C216:I216,'Потребление (МВт·ч)'!C216:I216)/SUM('Потребление (МВт·ч)'!C216:I216),"")</s:f>
      </s:c>
      <s:c r="K216" s="6" t="n">
        <s:f>IF(SUMIF(C216:I216,"&lt;&gt;",'Потребление (МВт·ч)'!C216:I216)&gt;0,SUMPRODUCT(C216:I216,'Потребление (МВт·ч)'!C216:I216)/SUMIF(C216:I216,"&lt;&gt;",'Потребление (МВт·ч)'!C216:I216),"")</s:f>
        <s:v>2068.669404806989</s:v>
      </s:c>
      <s:c r="L216" s="6" t="n">
        <s:f>IF(COUNT(C216:I216)&gt;0,AVERAGE(C216:I216),"")</s:f>
        <s:v>2095.0180299999997</s:v>
      </s:c>
      <s:c r="M216" s="10" t="n">
        <s:f>COUNT(C216:I216)</s:f>
        <s:v>6</s:v>
      </s:c>
      <s:c r="N216" s="11" t="n">
        <s:f>IF(AND(COUNT('Потребление (МВт·ч)'!C216:I216)=7,SUM('Потребление (МВт·ч)'!C216:I216)&gt;0),SUMIF(C216:I216,"&lt;&gt;",'Потребление (МВт·ч)'!C216:I216)/SUM('Потребление (МВт·ч)'!C216:I216),"")</s:f>
        <s:v>0.9626547662986947</s:v>
      </s:c>
    </s:row>
    <s:row r="217">
      <s:c r="A217" s="5" t="n">
        <s:v>46274</s:v>
      </s:c>
      <s:c r="B217" s="2" t="n">
        <s:v>20</s:v>
      </s:c>
      <s:c r="C217" s="6" t="n">
        <s:v>2012.7876</s:v>
      </s:c>
      <s:c r="D217" s="6" t="n">
        <s:v>2589.78223</s:v>
      </s:c>
      <s:c r="E217" s="6" t="n">
        <s:v>2562.67773</s:v>
      </s:c>
      <s:c r="F217" s="6" t="n">
        <s:v>2540.02051</s:v>
      </s:c>
      <s:c r="G217" s="6" t="n">
        <s:v>2040.58289</s:v>
      </s:c>
      <s:c r="H217" s="6" t="n">
        <s:v>239.646927</s:v>
      </s:c>
      <s:c r="I217" s="6" t="n"/>
      <s:c r="J217" s="6" t="str">
        <s:f>IF(AND(COUNT(C217:I217)=7,COUNT('Потребление (МВт·ч)'!C217:I217)=7,SUM('Потребление (МВт·ч)'!C217:I217)&gt;0),SUMPRODUCT(C217:I217,'Потребление (МВт·ч)'!C217:I217)/SUM('Потребление (МВт·ч)'!C217:I217),"")</s:f>
      </s:c>
      <s:c r="K217" s="6" t="n">
        <s:f>IF(SUMIF(C217:I217,"&lt;&gt;",'Потребление (МВт·ч)'!C217:I217)&gt;0,SUMPRODUCT(C217:I217,'Потребление (МВт·ч)'!C217:I217)/SUMIF(C217:I217,"&lt;&gt;",'Потребление (МВт·ч)'!C217:I217),"")</s:f>
        <s:v>1937.9927123869938</s:v>
      </s:c>
      <s:c r="L217" s="6" t="n">
        <s:f>IF(COUNT(C217:I217)&gt;0,AVERAGE(C217:I217),"")</s:f>
        <s:v>1997.5829811666665</s:v>
      </s:c>
      <s:c r="M217" s="10" t="n">
        <s:f>COUNT(C217:I217)</s:f>
        <s:v>6</s:v>
      </s:c>
      <s:c r="N217" s="11" t="n">
        <s:f>IF(AND(COUNT('Потребление (МВт·ч)'!C217:I217)=7,SUM('Потребление (МВт·ч)'!C217:I217)&gt;0),SUMIF(C217:I217,"&lt;&gt;",'Потребление (МВт·ч)'!C217:I217)/SUM('Потребление (МВт·ч)'!C217:I217),"")</s:f>
        <s:v>0.9617955001113834</s:v>
      </s:c>
    </s:row>
    <s:row r="218">
      <s:c r="A218" s="5" t="n">
        <s:v>46274</s:v>
      </s:c>
      <s:c r="B218" s="2" t="n">
        <s:v>21</s:v>
      </s:c>
      <s:c r="C218" s="6" t="n">
        <s:v>1579.24158</s:v>
      </s:c>
      <s:c r="D218" s="6" t="n">
        <s:v>2382.378</s:v>
      </s:c>
      <s:c r="E218" s="6" t="n">
        <s:v>2567.55859</s:v>
      </s:c>
      <s:c r="F218" s="6" t="n">
        <s:v>2407.17773</s:v>
      </s:c>
      <s:c r="G218" s="6" t="n">
        <s:v>1946.124</s:v>
      </s:c>
      <s:c r="H218" s="6" t="n">
        <s:v>211.632629</s:v>
      </s:c>
      <s:c r="I218" s="6" t="n"/>
      <s:c r="J218" s="6" t="str">
        <s:f>IF(AND(COUNT(C218:I218)=7,COUNT('Потребление (МВт·ч)'!C218:I218)=7,SUM('Потребление (МВт·ч)'!C218:I218)&gt;0),SUMPRODUCT(C218:I218,'Потребление (МВт·ч)'!C218:I218)/SUM('Потребление (МВт·ч)'!C218:I218),"")</s:f>
      </s:c>
      <s:c r="K218" s="6" t="n">
        <s:f>IF(SUMIF(C218:I218,"&lt;&gt;",'Потребление (МВт·ч)'!C218:I218)&gt;0,SUMPRODUCT(C218:I218,'Потребление (МВт·ч)'!C218:I218)/SUMIF(C218:I218,"&lt;&gt;",'Потребление (МВт·ч)'!C218:I218),"")</s:f>
        <s:v>1789.1628377268066</s:v>
      </s:c>
      <s:c r="L218" s="6" t="n">
        <s:f>IF(COUNT(C218:I218)&gt;0,AVERAGE(C218:I218),"")</s:f>
        <s:v>1849.0187548333333</s:v>
      </s:c>
      <s:c r="M218" s="10" t="n">
        <s:f>COUNT(C218:I218)</s:f>
        <s:v>6</s:v>
      </s:c>
      <s:c r="N218" s="11" t="n">
        <s:f>IF(AND(COUNT('Потребление (МВт·ч)'!C218:I218)=7,SUM('Потребление (МВт·ч)'!C218:I218)&gt;0),SUMIF(C218:I218,"&lt;&gt;",'Потребление (МВт·ч)'!C218:I218)/SUM('Потребление (МВт·ч)'!C218:I218),"")</s:f>
        <s:v>0.9616098250574306</s:v>
      </s:c>
    </s:row>
    <s:row r="219">
      <s:c r="A219" s="5" t="n">
        <s:v>46274</s:v>
      </s:c>
      <s:c r="B219" s="2" t="n">
        <s:v>22</s:v>
      </s:c>
      <s:c r="C219" s="6" t="n">
        <s:v>1185.24182</s:v>
      </s:c>
      <s:c r="D219" s="6" t="n">
        <s:v>1609.14307</s:v>
      </s:c>
      <s:c r="E219" s="6" t="n">
        <s:v>1815.64746</s:v>
      </s:c>
      <s:c r="F219" s="6" t="n">
        <s:v>1819.34424</s:v>
      </s:c>
      <s:c r="G219" s="6" t="n">
        <s:v>1522.96729</s:v>
      </s:c>
      <s:c r="H219" s="6" t="n">
        <s:v>191.390137</s:v>
      </s:c>
      <s:c r="I219" s="6" t="n"/>
      <s:c r="J219" s="6" t="str">
        <s:f>IF(AND(COUNT(C219:I219)=7,COUNT('Потребление (МВт·ч)'!C219:I219)=7,SUM('Потребление (МВт·ч)'!C219:I219)&gt;0),SUMPRODUCT(C219:I219,'Потребление (МВт·ч)'!C219:I219)/SUM('Потребление (МВт·ч)'!C219:I219),"")</s:f>
      </s:c>
      <s:c r="K219" s="6" t="n">
        <s:f>IF(SUMIF(C219:I219,"&lt;&gt;",'Потребление (МВт·ч)'!C219:I219)&gt;0,SUMPRODUCT(C219:I219,'Потребление (МВт·ч)'!C219:I219)/SUMIF(C219:I219,"&lt;&gt;",'Потребление (МВт·ч)'!C219:I219),"")</s:f>
        <s:v>1293.9715392878395</s:v>
      </s:c>
      <s:c r="L219" s="6" t="n">
        <s:f>IF(COUNT(C219:I219)&gt;0,AVERAGE(C219:I219),"")</s:f>
        <s:v>1357.2890028333334</s:v>
      </s:c>
      <s:c r="M219" s="10" t="n">
        <s:f>COUNT(C219:I219)</s:f>
        <s:v>6</s:v>
      </s:c>
      <s:c r="N219" s="11" t="n">
        <s:f>IF(AND(COUNT('Потребление (МВт·ч)'!C219:I219)=7,SUM('Потребление (МВт·ч)'!C219:I219)&gt;0),SUMIF(C219:I219,"&lt;&gt;",'Потребление (МВт·ч)'!C219:I219)/SUM('Потребление (МВт·ч)'!C219:I219),"")</s:f>
        <s:v>0.9575657137596096</s:v>
      </s:c>
    </s:row>
    <s:row r="220">
      <s:c r="A220" s="5" t="n">
        <s:v>46274</s:v>
      </s:c>
      <s:c r="B220" s="2" t="n">
        <s:v>23</s:v>
      </s:c>
      <s:c r="C220" s="6" t="n">
        <s:v>1009.68439</s:v>
      </s:c>
      <s:c r="D220" s="6" t="n">
        <s:v>1506.91235</s:v>
      </s:c>
      <s:c r="E220" s="6" t="n">
        <s:v>1519.94348</s:v>
      </s:c>
      <s:c r="F220" s="6" t="n">
        <s:v>1658.40918</s:v>
      </s:c>
      <s:c r="G220" s="6" t="n">
        <s:v>1452.35168</s:v>
      </s:c>
      <s:c r="H220" s="6" t="n">
        <s:v>593.2577</s:v>
      </s:c>
      <s:c r="I220" s="6" t="n"/>
      <s:c r="J220" s="6" t="str">
        <s:f>IF(AND(COUNT(C220:I220)=7,COUNT('Потребление (МВт·ч)'!C220:I220)=7,SUM('Потребление (МВт·ч)'!C220:I220)&gt;0),SUMPRODUCT(C220:I220,'Потребление (МВт·ч)'!C220:I220)/SUM('Потребление (МВт·ч)'!C220:I220),"")</s:f>
      </s:c>
      <s:c r="K220" s="6" t="n">
        <s:f>IF(SUMIF(C220:I220,"&lt;&gt;",'Потребление (МВт·ч)'!C220:I220)&gt;0,SUMPRODUCT(C220:I220,'Потребление (МВт·ч)'!C220:I220)/SUMIF(C220:I220,"&lt;&gt;",'Потребление (МВт·ч)'!C220:I220),"")</s:f>
        <s:v>1266.5335187184687</s:v>
      </s:c>
      <s:c r="L220" s="6" t="n">
        <s:f>IF(COUNT(C220:I220)&gt;0,AVERAGE(C220:I220),"")</s:f>
        <s:v>1290.09313</s:v>
      </s:c>
      <s:c r="M220" s="10" t="n">
        <s:f>COUNT(C220:I220)</s:f>
        <s:v>6</s:v>
      </s:c>
      <s:c r="N220" s="11" t="n">
        <s:f>IF(AND(COUNT('Потребление (МВт·ч)'!C220:I220)=7,SUM('Потребление (МВт·ч)'!C220:I220)&gt;0),SUMIF(C220:I220,"&lt;&gt;",'Потребление (МВт·ч)'!C220:I220)/SUM('Потребление (МВт·ч)'!C220:I220),"")</s:f>
        <s:v>0.9540398820417026</s:v>
      </s:c>
    </s:row>
    <s:row r="221">
      <s:c r="A221" s="5" t="n">
        <s:v>46275</s:v>
      </s:c>
      <s:c r="B221" s="2" t="n">
        <s:v>0</s:v>
      </s:c>
      <s:c r="C221" s="6" t="n">
        <s:v>658.135</s:v>
      </s:c>
      <s:c r="D221" s="6" t="n">
        <s:v>1524.6615</s:v>
      </s:c>
      <s:c r="E221" s="6" t="n">
        <s:v>1393.20874</s:v>
      </s:c>
      <s:c r="F221" s="6" t="n">
        <s:v>1511.05859</s:v>
      </s:c>
      <s:c r="G221" s="6" t="n">
        <s:v>1348.23486</s:v>
      </s:c>
      <s:c r="H221" s="6" t="n">
        <s:v>623.3271999999999</s:v>
      </s:c>
      <s:c r="I221" s="6" t="n"/>
      <s:c r="J221" s="6" t="str">
        <s:f>IF(AND(COUNT(C221:I221)=7,COUNT('Потребление (МВт·ч)'!C221:I221)=7,SUM('Потребление (МВт·ч)'!C221:I221)&gt;0),SUMPRODUCT(C221:I221,'Потребление (МВт·ч)'!C221:I221)/SUM('Потребление (МВт·ч)'!C221:I221),"")</s:f>
      </s:c>
      <s:c r="K221" s="6" t="n">
        <s:f>IF(SUMIF(C221:I221,"&lt;&gt;",'Потребление (МВт·ч)'!C221:I221)&gt;0,SUMPRODUCT(C221:I221,'Потребление (МВт·ч)'!C221:I221)/SUMIF(C221:I221,"&lt;&gt;",'Потребление (МВт·ч)'!C221:I221),"")</s:f>
        <s:v>1186.9791648051948</s:v>
      </s:c>
      <s:c r="L221" s="6" t="n">
        <s:f>IF(COUNT(C221:I221)&gt;0,AVERAGE(C221:I221),"")</s:f>
        <s:v>1176.4376483333333</s:v>
      </s:c>
      <s:c r="M221" s="10" t="n">
        <s:f>COUNT(C221:I221)</s:f>
        <s:v>6</s:v>
      </s:c>
      <s:c r="N221" s="11" t="n">
        <s:f>IF(AND(COUNT('Потребление (МВт·ч)'!C221:I221)=7,SUM('Потребление (МВт·ч)'!C221:I221)&gt;0),SUMIF(C221:I221,"&lt;&gt;",'Потребление (МВт·ч)'!C221:I221)/SUM('Потребление (МВт·ч)'!C221:I221),"")</s:f>
        <s:v>0.9516862319332293</s:v>
      </s:c>
    </s:row>
    <s:row r="222">
      <s:c r="A222" s="5" t="n">
        <s:v>46275</s:v>
      </s:c>
      <s:c r="B222" s="2" t="n">
        <s:v>1</s:v>
      </s:c>
      <s:c r="C222" s="6" t="n">
        <s:v>1226.38806</s:v>
      </s:c>
      <s:c r="D222" s="6" t="n">
        <s:v>1337.29419</s:v>
      </s:c>
      <s:c r="E222" s="6" t="n">
        <s:v>1393.36768</s:v>
      </s:c>
      <s:c r="F222" s="6" t="n">
        <s:v>1462.56531</s:v>
      </s:c>
      <s:c r="G222" s="6" t="n">
        <s:v>1307.39209</s:v>
      </s:c>
      <s:c r="H222" s="6" t="n">
        <s:v>923.314453</s:v>
      </s:c>
      <s:c r="I222" s="6" t="n"/>
      <s:c r="J222" s="6" t="str">
        <s:f>IF(AND(COUNT(C222:I222)=7,COUNT('Потребление (МВт·ч)'!C222:I222)=7,SUM('Потребление (МВт·ч)'!C222:I222)&gt;0),SUMPRODUCT(C222:I222,'Потребление (МВт·ч)'!C222:I222)/SUM('Потребление (МВт·ч)'!C222:I222),"")</s:f>
      </s:c>
      <s:c r="K222" s="6" t="n">
        <s:f>IF(SUMIF(C222:I222,"&lt;&gt;",'Потребление (МВт·ч)'!C222:I222)&gt;0,SUMPRODUCT(C222:I222,'Потребление (МВт·ч)'!C222:I222)/SUMIF(C222:I222,"&lt;&gt;",'Потребление (МВт·ч)'!C222:I222),"")</s:f>
        <s:v>1242.405528373177</s:v>
      </s:c>
      <s:c r="L222" s="6" t="n">
        <s:f>IF(COUNT(C222:I222)&gt;0,AVERAGE(C222:I222),"")</s:f>
        <s:v>1275.0536305</s:v>
      </s:c>
      <s:c r="M222" s="10" t="n">
        <s:f>COUNT(C222:I222)</s:f>
        <s:v>6</s:v>
      </s:c>
      <s:c r="N222" s="11" t="n">
        <s:f>IF(AND(COUNT('Потребление (МВт·ч)'!C222:I222)=7,SUM('Потребление (МВт·ч)'!C222:I222)&gt;0),SUMIF(C222:I222,"&lt;&gt;",'Потребление (МВт·ч)'!C222:I222)/SUM('Потребление (МВт·ч)'!C222:I222),"")</s:f>
        <s:v>0.9498870846327562</s:v>
      </s:c>
    </s:row>
    <s:row r="223">
      <s:c r="A223" s="5" t="n">
        <s:v>46275</s:v>
      </s:c>
      <s:c r="B223" s="2" t="n">
        <s:v>2</s:v>
      </s:c>
      <s:c r="C223" s="6" t="n">
        <s:v>1214.08289</s:v>
      </s:c>
      <s:c r="D223" s="6" t="n">
        <s:v>1337.55908</s:v>
      </s:c>
      <s:c r="E223" s="6" t="n">
        <s:v>1374.62256</s:v>
      </s:c>
      <s:c r="F223" s="6" t="n">
        <s:v>1477.82373</s:v>
      </s:c>
      <s:c r="G223" s="6" t="n">
        <s:v>1372.37512</s:v>
      </s:c>
      <s:c r="H223" s="6" t="n">
        <s:v>570.659668</s:v>
      </s:c>
      <s:c r="I223" s="6" t="n"/>
      <s:c r="J223" s="6" t="str">
        <s:f>IF(AND(COUNT(C223:I223)=7,COUNT('Потребление (МВт·ч)'!C223:I223)=7,SUM('Потребление (МВт·ч)'!C223:I223)&gt;0),SUMPRODUCT(C223:I223,'Потребление (МВт·ч)'!C223:I223)/SUM('Потребление (МВт·ч)'!C223:I223),"")</s:f>
      </s:c>
      <s:c r="K223" s="6" t="n">
        <s:f>IF(SUMIF(C223:I223,"&lt;&gt;",'Потребление (МВт·ч)'!C223:I223)&gt;0,SUMPRODUCT(C223:I223,'Потребление (МВт·ч)'!C223:I223)/SUMIF(C223:I223,"&lt;&gt;",'Потребление (МВт·ч)'!C223:I223),"")</s:f>
        <s:v>1170.8160378670375</s:v>
      </s:c>
      <s:c r="L223" s="6" t="n">
        <s:f>IF(COUNT(C223:I223)&gt;0,AVERAGE(C223:I223),"")</s:f>
        <s:v>1224.5205079999998</s:v>
      </s:c>
      <s:c r="M223" s="10" t="n">
        <s:f>COUNT(C223:I223)</s:f>
        <s:v>6</s:v>
      </s:c>
      <s:c r="N223" s="11" t="n">
        <s:f>IF(AND(COUNT('Потребление (МВт·ч)'!C223:I223)=7,SUM('Потребление (МВт·ч)'!C223:I223)&gt;0),SUMIF(C223:I223,"&lt;&gt;",'Потребление (МВт·ч)'!C223:I223)/SUM('Потребление (МВт·ч)'!C223:I223),"")</s:f>
        <s:v>0.9489976817128051</s:v>
      </s:c>
    </s:row>
    <s:row r="224">
      <s:c r="A224" s="5" t="n">
        <s:v>46275</s:v>
      </s:c>
      <s:c r="B224" s="2" t="n">
        <s:v>3</s:v>
      </s:c>
      <s:c r="C224" s="6" t="n">
        <s:v>1217.64282</s:v>
      </s:c>
      <s:c r="D224" s="6" t="n">
        <s:v>1339.40845</s:v>
      </s:c>
      <s:c r="E224" s="6" t="n">
        <s:v>1339.81775</s:v>
      </s:c>
      <s:c r="F224" s="6" t="n">
        <s:v>1494.62378</s:v>
      </s:c>
      <s:c r="G224" s="6" t="n">
        <s:v>1405.9541</s:v>
      </s:c>
      <s:c r="H224" s="6" t="n">
        <s:v>200.670273</s:v>
      </s:c>
      <s:c r="I224" s="6" t="n"/>
      <s:c r="J224" s="6" t="str">
        <s:f>IF(AND(COUNT(C224:I224)=7,COUNT('Потребление (МВт·ч)'!C224:I224)=7,SUM('Потребление (МВт·ч)'!C224:I224)&gt;0),SUMPRODUCT(C224:I224,'Потребление (МВт·ч)'!C224:I224)/SUM('Потребление (МВт·ч)'!C224:I224),"")</s:f>
      </s:c>
      <s:c r="K224" s="6" t="n">
        <s:f>IF(SUMIF(C224:I224,"&lt;&gt;",'Потребление (МВт·ч)'!C224:I224)&gt;0,SUMPRODUCT(C224:I224,'Потребление (МВт·ч)'!C224:I224)/SUMIF(C224:I224,"&lt;&gt;",'Потребление (МВт·ч)'!C224:I224),"")</s:f>
        <s:v>1088.4079847562205</s:v>
      </s:c>
      <s:c r="L224" s="6" t="n">
        <s:f>IF(COUNT(C224:I224)&gt;0,AVERAGE(C224:I224),"")</s:f>
        <s:v>1166.3528621666667</s:v>
      </s:c>
      <s:c r="M224" s="10" t="n">
        <s:f>COUNT(C224:I224)</s:f>
        <s:v>6</s:v>
      </s:c>
      <s:c r="N224" s="11" t="n">
        <s:f>IF(AND(COUNT('Потребление (МВт·ч)'!C224:I224)=7,SUM('Потребление (МВт·ч)'!C224:I224)&gt;0),SUMIF(C224:I224,"&lt;&gt;",'Потребление (МВт·ч)'!C224:I224)/SUM('Потребление (МВт·ч)'!C224:I224),"")</s:f>
        <s:v>0.9503865291909561</s:v>
      </s:c>
    </s:row>
    <s:row r="225">
      <s:c r="A225" s="5" t="n">
        <s:v>46275</s:v>
      </s:c>
      <s:c r="B225" s="2" t="n">
        <s:v>4</s:v>
      </s:c>
      <s:c r="C225" s="6" t="n">
        <s:v>1470.05139</s:v>
      </s:c>
      <s:c r="D225" s="6" t="n">
        <s:v>1593.85962</s:v>
      </s:c>
      <s:c r="E225" s="6" t="n">
        <s:v>1653.708</s:v>
      </s:c>
      <s:c r="F225" s="6" t="n">
        <s:v>1768.72876</s:v>
      </s:c>
      <s:c r="G225" s="6" t="n">
        <s:v>1618.83044</s:v>
      </s:c>
      <s:c r="H225" s="6" t="n">
        <s:v>699.2441</s:v>
      </s:c>
      <s:c r="I225" s="6" t="n"/>
      <s:c r="J225" s="6" t="str">
        <s:f>IF(AND(COUNT(C225:I225)=7,COUNT('Потребление (МВт·ч)'!C225:I225)=7,SUM('Потребление (МВт·ч)'!C225:I225)&gt;0),SUMPRODUCT(C225:I225,'Потребление (МВт·ч)'!C225:I225)/SUM('Потребление (МВт·ч)'!C225:I225),"")</s:f>
      </s:c>
      <s:c r="K225" s="6" t="n">
        <s:f>IF(SUMIF(C225:I225,"&lt;&gt;",'Потребление (МВт·ч)'!C225:I225)&gt;0,SUMPRODUCT(C225:I225,'Потребление (МВт·ч)'!C225:I225)/SUMIF(C225:I225,"&lt;&gt;",'Потребление (МВт·ч)'!C225:I225),"")</s:f>
        <s:v>1398.0914457782537</s:v>
      </s:c>
      <s:c r="L225" s="6" t="n">
        <s:f>IF(COUNT(C225:I225)&gt;0,AVERAGE(C225:I225),"")</s:f>
        <s:v>1467.4037183333332</s:v>
      </s:c>
      <s:c r="M225" s="10" t="n">
        <s:f>COUNT(C225:I225)</s:f>
        <s:v>6</s:v>
      </s:c>
      <s:c r="N225" s="11" t="n">
        <s:f>IF(AND(COUNT('Потребление (МВт·ч)'!C225:I225)=7,SUM('Потребление (МВт·ч)'!C225:I225)&gt;0),SUMIF(C225:I225,"&lt;&gt;",'Потребление (МВт·ч)'!C225:I225)/SUM('Потребление (МВт·ч)'!C225:I225),"")</s:f>
        <s:v>0.9511289237561942</s:v>
      </s:c>
    </s:row>
    <s:row r="226">
      <s:c r="A226" s="5" t="n">
        <s:v>46275</s:v>
      </s:c>
      <s:c r="B226" s="2" t="n">
        <s:v>5</s:v>
      </s:c>
      <s:c r="C226" s="6" t="n">
        <s:v>1469.99487</s:v>
      </s:c>
      <s:c r="D226" s="6" t="n">
        <s:v>1711.64465</s:v>
      </s:c>
      <s:c r="E226" s="6" t="n">
        <s:v>1720.254</s:v>
      </s:c>
      <s:c r="F226" s="6" t="n">
        <s:v>1947.66626</s:v>
      </s:c>
      <s:c r="G226" s="6" t="n">
        <s:v>1709.28772</s:v>
      </s:c>
      <s:c r="H226" s="6" t="n">
        <s:v>714.2684</s:v>
      </s:c>
      <s:c r="I226" s="6" t="n"/>
      <s:c r="J226" s="6" t="str">
        <s:f>IF(AND(COUNT(C226:I226)=7,COUNT('Потребление (МВт·ч)'!C226:I226)=7,SUM('Потребление (МВт·ч)'!C226:I226)&gt;0),SUMPRODUCT(C226:I226,'Потребление (МВт·ч)'!C226:I226)/SUM('Потребление (МВт·ч)'!C226:I226),"")</s:f>
      </s:c>
      <s:c r="K226" s="6" t="n">
        <s:f>IF(SUMIF(C226:I226,"&lt;&gt;",'Потребление (МВт·ч)'!C226:I226)&gt;0,SUMPRODUCT(C226:I226,'Потребление (МВт·ч)'!C226:I226)/SUMIF(C226:I226,"&lt;&gt;",'Потребление (МВт·ч)'!C226:I226),"")</s:f>
        <s:v>1483.8611897132505</s:v>
      </s:c>
      <s:c r="L226" s="6" t="n">
        <s:f>IF(COUNT(C226:I226)&gt;0,AVERAGE(C226:I226),"")</s:f>
        <s:v>1545.5193166666668</s:v>
      </s:c>
      <s:c r="M226" s="10" t="n">
        <s:f>COUNT(C226:I226)</s:f>
        <s:v>6</s:v>
      </s:c>
      <s:c r="N226" s="11" t="n">
        <s:f>IF(AND(COUNT('Потребление (МВт·ч)'!C226:I226)=7,SUM('Потребление (МВт·ч)'!C226:I226)&gt;0),SUMIF(C226:I226,"&lt;&gt;",'Потребление (МВт·ч)'!C226:I226)/SUM('Потребление (МВт·ч)'!C226:I226),"")</s:f>
        <s:v>0.9528935003553989</s:v>
      </s:c>
    </s:row>
    <s:row r="227">
      <s:c r="A227" s="5" t="n">
        <s:v>46275</s:v>
      </s:c>
      <s:c r="B227" s="2" t="n">
        <s:v>6</s:v>
      </s:c>
      <s:c r="C227" s="6" t="n">
        <s:v>1728.10168</s:v>
      </s:c>
      <s:c r="D227" s="6" t="n">
        <s:v>2103.86157</s:v>
      </s:c>
      <s:c r="E227" s="6" t="n">
        <s:v>2057.27686</s:v>
      </s:c>
      <s:c r="F227" s="6" t="n">
        <s:v>2285.2395</s:v>
      </s:c>
      <s:c r="G227" s="6" t="n">
        <s:v>1939.75342</s:v>
      </s:c>
      <s:c r="H227" s="6" t="n">
        <s:v>529.079</s:v>
      </s:c>
      <s:c r="I227" s="6" t="n"/>
      <s:c r="J227" s="6" t="str">
        <s:f>IF(AND(COUNT(C227:I227)=7,COUNT('Потребление (МВт·ч)'!C227:I227)=7,SUM('Потребление (МВт·ч)'!C227:I227)&gt;0),SUMPRODUCT(C227:I227,'Потребление (МВт·ч)'!C227:I227)/SUM('Потребление (МВт·ч)'!C227:I227),"")</s:f>
      </s:c>
      <s:c r="K227" s="6" t="n">
        <s:f>IF(SUMIF(C227:I227,"&lt;&gt;",'Потребление (МВт·ч)'!C227:I227)&gt;0,SUMPRODUCT(C227:I227,'Потребление (МВт·ч)'!C227:I227)/SUMIF(C227:I227,"&lt;&gt;",'Потребление (МВт·ч)'!C227:I227),"")</s:f>
        <s:v>1693.393957222971</s:v>
      </s:c>
      <s:c r="L227" s="6" t="n">
        <s:f>IF(COUNT(C227:I227)&gt;0,AVERAGE(C227:I227),"")</s:f>
        <s:v>1773.8853383333333</s:v>
      </s:c>
      <s:c r="M227" s="10" t="n">
        <s:f>COUNT(C227:I227)</s:f>
        <s:v>6</s:v>
      </s:c>
      <s:c r="N227" s="11" t="n">
        <s:f>IF(AND(COUNT('Потребление (МВт·ч)'!C227:I227)=7,SUM('Потребление (МВт·ч)'!C227:I227)&gt;0),SUMIF(C227:I227,"&lt;&gt;",'Потребление (МВт·ч)'!C227:I227)/SUM('Потребление (МВт·ч)'!C227:I227),"")</s:f>
        <s:v>0.9551412090529027</s:v>
      </s:c>
    </s:row>
    <s:row r="228">
      <s:c r="A228" s="5" t="n">
        <s:v>46275</s:v>
      </s:c>
      <s:c r="B228" s="2" t="n">
        <s:v>7</s:v>
      </s:c>
      <s:c r="C228" s="6" t="n">
        <s:v>1567.41272</s:v>
      </s:c>
      <s:c r="D228" s="6" t="n">
        <s:v>2416.87085</s:v>
      </s:c>
      <s:c r="E228" s="6" t="n">
        <s:v>2432.19385</s:v>
      </s:c>
      <s:c r="F228" s="6" t="n">
        <s:v>2582.47949</s:v>
      </s:c>
      <s:c r="G228" s="6" t="n">
        <s:v>2141.44653</s:v>
      </s:c>
      <s:c r="H228" s="6" t="n">
        <s:v>632.9666999999999</s:v>
      </s:c>
      <s:c r="I228" s="6" t="n"/>
      <s:c r="J228" s="6" t="str">
        <s:f>IF(AND(COUNT(C228:I228)=7,COUNT('Потребление (МВт·ч)'!C228:I228)=7,SUM('Потребление (МВт·ч)'!C228:I228)&gt;0),SUMPRODUCT(C228:I228,'Потребление (МВт·ч)'!C228:I228)/SUM('Потребление (МВт·ч)'!C228:I228),"")</s:f>
      </s:c>
      <s:c r="K228" s="6" t="n">
        <s:f>IF(SUMIF(C228:I228,"&lt;&gt;",'Потребление (МВт·ч)'!C228:I228)&gt;0,SUMPRODUCT(C228:I228,'Потребление (МВт·ч)'!C228:I228)/SUMIF(C228:I228,"&lt;&gt;",'Потребление (МВт·ч)'!C228:I228),"")</s:f>
        <s:v>1912.3172739013455</s:v>
      </s:c>
      <s:c r="L228" s="6" t="n">
        <s:f>IF(COUNT(C228:I228)&gt;0,AVERAGE(C228:I228),"")</s:f>
        <s:v>1962.2283566666665</s:v>
      </s:c>
      <s:c r="M228" s="10" t="n">
        <s:f>COUNT(C228:I228)</s:f>
        <s:v>6</s:v>
      </s:c>
      <s:c r="N228" s="11" t="n">
        <s:f>IF(AND(COUNT('Потребление (МВт·ч)'!C228:I228)=7,SUM('Потребление (МВт·ч)'!C228:I228)&gt;0),SUMIF(C228:I228,"&lt;&gt;",'Потребление (МВт·ч)'!C228:I228)/SUM('Потребление (МВт·ч)'!C228:I228),"")</s:f>
        <s:v>0.9563840802320706</s:v>
      </s:c>
    </s:row>
    <s:row r="229">
      <s:c r="A229" s="5" t="n">
        <s:v>46275</s:v>
      </s:c>
      <s:c r="B229" s="2" t="n">
        <s:v>8</s:v>
      </s:c>
      <s:c r="C229" s="6" t="n">
        <s:v>1657.31287</s:v>
      </s:c>
      <s:c r="D229" s="6" t="n">
        <s:v>2728.61963</s:v>
      </s:c>
      <s:c r="E229" s="6" t="n">
        <s:v>2429.53931</s:v>
      </s:c>
      <s:c r="F229" s="6" t="n">
        <s:v>2700.15942</s:v>
      </s:c>
      <s:c r="G229" s="6" t="n">
        <s:v>2194.918</s:v>
      </s:c>
      <s:c r="H229" s="6" t="n">
        <s:v>619.4491</s:v>
      </s:c>
      <s:c r="I229" s="6" t="n"/>
      <s:c r="J229" s="6" t="str">
        <s:f>IF(AND(COUNT(C229:I229)=7,COUNT('Потребление (МВт·ч)'!C229:I229)=7,SUM('Потребление (МВт·ч)'!C229:I229)&gt;0),SUMPRODUCT(C229:I229,'Потребление (МВт·ч)'!C229:I229)/SUM('Потребление (МВт·ч)'!C229:I229),"")</s:f>
      </s:c>
      <s:c r="K229" s="6" t="n">
        <s:f>IF(SUMIF(C229:I229,"&lt;&gt;",'Потребление (МВт·ч)'!C229:I229)&gt;0,SUMPRODUCT(C229:I229,'Потребление (МВт·ч)'!C229:I229)/SUMIF(C229:I229,"&lt;&gt;",'Потребление (МВт·ч)'!C229:I229),"")</s:f>
        <s:v>2027.1535614222873</s:v>
      </s:c>
      <s:c r="L229" s="6" t="n">
        <s:f>IF(COUNT(C229:I229)&gt;0,AVERAGE(C229:I229),"")</s:f>
        <s:v>2054.9997216666666</s:v>
      </s:c>
      <s:c r="M229" s="10" t="n">
        <s:f>COUNT(C229:I229)</s:f>
        <s:v>6</s:v>
      </s:c>
      <s:c r="N229" s="11" t="n">
        <s:f>IF(AND(COUNT('Потребление (МВт·ч)'!C229:I229)=7,SUM('Потребление (МВт·ч)'!C229:I229)&gt;0),SUMIF(C229:I229,"&lt;&gt;",'Потребление (МВт·ч)'!C229:I229)/SUM('Потребление (МВт·ч)'!C229:I229),"")</s:f>
        <s:v>0.9587839501107738</s:v>
      </s:c>
    </s:row>
    <s:row r="230">
      <s:c r="A230" s="5" t="n">
        <s:v>46275</s:v>
      </s:c>
      <s:c r="B230" s="2" t="n">
        <s:v>9</s:v>
      </s:c>
      <s:c r="C230" s="6" t="n">
        <s:v>1724.04651</s:v>
      </s:c>
      <s:c r="D230" s="6" t="n">
        <s:v>2798.04346</s:v>
      </s:c>
      <s:c r="E230" s="6" t="n">
        <s:v>2463.83447</s:v>
      </s:c>
      <s:c r="F230" s="6" t="n">
        <s:v>2731.248</s:v>
      </s:c>
      <s:c r="G230" s="6" t="n">
        <s:v>2226.41577</s:v>
      </s:c>
      <s:c r="H230" s="6" t="n">
        <s:v>660.5941</s:v>
      </s:c>
      <s:c r="I230" s="6" t="n"/>
      <s:c r="J230" s="6" t="str">
        <s:f>IF(AND(COUNT(C230:I230)=7,COUNT('Потребление (МВт·ч)'!C230:I230)=7,SUM('Потребление (МВт·ч)'!C230:I230)&gt;0),SUMPRODUCT(C230:I230,'Потребление (МВт·ч)'!C230:I230)/SUM('Потребление (МВт·ч)'!C230:I230),"")</s:f>
      </s:c>
      <s:c r="K230" s="6" t="n">
        <s:f>IF(SUMIF(C230:I230,"&lt;&gt;",'Потребление (МВт·ч)'!C230:I230)&gt;0,SUMPRODUCT(C230:I230,'Потребление (МВт·ч)'!C230:I230)/SUMIF(C230:I230,"&lt;&gt;",'Потребление (МВт·ч)'!C230:I230),"")</s:f>
        <s:v>2078.0741653801656</s:v>
      </s:c>
      <s:c r="L230" s="6" t="n">
        <s:f>IF(COUNT(C230:I230)&gt;0,AVERAGE(C230:I230),"")</s:f>
        <s:v>2100.6970516666665</s:v>
      </s:c>
      <s:c r="M230" s="10" t="n">
        <s:f>COUNT(C230:I230)</s:f>
        <s:v>6</s:v>
      </s:c>
      <s:c r="N230" s="11" t="n">
        <s:f>IF(AND(COUNT('Потребление (МВт·ч)'!C230:I230)=7,SUM('Потребление (МВт·ч)'!C230:I230)&gt;0),SUMIF(C230:I230,"&lt;&gt;",'Потребление (МВт·ч)'!C230:I230)/SUM('Потребление (МВт·ч)'!C230:I230),"")</s:f>
        <s:v>0.9583760725508393</s:v>
      </s:c>
    </s:row>
    <s:row r="231">
      <s:c r="A231" s="5" t="n">
        <s:v>46275</s:v>
      </s:c>
      <s:c r="B231" s="2" t="n">
        <s:v>10</s:v>
      </s:c>
      <s:c r="C231" s="6" t="n">
        <s:v>1797.88025</s:v>
      </s:c>
      <s:c r="D231" s="6" t="n">
        <s:v>2799.68579</s:v>
      </s:c>
      <s:c r="E231" s="6" t="n">
        <s:v>2453.11719</s:v>
      </s:c>
      <s:c r="F231" s="6" t="n">
        <s:v>2723.26831</s:v>
      </s:c>
      <s:c r="G231" s="6" t="n">
        <s:v>2221.742</s:v>
      </s:c>
      <s:c r="H231" s="6" t="n">
        <s:v>1023.33447</s:v>
      </s:c>
      <s:c r="I231" s="6" t="n"/>
      <s:c r="J231" s="6" t="str">
        <s:f>IF(AND(COUNT(C231:I231)=7,COUNT('Потребление (МВт·ч)'!C231:I231)=7,SUM('Потребление (МВт·ч)'!C231:I231)&gt;0),SUMPRODUCT(C231:I231,'Потребление (МВт·ч)'!C231:I231)/SUM('Потребление (МВт·ч)'!C231:I231),"")</s:f>
      </s:c>
      <s:c r="K231" s="6" t="n">
        <s:f>IF(SUMIF(C231:I231,"&lt;&gt;",'Потребление (МВт·ч)'!C231:I231)&gt;0,SUMPRODUCT(C231:I231,'Потребление (МВт·ч)'!C231:I231)/SUMIF(C231:I231,"&lt;&gt;",'Потребление (МВт·ч)'!C231:I231),"")</s:f>
        <s:v>2158.537167631268</s:v>
      </s:c>
      <s:c r="L231" s="6" t="n">
        <s:f>IF(COUNT(C231:I231)&gt;0,AVERAGE(C231:I231),"")</s:f>
        <s:v>2169.8380016666665</s:v>
      </s:c>
      <s:c r="M231" s="10" t="n">
        <s:f>COUNT(C231:I231)</s:f>
        <s:v>6</s:v>
      </s:c>
      <s:c r="N231" s="11" t="n">
        <s:f>IF(AND(COUNT('Потребление (МВт·ч)'!C231:I231)=7,SUM('Потребление (МВт·ч)'!C231:I231)&gt;0),SUMIF(C231:I231,"&lt;&gt;",'Потребление (МВт·ч)'!C231:I231)/SUM('Потребление (МВт·ч)'!C231:I231),"")</s:f>
        <s:v>0.9582458538808326</s:v>
      </s:c>
    </s:row>
    <s:row r="232">
      <s:c r="A232" s="5" t="n">
        <s:v>46275</s:v>
      </s:c>
      <s:c r="B232" s="2" t="n">
        <s:v>11</s:v>
      </s:c>
      <s:c r="C232" s="6" t="n">
        <s:v>1970.58789</s:v>
      </s:c>
      <s:c r="D232" s="6" t="n">
        <s:v>2752.74048</s:v>
      </s:c>
      <s:c r="E232" s="6" t="n">
        <s:v>2485.38916</s:v>
      </s:c>
      <s:c r="F232" s="6" t="n">
        <s:v>2706.5293</s:v>
      </s:c>
      <s:c r="G232" s="6" t="n">
        <s:v>2226.07031</s:v>
      </s:c>
      <s:c r="H232" s="6" t="n">
        <s:v>908.677246</s:v>
      </s:c>
      <s:c r="I232" s="6" t="n"/>
      <s:c r="J232" s="6" t="str">
        <s:f>IF(AND(COUNT(C232:I232)=7,COUNT('Потребление (МВт·ч)'!C232:I232)=7,SUM('Потребление (МВт·ч)'!C232:I232)&gt;0),SUMPRODUCT(C232:I232,'Потребление (МВт·ч)'!C232:I232)/SUM('Потребление (МВт·ч)'!C232:I232),"")</s:f>
      </s:c>
      <s:c r="K232" s="6" t="n">
        <s:f>IF(SUMIF(C232:I232,"&lt;&gt;",'Потребление (МВт·ч)'!C232:I232)&gt;0,SUMPRODUCT(C232:I232,'Потребление (МВт·ч)'!C232:I232)/SUMIF(C232:I232,"&lt;&gt;",'Потребление (МВт·ч)'!C232:I232),"")</s:f>
        <s:v>2143.1405309003358</s:v>
      </s:c>
      <s:c r="L232" s="6" t="n">
        <s:f>IF(COUNT(C232:I232)&gt;0,AVERAGE(C232:I232),"")</s:f>
        <s:v>2174.999064333333</s:v>
      </s:c>
      <s:c r="M232" s="10" t="n">
        <s:f>COUNT(C232:I232)</s:f>
        <s:v>6</s:v>
      </s:c>
      <s:c r="N232" s="11" t="n">
        <s:f>IF(AND(COUNT('Потребление (МВт·ч)'!C232:I232)=7,SUM('Потребление (МВт·ч)'!C232:I232)&gt;0),SUMIF(C232:I232,"&lt;&gt;",'Потребление (МВт·ч)'!C232:I232)/SUM('Потребление (МВт·ч)'!C232:I232),"")</s:f>
        <s:v>0.9584636402541397</s:v>
      </s:c>
    </s:row>
    <s:row r="233">
      <s:c r="A233" s="5" t="n">
        <s:v>46275</s:v>
      </s:c>
      <s:c r="B233" s="2" t="n">
        <s:v>12</s:v>
      </s:c>
      <s:c r="C233" s="6" t="n">
        <s:v>1683.90723</s:v>
      </s:c>
      <s:c r="D233" s="6" t="n">
        <s:v>2834.52661</s:v>
      </s:c>
      <s:c r="E233" s="6" t="n">
        <s:v>2521.03931</s:v>
      </s:c>
      <s:c r="F233" s="6" t="n">
        <s:v>2796.46338</s:v>
      </s:c>
      <s:c r="G233" s="6" t="n">
        <s:v>2291.61475</s:v>
      </s:c>
      <s:c r="H233" s="6" t="n">
        <s:v>989.3329</s:v>
      </s:c>
      <s:c r="I233" s="6" t="n"/>
      <s:c r="J233" s="6" t="str">
        <s:f>IF(AND(COUNT(C233:I233)=7,COUNT('Потребление (МВт·ч)'!C233:I233)=7,SUM('Потребление (МВт·ч)'!C233:I233)&gt;0),SUMPRODUCT(C233:I233,'Потребление (МВт·ч)'!C233:I233)/SUM('Потребление (МВт·ч)'!C233:I233),"")</s:f>
      </s:c>
      <s:c r="K233" s="6" t="n">
        <s:f>IF(SUMIF(C233:I233,"&lt;&gt;",'Потребление (МВт·ч)'!C233:I233)&gt;0,SUMPRODUCT(C233:I233,'Потребление (МВт·ч)'!C233:I233)/SUMIF(C233:I233,"&lt;&gt;",'Потребление (МВт·ч)'!C233:I233),"")</s:f>
        <s:v>2186.5939098975705</s:v>
      </s:c>
      <s:c r="L233" s="6" t="n">
        <s:f>IF(COUNT(C233:I233)&gt;0,AVERAGE(C233:I233),"")</s:f>
        <s:v>2186.147363333333</s:v>
      </s:c>
      <s:c r="M233" s="10" t="n">
        <s:f>COUNT(C233:I233)</s:f>
        <s:v>6</s:v>
      </s:c>
      <s:c r="N233" s="11" t="n">
        <s:f>IF(AND(COUNT('Потребление (МВт·ч)'!C233:I233)=7,SUM('Потребление (МВт·ч)'!C233:I233)&gt;0),SUMIF(C233:I233,"&lt;&gt;",'Потребление (МВт·ч)'!C233:I233)/SUM('Потребление (МВт·ч)'!C233:I233),"")</s:f>
        <s:v>0.9560550233357897</s:v>
      </s:c>
    </s:row>
    <s:row r="234">
      <s:c r="A234" s="5" t="n">
        <s:v>46275</s:v>
      </s:c>
      <s:c r="B234" s="2" t="n">
        <s:v>13</s:v>
      </s:c>
      <s:c r="C234" s="6" t="n">
        <s:v>2044.35193</s:v>
      </s:c>
      <s:c r="D234" s="6" t="n">
        <s:v>2907.199</s:v>
      </s:c>
      <s:c r="E234" s="6" t="n">
        <s:v>2526.09961</s:v>
      </s:c>
      <s:c r="F234" s="6" t="n">
        <s:v>2869.48438</s:v>
      </s:c>
      <s:c r="G234" s="6" t="n">
        <s:v>2348.46631</s:v>
      </s:c>
      <s:c r="H234" s="6" t="n">
        <s:v>1149.86572</s:v>
      </s:c>
      <s:c r="I234" s="6" t="n"/>
      <s:c r="J234" s="6" t="str">
        <s:f>IF(AND(COUNT(C234:I234)=7,COUNT('Потребление (МВт·ч)'!C234:I234)=7,SUM('Потребление (МВт·ч)'!C234:I234)&gt;0),SUMPRODUCT(C234:I234,'Потребление (МВт·ч)'!C234:I234)/SUM('Потребление (МВт·ч)'!C234:I234),"")</s:f>
      </s:c>
      <s:c r="K234" s="6" t="n">
        <s:f>IF(SUMIF(C234:I234,"&lt;&gt;",'Потребление (МВт·ч)'!C234:I234)&gt;0,SUMPRODUCT(C234:I234,'Потребление (МВт·ч)'!C234:I234)/SUMIF(C234:I234,"&lt;&gt;",'Потребление (МВт·ч)'!C234:I234),"")</s:f>
        <s:v>2292.9664688439043</s:v>
      </s:c>
      <s:c r="L234" s="6" t="n">
        <s:f>IF(COUNT(C234:I234)&gt;0,AVERAGE(C234:I234),"")</s:f>
        <s:v>2307.577825</s:v>
      </s:c>
      <s:c r="M234" s="10" t="n">
        <s:f>COUNT(C234:I234)</s:f>
        <s:v>6</s:v>
      </s:c>
      <s:c r="N234" s="11" t="n">
        <s:f>IF(AND(COUNT('Потребление (МВт·ч)'!C234:I234)=7,SUM('Потребление (МВт·ч)'!C234:I234)&gt;0),SUMIF(C234:I234,"&lt;&gt;",'Потребление (МВт·ч)'!C234:I234)/SUM('Потребление (МВт·ч)'!C234:I234),"")</s:f>
        <s:v>0.9559029702324672</s:v>
      </s:c>
    </s:row>
    <s:row r="235">
      <s:c r="A235" s="5" t="n">
        <s:v>46275</s:v>
      </s:c>
      <s:c r="B235" s="2" t="n">
        <s:v>14</s:v>
      </s:c>
      <s:c r="C235" s="6" t="n">
        <s:v>2001.59851</s:v>
      </s:c>
      <s:c r="D235" s="6" t="n">
        <s:v>2850.416</s:v>
      </s:c>
      <s:c r="E235" s="6" t="n">
        <s:v>2561.113</s:v>
      </s:c>
      <s:c r="F235" s="6" t="n">
        <s:v>2836.45459</s:v>
      </s:c>
      <s:c r="G235" s="6" t="n">
        <s:v>2346.908</s:v>
      </s:c>
      <s:c r="H235" s="6" t="n">
        <s:v>1166.54639</s:v>
      </s:c>
      <s:c r="I235" s="6" t="n"/>
      <s:c r="J235" s="6" t="str">
        <s:f>IF(AND(COUNT(C235:I235)=7,COUNT('Потребление (МВт·ч)'!C235:I235)=7,SUM('Потребление (МВт·ч)'!C235:I235)&gt;0),SUMPRODUCT(C235:I235,'Потребление (МВт·ч)'!C235:I235)/SUM('Потребление (МВт·ч)'!C235:I235),"")</s:f>
      </s:c>
      <s:c r="K235" s="6" t="n">
        <s:f>IF(SUMIF(C235:I235,"&lt;&gt;",'Потребление (МВт·ч)'!C235:I235)&gt;0,SUMPRODUCT(C235:I235,'Потребление (МВт·ч)'!C235:I235)/SUMIF(C235:I235,"&lt;&gt;",'Потребление (МВт·ч)'!C235:I235),"")</s:f>
        <s:v>2274.047873559559</s:v>
      </s:c>
      <s:c r="L235" s="6" t="n">
        <s:f>IF(COUNT(C235:I235)&gt;0,AVERAGE(C235:I235),"")</s:f>
        <s:v>2293.839415</s:v>
      </s:c>
      <s:c r="M235" s="10" t="n">
        <s:f>COUNT(C235:I235)</s:f>
        <s:v>6</s:v>
      </s:c>
      <s:c r="N235" s="11" t="n">
        <s:f>IF(AND(COUNT('Потребление (МВт·ч)'!C235:I235)=7,SUM('Потребление (МВт·ч)'!C235:I235)&gt;0),SUMIF(C235:I235,"&lt;&gt;",'Потребление (МВт·ч)'!C235:I235)/SUM('Потребление (МВт·ч)'!C235:I235),"")</s:f>
        <s:v>0.957506297023892</s:v>
      </s:c>
    </s:row>
    <s:row r="236">
      <s:c r="A236" s="5" t="n">
        <s:v>46275</s:v>
      </s:c>
      <s:c r="B236" s="2" t="n">
        <s:v>15</s:v>
      </s:c>
      <s:c r="C236" s="6" t="n">
        <s:v>1687.8064</s:v>
      </s:c>
      <s:c r="D236" s="6" t="n">
        <s:v>2824.22852</s:v>
      </s:c>
      <s:c r="E236" s="6" t="n">
        <s:v>2565.03418</s:v>
      </s:c>
      <s:c r="F236" s="6" t="n">
        <s:v>2801.03516</s:v>
      </s:c>
      <s:c r="G236" s="6" t="n">
        <s:v>2318.974</s:v>
      </s:c>
      <s:c r="H236" s="6" t="n">
        <s:v>911.9056</s:v>
      </s:c>
      <s:c r="I236" s="6" t="n"/>
      <s:c r="J236" s="6" t="str">
        <s:f>IF(AND(COUNT(C236:I236)=7,COUNT('Потребление (МВт·ч)'!C236:I236)=7,SUM('Потребление (МВт·ч)'!C236:I236)&gt;0),SUMPRODUCT(C236:I236,'Потребление (МВт·ч)'!C236:I236)/SUM('Потребление (МВт·ч)'!C236:I236),"")</s:f>
      </s:c>
      <s:c r="K236" s="6" t="n">
        <s:f>IF(SUMIF(C236:I236,"&lt;&gt;",'Потребление (МВт·ч)'!C236:I236)&gt;0,SUMPRODUCT(C236:I236,'Потребление (МВт·ч)'!C236:I236)/SUMIF(C236:I236,"&lt;&gt;",'Потребление (МВт·ч)'!C236:I236),"")</s:f>
        <s:v>2175.31043006933</s:v>
      </s:c>
      <s:c r="L236" s="6" t="n">
        <s:f>IF(COUNT(C236:I236)&gt;0,AVERAGE(C236:I236),"")</s:f>
        <s:v>2184.8306433333332</s:v>
      </s:c>
      <s:c r="M236" s="10" t="n">
        <s:f>COUNT(C236:I236)</s:f>
        <s:v>6</s:v>
      </s:c>
      <s:c r="N236" s="11" t="n">
        <s:f>IF(AND(COUNT('Потребление (МВт·ч)'!C236:I236)=7,SUM('Потребление (МВт·ч)'!C236:I236)&gt;0),SUMIF(C236:I236,"&lt;&gt;",'Потребление (МВт·ч)'!C236:I236)/SUM('Потребление (МВт·ч)'!C236:I236),"")</s:f>
        <s:v>0.9588200096720518</s:v>
      </s:c>
    </s:row>
    <s:row r="237">
      <s:c r="A237" s="5" t="n">
        <s:v>46275</s:v>
      </s:c>
      <s:c r="B237" s="2" t="n">
        <s:v>16</s:v>
      </s:c>
      <s:c r="C237" s="6" t="n">
        <s:v>1763.39258</s:v>
      </s:c>
      <s:c r="D237" s="6" t="n">
        <s:v>2813.57471</s:v>
      </s:c>
      <s:c r="E237" s="6" t="n">
        <s:v>2768.231</s:v>
      </s:c>
      <s:c r="F237" s="6" t="n">
        <s:v>2819.00464</s:v>
      </s:c>
      <s:c r="G237" s="6" t="n">
        <s:v>2390.62427</s:v>
      </s:c>
      <s:c r="H237" s="6" t="n">
        <s:v>922.063843</s:v>
      </s:c>
      <s:c r="I237" s="6" t="n"/>
      <s:c r="J237" s="6" t="str">
        <s:f>IF(AND(COUNT(C237:I237)=7,COUNT('Потребление (МВт·ч)'!C237:I237)=7,SUM('Потребление (МВт·ч)'!C237:I237)&gt;0),SUMPRODUCT(C237:I237,'Потребление (МВт·ч)'!C237:I237)/SUM('Потребление (МВт·ч)'!C237:I237),"")</s:f>
      </s:c>
      <s:c r="K237" s="6" t="n">
        <s:f>IF(SUMIF(C237:I237,"&lt;&gt;",'Потребление (МВт·ч)'!C237:I237)&gt;0,SUMPRODUCT(C237:I237,'Потребление (МВт·ч)'!C237:I237)/SUMIF(C237:I237,"&lt;&gt;",'Потребление (МВт·ч)'!C237:I237),"")</s:f>
        <s:v>2216.246250041682</s:v>
      </s:c>
      <s:c r="L237" s="6" t="n">
        <s:f>IF(COUNT(C237:I237)&gt;0,AVERAGE(C237:I237),"")</s:f>
        <s:v>2246.1485071666666</s:v>
      </s:c>
      <s:c r="M237" s="10" t="n">
        <s:f>COUNT(C237:I237)</s:f>
        <s:v>6</s:v>
      </s:c>
      <s:c r="N237" s="11" t="n">
        <s:f>IF(AND(COUNT('Потребление (МВт·ч)'!C237:I237)=7,SUM('Потребление (МВт·ч)'!C237:I237)&gt;0),SUMIF(C237:I237,"&lt;&gt;",'Потребление (МВт·ч)'!C237:I237)/SUM('Потребление (МВт·ч)'!C237:I237),"")</s:f>
        <s:v>0.9604304950527787</s:v>
      </s:c>
    </s:row>
    <s:row r="238">
      <s:c r="A238" s="5" t="n">
        <s:v>46275</s:v>
      </s:c>
      <s:c r="B238" s="2" t="n">
        <s:v>17</s:v>
      </s:c>
      <s:c r="C238" s="6" t="n">
        <s:v>2212.58716</s:v>
      </s:c>
      <s:c r="D238" s="6" t="n">
        <s:v>2838.31348</s:v>
      </s:c>
      <s:c r="E238" s="6" t="n">
        <s:v>2781.14673</s:v>
      </s:c>
      <s:c r="F238" s="6" t="n">
        <s:v>2838.67676</s:v>
      </s:c>
      <s:c r="G238" s="6" t="n">
        <s:v>2330.3584</s:v>
      </s:c>
      <s:c r="H238" s="6" t="n">
        <s:v>1315.57031</s:v>
      </s:c>
      <s:c r="I238" s="6" t="n"/>
      <s:c r="J238" s="6" t="str">
        <s:f>IF(AND(COUNT(C238:I238)=7,COUNT('Потребление (МВт·ч)'!C238:I238)=7,SUM('Потребление (МВт·ч)'!C238:I238)&gt;0),SUMPRODUCT(C238:I238,'Потребление (МВт·ч)'!C238:I238)/SUM('Потребление (МВт·ч)'!C238:I238),"")</s:f>
      </s:c>
      <s:c r="K238" s="6" t="n">
        <s:f>IF(SUMIF(C238:I238,"&lt;&gt;",'Потребление (МВт·ч)'!C238:I238)&gt;0,SUMPRODUCT(C238:I238,'Потребление (МВт·ч)'!C238:I238)/SUMIF(C238:I238,"&lt;&gt;",'Потребление (МВт·ч)'!C238:I238),"")</s:f>
        <s:v>2336.9316024518466</s:v>
      </s:c>
      <s:c r="L238" s="6" t="n">
        <s:f>IF(COUNT(C238:I238)&gt;0,AVERAGE(C238:I238),"")</s:f>
        <s:v>2386.1088066666666</s:v>
      </s:c>
      <s:c r="M238" s="10" t="n">
        <s:f>COUNT(C238:I238)</s:f>
        <s:v>6</s:v>
      </s:c>
      <s:c r="N238" s="11" t="n">
        <s:f>IF(AND(COUNT('Потребление (МВт·ч)'!C238:I238)=7,SUM('Потребление (МВт·ч)'!C238:I238)&gt;0),SUMIF(C238:I238,"&lt;&gt;",'Потребление (МВт·ч)'!C238:I238)/SUM('Потребление (МВт·ч)'!C238:I238),"")</s:f>
        <s:v>0.9621795084414076</s:v>
      </s:c>
    </s:row>
    <s:row r="239">
      <s:c r="A239" s="5" t="n">
        <s:v>46275</s:v>
      </s:c>
      <s:c r="B239" s="2" t="n">
        <s:v>18</s:v>
      </s:c>
      <s:c r="C239" s="6" t="n">
        <s:v>2268.51</s:v>
      </s:c>
      <s:c r="D239" s="6" t="n">
        <s:v>2878.39941</s:v>
      </s:c>
      <s:c r="E239" s="6" t="n">
        <s:v>3025.856</s:v>
      </s:c>
      <s:c r="F239" s="6" t="n">
        <s:v>2866.68945</s:v>
      </s:c>
      <s:c r="G239" s="6" t="n">
        <s:v>2337.71216</s:v>
      </s:c>
      <s:c r="H239" s="6" t="n">
        <s:v>686.3479610000001</s:v>
      </s:c>
      <s:c r="I239" s="6" t="n"/>
      <s:c r="J239" s="6" t="str">
        <s:f>IF(AND(COUNT(C239:I239)=7,COUNT('Потребление (МВт·ч)'!C239:I239)=7,SUM('Потребление (МВт·ч)'!C239:I239)&gt;0),SUMPRODUCT(C239:I239,'Потребление (МВт·ч)'!C239:I239)/SUM('Потребление (МВт·ч)'!C239:I239),"")</s:f>
      </s:c>
      <s:c r="K239" s="6" t="n">
        <s:f>IF(SUMIF(C239:I239,"&lt;&gt;",'Потребление (МВт·ч)'!C239:I239)&gt;0,SUMPRODUCT(C239:I239,'Потребление (МВт·ч)'!C239:I239)/SUMIF(C239:I239,"&lt;&gt;",'Потребление (МВт·ч)'!C239:I239),"")</s:f>
        <s:v>2267.0419314907303</s:v>
      </s:c>
      <s:c r="L239" s="6" t="n">
        <s:f>IF(COUNT(C239:I239)&gt;0,AVERAGE(C239:I239),"")</s:f>
        <s:v>2343.9191635</s:v>
      </s:c>
      <s:c r="M239" s="10" t="n">
        <s:f>COUNT(C239:I239)</s:f>
        <s:v>6</s:v>
      </s:c>
      <s:c r="N239" s="11" t="n">
        <s:f>IF(AND(COUNT('Потребление (МВт·ч)'!C239:I239)=7,SUM('Потребление (МВт·ч)'!C239:I239)&gt;0),SUMIF(C239:I239,"&lt;&gt;",'Потребление (МВт·ч)'!C239:I239)/SUM('Потребление (МВт·ч)'!C239:I239),"")</s:f>
        <s:v>0.9640547799847465</s:v>
      </s:c>
    </s:row>
    <s:row r="240">
      <s:c r="A240" s="5" t="n">
        <s:v>46275</s:v>
      </s:c>
      <s:c r="B240" s="2" t="n">
        <s:v>19</s:v>
      </s:c>
      <s:c r="C240" s="6" t="n">
        <s:v>2274.067</s:v>
      </s:c>
      <s:c r="D240" s="6" t="n">
        <s:v>2968.2124</s:v>
      </s:c>
      <s:c r="E240" s="6" t="n">
        <s:v>2974.57446</s:v>
      </s:c>
      <s:c r="F240" s="6" t="n">
        <s:v>2892.09326</s:v>
      </s:c>
      <s:c r="G240" s="6" t="n">
        <s:v>2226.66943</s:v>
      </s:c>
      <s:c r="H240" s="6" t="n">
        <s:v>570.029663</s:v>
      </s:c>
      <s:c r="I240" s="6" t="n"/>
      <s:c r="J240" s="6" t="str">
        <s:f>IF(AND(COUNT(C240:I240)=7,COUNT('Потребление (МВт·ч)'!C240:I240)=7,SUM('Потребление (МВт·ч)'!C240:I240)&gt;0),SUMPRODUCT(C240:I240,'Потребление (МВт·ч)'!C240:I240)/SUM('Потребление (МВт·ч)'!C240:I240),"")</s:f>
      </s:c>
      <s:c r="K240" s="6" t="n">
        <s:f>IF(SUMIF(C240:I240,"&lt;&gt;",'Потребление (МВт·ч)'!C240:I240)&gt;0,SUMPRODUCT(C240:I240,'Потребление (МВт·ч)'!C240:I240)/SUMIF(C240:I240,"&lt;&gt;",'Потребление (МВт·ч)'!C240:I240),"")</s:f>
        <s:v>2251.2691212698082</s:v>
      </s:c>
      <s:c r="L240" s="6" t="n">
        <s:f>IF(COUNT(C240:I240)&gt;0,AVERAGE(C240:I240),"")</s:f>
        <s:v>2317.6077021666665</s:v>
      </s:c>
      <s:c r="M240" s="10" t="n">
        <s:f>COUNT(C240:I240)</s:f>
        <s:v>6</s:v>
      </s:c>
      <s:c r="N240" s="11" t="n">
        <s:f>IF(AND(COUNT('Потребление (МВт·ч)'!C240:I240)=7,SUM('Потребление (МВт·ч)'!C240:I240)&gt;0),SUMIF(C240:I240,"&lt;&gt;",'Потребление (МВт·ч)'!C240:I240)/SUM('Потребление (МВт·ч)'!C240:I240),"")</s:f>
        <s:v>0.9639830508474576</s:v>
      </s:c>
    </s:row>
    <s:row r="241">
      <s:c r="A241" s="5" t="n">
        <s:v>46275</s:v>
      </s:c>
      <s:c r="B241" s="2" t="n">
        <s:v>20</s:v>
      </s:c>
      <s:c r="C241" s="6" t="n">
        <s:v>2140.979</s:v>
      </s:c>
      <s:c r="D241" s="6" t="n">
        <s:v>2841.068</s:v>
      </s:c>
      <s:c r="E241" s="6" t="n">
        <s:v>2719.69385</s:v>
      </s:c>
      <s:c r="F241" s="6" t="n">
        <s:v>2790.45532</s:v>
      </s:c>
      <s:c r="G241" s="6" t="n">
        <s:v>1994.14246</s:v>
      </s:c>
      <s:c r="H241" s="6" t="n">
        <s:v>41.7442245</s:v>
      </s:c>
      <s:c r="I241" s="6" t="n"/>
      <s:c r="J241" s="6" t="str">
        <s:f>IF(AND(COUNT(C241:I241)=7,COUNT('Потребление (МВт·ч)'!C241:I241)=7,SUM('Потребление (МВт·ч)'!C241:I241)&gt;0),SUMPRODUCT(C241:I241,'Потребление (МВт·ч)'!C241:I241)/SUM('Потребление (МВт·ч)'!C241:I241),"")</s:f>
      </s:c>
      <s:c r="K241" s="6" t="n">
        <s:f>IF(SUMIF(C241:I241,"&lt;&gt;",'Потребление (МВт·ч)'!C241:I241)&gt;0,SUMPRODUCT(C241:I241,'Потребление (МВт·ч)'!C241:I241)/SUMIF(C241:I241,"&lt;&gt;",'Потребление (МВт·ч)'!C241:I241),"")</s:f>
        <s:v>2012.6583066579308</s:v>
      </s:c>
      <s:c r="L241" s="6" t="n">
        <s:f>IF(COUNT(C241:I241)&gt;0,AVERAGE(C241:I241),"")</s:f>
        <s:v>2088.013809083333</s:v>
      </s:c>
      <s:c r="M241" s="10" t="n">
        <s:f>COUNT(C241:I241)</s:f>
        <s:v>6</s:v>
      </s:c>
      <s:c r="N241" s="11" t="n">
        <s:f>IF(AND(COUNT('Потребление (МВт·ч)'!C241:I241)=7,SUM('Потребление (МВт·ч)'!C241:I241)&gt;0),SUMIF(C241:I241,"&lt;&gt;",'Потребление (МВт·ч)'!C241:I241)/SUM('Потребление (МВт·ч)'!C241:I241),"")</s:f>
        <s:v>0.9627807851327735</s:v>
      </s:c>
    </s:row>
    <s:row r="242">
      <s:c r="A242" s="5" t="n">
        <s:v>46275</s:v>
      </s:c>
      <s:c r="B242" s="2" t="n">
        <s:v>21</s:v>
      </s:c>
      <s:c r="C242" s="6" t="n">
        <s:v>2038.88013</s:v>
      </s:c>
      <s:c r="D242" s="6" t="n">
        <s:v>2727.271</s:v>
      </s:c>
      <s:c r="E242" s="6" t="n">
        <s:v>2648.6814</s:v>
      </s:c>
      <s:c r="F242" s="6" t="n">
        <s:v>2714.639</s:v>
      </s:c>
      <s:c r="G242" s="6" t="n">
        <s:v>1748.27441</s:v>
      </s:c>
      <s:c r="H242" s="6" t="n">
        <s:v>342.658</s:v>
      </s:c>
      <s:c r="I242" s="6" t="n"/>
      <s:c r="J242" s="6" t="str">
        <s:f>IF(AND(COUNT(C242:I242)=7,COUNT('Потребление (МВт·ч)'!C242:I242)=7,SUM('Потребление (МВт·ч)'!C242:I242)&gt;0),SUMPRODUCT(C242:I242,'Потребление (МВт·ч)'!C242:I242)/SUM('Потребление (МВт·ч)'!C242:I242),"")</s:f>
      </s:c>
      <s:c r="K242" s="6" t="n">
        <s:f>IF(SUMIF(C242:I242,"&lt;&gt;",'Потребление (МВт·ч)'!C242:I242)&gt;0,SUMPRODUCT(C242:I242,'Потребление (МВт·ч)'!C242:I242)/SUMIF(C242:I242,"&lt;&gt;",'Потребление (МВт·ч)'!C242:I242),"")</s:f>
        <s:v>1947.600654012199</s:v>
      </s:c>
      <s:c r="L242" s="6" t="n">
        <s:f>IF(COUNT(C242:I242)&gt;0,AVERAGE(C242:I242),"")</s:f>
        <s:v>2036.7339899999997</s:v>
      </s:c>
      <s:c r="M242" s="10" t="n">
        <s:f>COUNT(C242:I242)</s:f>
        <s:v>6</s:v>
      </s:c>
      <s:c r="N242" s="11" t="n">
        <s:f>IF(AND(COUNT('Потребление (МВт·ч)'!C242:I242)=7,SUM('Потребление (МВт·ч)'!C242:I242)&gt;0),SUMIF(C242:I242,"&lt;&gt;",'Потребление (МВт·ч)'!C242:I242)/SUM('Потребление (МВт·ч)'!C242:I242),"")</s:f>
        <s:v>0.9620610054802727</s:v>
      </s:c>
    </s:row>
    <s:row r="243">
      <s:c r="A243" s="5" t="n">
        <s:v>46275</s:v>
      </s:c>
      <s:c r="B243" s="2" t="n">
        <s:v>22</s:v>
      </s:c>
      <s:c r="C243" s="6" t="n">
        <s:v>1452.35583</s:v>
      </s:c>
      <s:c r="D243" s="6" t="n">
        <s:v>1744.66785</s:v>
      </s:c>
      <s:c r="E243" s="6" t="n">
        <s:v>2127.08643</s:v>
      </s:c>
      <s:c r="F243" s="6" t="n">
        <s:v>1856.11719</s:v>
      </s:c>
      <s:c r="G243" s="6" t="n">
        <s:v>1172.90686</s:v>
      </s:c>
      <s:c r="H243" s="6" t="n">
        <s:v>0</s:v>
      </s:c>
      <s:c r="I243" s="6" t="n"/>
      <s:c r="J243" s="6" t="str">
        <s:f>IF(AND(COUNT(C243:I243)=7,COUNT('Потребление (МВт·ч)'!C243:I243)=7,SUM('Потребление (МВт·ч)'!C243:I243)&gt;0),SUMPRODUCT(C243:I243,'Потребление (МВт·ч)'!C243:I243)/SUM('Потребление (МВт·ч)'!C243:I243),"")</s:f>
      </s:c>
      <s:c r="K243" s="6" t="n">
        <s:f>IF(SUMIF(C243:I243,"&lt;&gt;",'Потребление (МВт·ч)'!C243:I243)&gt;0,SUMPRODUCT(C243:I243,'Потребление (МВт·ч)'!C243:I243)/SUMIF(C243:I243,"&lt;&gt;",'Потребление (МВт·ч)'!C243:I243),"")</s:f>
        <s:v>1268.6344588499046</s:v>
      </s:c>
      <s:c r="L243" s="6" t="n">
        <s:f>IF(COUNT(C243:I243)&gt;0,AVERAGE(C243:I243),"")</s:f>
        <s:v>1392.1890266666667</s:v>
      </s:c>
      <s:c r="M243" s="10" t="n">
        <s:f>COUNT(C243:I243)</s:f>
        <s:v>6</s:v>
      </s:c>
      <s:c r="N243" s="11" t="n">
        <s:f>IF(AND(COUNT('Потребление (МВт·ч)'!C243:I243)=7,SUM('Потребление (МВт·ч)'!C243:I243)&gt;0),SUMIF(C243:I243,"&lt;&gt;",'Потребление (МВт·ч)'!C243:I243)/SUM('Потребление (МВт·ч)'!C243:I243),"")</s:f>
        <s:v>0.959576942244864</s:v>
      </s:c>
    </s:row>
    <s:row r="244">
      <s:c r="A244" s="5" t="n">
        <s:v>46275</s:v>
      </s:c>
      <s:c r="B244" s="2" t="n">
        <s:v>23</s:v>
      </s:c>
      <s:c r="C244" s="6" t="n">
        <s:v>1412.23572</s:v>
      </s:c>
      <s:c r="D244" s="6" t="n">
        <s:v>1777.05176</s:v>
      </s:c>
      <s:c r="E244" s="6" t="n">
        <s:v>1716.43018</s:v>
      </s:c>
      <s:c r="F244" s="6" t="n">
        <s:v>1855.86951</s:v>
      </s:c>
      <s:c r="G244" s="6" t="n">
        <s:v>1579.95056</s:v>
      </s:c>
      <s:c r="H244" s="6" t="n">
        <s:v>353.2579</s:v>
      </s:c>
      <s:c r="I244" s="6" t="n"/>
      <s:c r="J244" s="6" t="str">
        <s:f>IF(AND(COUNT(C244:I244)=7,COUNT('Потребление (МВт·ч)'!C244:I244)=7,SUM('Потребление (МВт·ч)'!C244:I244)&gt;0),SUMPRODUCT(C244:I244,'Потребление (МВт·ч)'!C244:I244)/SUM('Потребление (МВт·ч)'!C244:I244),"")</s:f>
      </s:c>
      <s:c r="K244" s="6" t="n">
        <s:f>IF(SUMIF(C244:I244,"&lt;&gt;",'Потребление (МВт·ч)'!C244:I244)&gt;0,SUMPRODUCT(C244:I244,'Потребление (МВт·ч)'!C244:I244)/SUMIF(C244:I244,"&lt;&gt;",'Потребление (МВт·ч)'!C244:I244),"")</s:f>
        <s:v>1388.9731199671362</s:v>
      </s:c>
      <s:c r="L244" s="6" t="n">
        <s:f>IF(COUNT(C244:I244)&gt;0,AVERAGE(C244:I244),"")</s:f>
        <s:v>1449.132605</s:v>
      </s:c>
      <s:c r="M244" s="10" t="n">
        <s:f>COUNT(C244:I244)</s:f>
        <s:v>6</s:v>
      </s:c>
      <s:c r="N244" s="11" t="n">
        <s:f>IF(AND(COUNT('Потребление (МВт·ч)'!C244:I244)=7,SUM('Потребление (МВт·ч)'!C244:I244)&gt;0),SUMIF(C244:I244,"&lt;&gt;",'Потребление (МВт·ч)'!C244:I244)/SUM('Потребление (МВт·ч)'!C244:I244),"")</s:f>
        <s:v>0.9557048768416645</s:v>
      </s:c>
    </s:row>
    <s:row r="245">
      <s:c r="A245" s="5" t="n">
        <s:v>46276</s:v>
      </s:c>
      <s:c r="B245" s="2" t="n">
        <s:v>0</s:v>
      </s:c>
      <s:c r="C245" s="6" t="n">
        <s:v>1295.07019</s:v>
      </s:c>
      <s:c r="D245" s="6" t="n">
        <s:v>1577.50488</s:v>
      </s:c>
      <s:c r="E245" s="6" t="n">
        <s:v>1494.327</s:v>
      </s:c>
      <s:c r="F245" s="6" t="n">
        <s:v>1764.71118</s:v>
      </s:c>
      <s:c r="G245" s="6" t="n">
        <s:v>1560.1073</s:v>
      </s:c>
      <s:c r="H245" s="6" t="n">
        <s:v>176.158325</s:v>
      </s:c>
      <s:c r="I245" s="6" t="n"/>
      <s:c r="J245" s="6" t="str">
        <s:f>IF(AND(COUNT(C245:I245)=7,COUNT('Потребление (МВт·ч)'!C245:I245)=7,SUM('Потребление (МВт·ч)'!C245:I245)&gt;0),SUMPRODUCT(C245:I245,'Потребление (МВт·ч)'!C245:I245)/SUM('Потребление (МВт·ч)'!C245:I245),"")</s:f>
      </s:c>
      <s:c r="K245" s="6" t="n">
        <s:f>IF(SUMIF(C245:I245,"&lt;&gt;",'Потребление (МВт·ч)'!C245:I245)&gt;0,SUMPRODUCT(C245:I245,'Потребление (МВт·ч)'!C245:I245)/SUMIF(C245:I245,"&lt;&gt;",'Потребление (МВт·ч)'!C245:I245),"")</s:f>
        <s:v>1246.8534213878295</s:v>
      </s:c>
      <s:c r="L245" s="6" t="n">
        <s:f>IF(COUNT(C245:I245)&gt;0,AVERAGE(C245:I245),"")</s:f>
        <s:v>1311.3131458333335</s:v>
      </s:c>
      <s:c r="M245" s="10" t="n">
        <s:f>COUNT(C245:I245)</s:f>
        <s:v>6</s:v>
      </s:c>
      <s:c r="N245" s="11" t="n">
        <s:f>IF(AND(COUNT('Потребление (МВт·ч)'!C245:I245)=7,SUM('Потребление (МВт·ч)'!C245:I245)&gt;0),SUMIF(C245:I245,"&lt;&gt;",'Потребление (МВт·ч)'!C245:I245)/SUM('Потребление (МВт·ч)'!C245:I245),"")</s:f>
        <s:v>0.9527678192822173</s:v>
      </s:c>
    </s:row>
    <s:row r="246">
      <s:c r="A246" s="5" t="n">
        <s:v>46276</s:v>
      </s:c>
      <s:c r="B246" s="2" t="n">
        <s:v>1</s:v>
      </s:c>
      <s:c r="C246" s="6" t="n">
        <s:v>1078.03711</s:v>
      </s:c>
      <s:c r="D246" s="6" t="n">
        <s:v>1267.06714</s:v>
      </s:c>
      <s:c r="E246" s="6" t="n">
        <s:v>1169.95569</s:v>
      </s:c>
      <s:c r="F246" s="6" t="n">
        <s:v>1484.87451</s:v>
      </s:c>
      <s:c r="G246" s="6" t="n">
        <s:v>1342.59229</s:v>
      </s:c>
      <s:c r="H246" s="6" t="n">
        <s:v>555.2232</s:v>
      </s:c>
      <s:c r="I246" s="6" t="n"/>
      <s:c r="J246" s="6" t="str">
        <s:f>IF(AND(COUNT(C246:I246)=7,COUNT('Потребление (МВт·ч)'!C246:I246)=7,SUM('Потребление (МВт·ч)'!C246:I246)&gt;0),SUMPRODUCT(C246:I246,'Потребление (МВт·ч)'!C246:I246)/SUM('Потребление (МВт·ч)'!C246:I246),"")</s:f>
      </s:c>
      <s:c r="K246" s="6" t="n">
        <s:f>IF(SUMIF(C246:I246,"&lt;&gt;",'Потребление (МВт·ч)'!C246:I246)&gt;0,SUMPRODUCT(C246:I246,'Потребление (МВт·ч)'!C246:I246)/SUMIF(C246:I246,"&lt;&gt;",'Потребление (МВт·ч)'!C246:I246),"")</s:f>
        <s:v>1118.5886974336474</s:v>
      </s:c>
      <s:c r="L246" s="6" t="n">
        <s:f>IF(COUNT(C246:I246)&gt;0,AVERAGE(C246:I246),"")</s:f>
        <s:v>1149.6249900000003</s:v>
      </s:c>
      <s:c r="M246" s="10" t="n">
        <s:f>COUNT(C246:I246)</s:f>
        <s:v>6</s:v>
      </s:c>
      <s:c r="N246" s="11" t="n">
        <s:f>IF(AND(COUNT('Потребление (МВт·ч)'!C246:I246)=7,SUM('Потребление (МВт·ч)'!C246:I246)&gt;0),SUMIF(C246:I246,"&lt;&gt;",'Потребление (МВт·ч)'!C246:I246)/SUM('Потребление (МВт·ч)'!C246:I246),"")</s:f>
        <s:v>0.9501102937603856</s:v>
      </s:c>
    </s:row>
    <s:row r="247">
      <s:c r="A247" s="5" t="n">
        <s:v>46276</s:v>
      </s:c>
      <s:c r="B247" s="2" t="n">
        <s:v>2</s:v>
      </s:c>
      <s:c r="C247" s="6" t="n">
        <s:v>1191.53088</s:v>
      </s:c>
      <s:c r="D247" s="6" t="n">
        <s:v>1454.42224</s:v>
      </s:c>
      <s:c r="E247" s="6" t="n">
        <s:v>1375.296</s:v>
      </s:c>
      <s:c r="F247" s="6" t="n">
        <s:v>1646.06</s:v>
      </s:c>
      <s:c r="G247" s="6" t="n">
        <s:v>1516.57581</s:v>
      </s:c>
      <s:c r="H247" s="6" t="n">
        <s:v>573.060852</s:v>
      </s:c>
      <s:c r="I247" s="6" t="n"/>
      <s:c r="J247" s="6" t="str">
        <s:f>IF(AND(COUNT(C247:I247)=7,COUNT('Потребление (МВт·ч)'!C247:I247)=7,SUM('Потребление (МВт·ч)'!C247:I247)&gt;0),SUMPRODUCT(C247:I247,'Потребление (МВт·ч)'!C247:I247)/SUM('Потребление (МВт·ч)'!C247:I247),"")</s:f>
      </s:c>
      <s:c r="K247" s="6" t="n">
        <s:f>IF(SUMIF(C247:I247,"&lt;&gt;",'Потребление (МВт·ч)'!C247:I247)&gt;0,SUMPRODUCT(C247:I247,'Потребление (МВт·ч)'!C247:I247)/SUMIF(C247:I247,"&lt;&gt;",'Потребление (МВт·ч)'!C247:I247),"")</s:f>
        <s:v>1247.9309316460653</s:v>
      </s:c>
      <s:c r="L247" s="6" t="n">
        <s:f>IF(COUNT(C247:I247)&gt;0,AVERAGE(C247:I247),"")</s:f>
        <s:v>1292.824297</s:v>
      </s:c>
      <s:c r="M247" s="10" t="n">
        <s:f>COUNT(C247:I247)</s:f>
        <s:v>6</s:v>
      </s:c>
      <s:c r="N247" s="11" t="n">
        <s:f>IF(AND(COUNT('Потребление (МВт·ч)'!C247:I247)=7,SUM('Потребление (МВт·ч)'!C247:I247)&gt;0),SUMIF(C247:I247,"&lt;&gt;",'Потребление (МВт·ч)'!C247:I247)/SUM('Потребление (МВт·ч)'!C247:I247),"")</s:f>
        <s:v>0.948845701854064</s:v>
      </s:c>
    </s:row>
    <s:row r="248">
      <s:c r="A248" s="5" t="n">
        <s:v>46276</s:v>
      </s:c>
      <s:c r="B248" s="2" t="n">
        <s:v>3</s:v>
      </s:c>
      <s:c r="C248" s="6" t="n">
        <s:v>1235.99817</s:v>
      </s:c>
      <s:c r="D248" s="6" t="n">
        <s:v>1486.44434</s:v>
      </s:c>
      <s:c r="E248" s="6" t="n">
        <s:v>1417.22119</s:v>
      </s:c>
      <s:c r="F248" s="6" t="n">
        <s:v>1707.68164</s:v>
      </s:c>
      <s:c r="G248" s="6" t="n">
        <s:v>1574.619</s:v>
      </s:c>
      <s:c r="H248" s="6" t="n">
        <s:v>152.70282</s:v>
      </s:c>
      <s:c r="I248" s="6" t="n"/>
      <s:c r="J248" s="6" t="str">
        <s:f>IF(AND(COUNT(C248:I248)=7,COUNT('Потребление (МВт·ч)'!C248:I248)=7,SUM('Потребление (МВт·ч)'!C248:I248)&gt;0),SUMPRODUCT(C248:I248,'Потребление (МВт·ч)'!C248:I248)/SUM('Потребление (МВт·ч)'!C248:I248),"")</s:f>
      </s:c>
      <s:c r="K248" s="6" t="n">
        <s:f>IF(SUMIF(C248:I248,"&lt;&gt;",'Потребление (МВт·ч)'!C248:I248)&gt;0,SUMPRODUCT(C248:I248,'Потребление (МВт·ч)'!C248:I248)/SUMIF(C248:I248,"&lt;&gt;",'Потребление (МВт·ч)'!C248:I248),"")</s:f>
        <s:v>1184.8551934030986</s:v>
      </s:c>
      <s:c r="L248" s="6" t="n">
        <s:f>IF(COUNT(C248:I248)&gt;0,AVERAGE(C248:I248),"")</s:f>
        <s:v>1262.4445266666667</s:v>
      </s:c>
      <s:c r="M248" s="10" t="n">
        <s:f>COUNT(C248:I248)</s:f>
        <s:v>6</s:v>
      </s:c>
      <s:c r="N248" s="11" t="n">
        <s:f>IF(AND(COUNT('Потребление (МВт·ч)'!C248:I248)=7,SUM('Потребление (МВт·ч)'!C248:I248)&gt;0),SUMIF(C248:I248,"&lt;&gt;",'Потребление (МВт·ч)'!C248:I248)/SUM('Потребление (МВт·ч)'!C248:I248),"")</s:f>
        <s:v>0.9500574329868049</s:v>
      </s:c>
    </s:row>
    <s:row r="249">
      <s:c r="A249" s="5" t="n">
        <s:v>46276</s:v>
      </s:c>
      <s:c r="B249" s="2" t="n">
        <s:v>4</s:v>
      </s:c>
      <s:c r="C249" s="6" t="n">
        <s:v>1375.92407</s:v>
      </s:c>
      <s:c r="D249" s="6" t="n">
        <s:v>1615.82666</s:v>
      </s:c>
      <s:c r="E249" s="6" t="n">
        <s:v>1576.97424</s:v>
      </s:c>
      <s:c r="F249" s="6" t="n">
        <s:v>1856.94824</s:v>
      </s:c>
      <s:c r="G249" s="6" t="n">
        <s:v>1664.0498</s:v>
      </s:c>
      <s:c r="H249" s="6" t="n">
        <s:v>119.816895</s:v>
      </s:c>
      <s:c r="I249" s="6" t="n"/>
      <s:c r="J249" s="6" t="str">
        <s:f>IF(AND(COUNT(C249:I249)=7,COUNT('Потребление (МВт·ч)'!C249:I249)=7,SUM('Потребление (МВт·ч)'!C249:I249)&gt;0),SUMPRODUCT(C249:I249,'Потребление (МВт·ч)'!C249:I249)/SUM('Потребление (МВт·ч)'!C249:I249),"")</s:f>
      </s:c>
      <s:c r="K249" s="6" t="n">
        <s:f>IF(SUMIF(C249:I249,"&lt;&gt;",'Потребление (МВт·ч)'!C249:I249)&gt;0,SUMPRODUCT(C249:I249,'Потребление (МВт·ч)'!C249:I249)/SUMIF(C249:I249,"&lt;&gt;",'Потребление (МВт·ч)'!C249:I249),"")</s:f>
        <s:v>1273.9786761927166</s:v>
      </s:c>
      <s:c r="L249" s="6" t="n">
        <s:f>IF(COUNT(C249:I249)&gt;0,AVERAGE(C249:I249),"")</s:f>
        <s:v>1368.2566508333332</s:v>
      </s:c>
      <s:c r="M249" s="10" t="n">
        <s:f>COUNT(C249:I249)</s:f>
        <s:v>6</s:v>
      </s:c>
      <s:c r="N249" s="11" t="n">
        <s:f>IF(AND(COUNT('Потребление (МВт·ч)'!C249:I249)=7,SUM('Потребление (МВт·ч)'!C249:I249)&gt;0),SUMIF(C249:I249,"&lt;&gt;",'Потребление (МВт·ч)'!C249:I249)/SUM('Потребление (МВт·ч)'!C249:I249),"")</s:f>
        <s:v>0.9513726083339635</s:v>
      </s:c>
    </s:row>
    <s:row r="250">
      <s:c r="A250" s="5" t="n">
        <s:v>46276</s:v>
      </s:c>
      <s:c r="B250" s="2" t="n">
        <s:v>5</s:v>
      </s:c>
      <s:c r="C250" s="6" t="n">
        <s:v>1540.003</s:v>
      </s:c>
      <s:c r="D250" s="6" t="n">
        <s:v>1751.22876</s:v>
      </s:c>
      <s:c r="E250" s="6" t="n">
        <s:v>1892.47546</s:v>
      </s:c>
      <s:c r="F250" s="6" t="n">
        <s:v>2023.69189</s:v>
      </s:c>
      <s:c r="G250" s="6" t="n">
        <s:v>1778.73425</s:v>
      </s:c>
      <s:c r="H250" s="6" t="n">
        <s:v>118.643257</s:v>
      </s:c>
      <s:c r="I250" s="6" t="n"/>
      <s:c r="J250" s="6" t="str">
        <s:f>IF(AND(COUNT(C250:I250)=7,COUNT('Потребление (МВт·ч)'!C250:I250)=7,SUM('Потребление (МВт·ч)'!C250:I250)&gt;0),SUMPRODUCT(C250:I250,'Потребление (МВт·ч)'!C250:I250)/SUM('Потребление (МВт·ч)'!C250:I250),"")</s:f>
      </s:c>
      <s:c r="K250" s="6" t="n">
        <s:f>IF(SUMIF(C250:I250,"&lt;&gt;",'Потребление (МВт·ч)'!C250:I250)&gt;0,SUMPRODUCT(C250:I250,'Потребление (МВт·ч)'!C250:I250)/SUMIF(C250:I250,"&lt;&gt;",'Потребление (МВт·ч)'!C250:I250),"")</s:f>
        <s:v>1401.0589267289017</s:v>
      </s:c>
      <s:c r="L250" s="6" t="n">
        <s:f>IF(COUNT(C250:I250)&gt;0,AVERAGE(C250:I250),"")</s:f>
        <s:v>1517.4627695</s:v>
      </s:c>
      <s:c r="M250" s="10" t="n">
        <s:f>COUNT(C250:I250)</s:f>
        <s:v>6</s:v>
      </s:c>
      <s:c r="N250" s="11" t="n">
        <s:f>IF(AND(COUNT('Потребление (МВт·ч)'!C250:I250)=7,SUM('Потребление (МВт·ч)'!C250:I250)&gt;0),SUMIF(C250:I250,"&lt;&gt;",'Потребление (МВт·ч)'!C250:I250)/SUM('Потребление (МВт·ч)'!C250:I250),"")</s:f>
        <s:v>0.9530463277460213</s:v>
      </s:c>
    </s:row>
    <s:row r="251">
      <s:c r="A251" s="5" t="n">
        <s:v>46276</s:v>
      </s:c>
      <s:c r="B251" s="2" t="n">
        <s:v>6</s:v>
      </s:c>
      <s:c r="C251" s="6" t="n">
        <s:v>1759.46643</s:v>
      </s:c>
      <s:c r="D251" s="6" t="n">
        <s:v>2142.39478</s:v>
      </s:c>
      <s:c r="E251" s="6" t="n">
        <s:v>2515.81934</s:v>
      </s:c>
      <s:c r="F251" s="6" t="n">
        <s:v>2337.05469</s:v>
      </s:c>
      <s:c r="G251" s="6" t="n">
        <s:v>1977.4657</s:v>
      </s:c>
      <s:c r="H251" s="6" t="n">
        <s:v>461.2051</s:v>
      </s:c>
      <s:c r="I251" s="6" t="n"/>
      <s:c r="J251" s="6" t="str">
        <s:f>IF(AND(COUNT(C251:I251)=7,COUNT('Потребление (МВт·ч)'!C251:I251)=7,SUM('Потребление (МВт·ч)'!C251:I251)&gt;0),SUMPRODUCT(C251:I251,'Потребление (МВт·ч)'!C251:I251)/SUM('Потребление (МВт·ч)'!C251:I251),"")</s:f>
      </s:c>
      <s:c r="K251" s="6" t="n">
        <s:f>IF(SUMIF(C251:I251,"&lt;&gt;",'Потребление (МВт·ч)'!C251:I251)&gt;0,SUMPRODUCT(C251:I251,'Потребление (МВт·ч)'!C251:I251)/SUMIF(C251:I251,"&lt;&gt;",'Потребление (МВт·ч)'!C251:I251),"")</s:f>
        <s:v>1754.5432604204752</s:v>
      </s:c>
      <s:c r="L251" s="6" t="n">
        <s:f>IF(COUNT(C251:I251)&gt;0,AVERAGE(C251:I251),"")</s:f>
        <s:v>1865.5676733333332</s:v>
      </s:c>
      <s:c r="M251" s="10" t="n">
        <s:f>COUNT(C251:I251)</s:f>
        <s:v>6</s:v>
      </s:c>
      <s:c r="N251" s="11" t="n">
        <s:f>IF(AND(COUNT('Потребление (МВт·ч)'!C251:I251)=7,SUM('Потребление (МВт·ч)'!C251:I251)&gt;0),SUMIF(C251:I251,"&lt;&gt;",'Потребление (МВт·ч)'!C251:I251)/SUM('Потребление (МВт·ч)'!C251:I251),"")</s:f>
        <s:v>0.954388523337228</s:v>
      </s:c>
    </s:row>
    <s:row r="252">
      <s:c r="A252" s="5" t="n">
        <s:v>46276</s:v>
      </s:c>
      <s:c r="B252" s="2" t="n">
        <s:v>7</s:v>
      </s:c>
      <s:c r="C252" s="6" t="n">
        <s:v>2145.40771</s:v>
      </s:c>
      <s:c r="D252" s="6" t="n">
        <s:v>2614.42944</s:v>
      </s:c>
      <s:c r="E252" s="6" t="n">
        <s:v>2788.4082</s:v>
      </s:c>
      <s:c r="F252" s="6" t="n">
        <s:v>2676.42944</s:v>
      </s:c>
      <s:c r="G252" s="6" t="n">
        <s:v>2219.8418</s:v>
      </s:c>
      <s:c r="H252" s="6" t="n">
        <s:v>670.9834</s:v>
      </s:c>
      <s:c r="I252" s="6" t="n"/>
      <s:c r="J252" s="6" t="str">
        <s:f>IF(AND(COUNT(C252:I252)=7,COUNT('Потребление (МВт·ч)'!C252:I252)=7,SUM('Потребление (МВт·ч)'!C252:I252)&gt;0),SUMPRODUCT(C252:I252,'Потребление (МВт·ч)'!C252:I252)/SUM('Потребление (МВт·ч)'!C252:I252),"")</s:f>
      </s:c>
      <s:c r="K252" s="6" t="n">
        <s:f>IF(SUMIF(C252:I252,"&lt;&gt;",'Потребление (МВт·ч)'!C252:I252)&gt;0,SUMPRODUCT(C252:I252,'Потребление (МВт·ч)'!C252:I252)/SUMIF(C252:I252,"&lt;&gt;",'Потребление (МВт·ч)'!C252:I252),"")</s:f>
        <s:v>2087.7306881656045</s:v>
      </s:c>
      <s:c r="L252" s="6" t="n">
        <s:f>IF(COUNT(C252:I252)&gt;0,AVERAGE(C252:I252),"")</s:f>
        <s:v>2185.9166649999997</s:v>
      </s:c>
      <s:c r="M252" s="10" t="n">
        <s:f>COUNT(C252:I252)</s:f>
        <s:v>6</s:v>
      </s:c>
      <s:c r="N252" s="11" t="n">
        <s:f>IF(AND(COUNT('Потребление (МВт·ч)'!C252:I252)=7,SUM('Потребление (МВт·ч)'!C252:I252)&gt;0),SUMIF(C252:I252,"&lt;&gt;",'Потребление (МВт·ч)'!C252:I252)/SUM('Потребление (МВт·ч)'!C252:I252),"")</s:f>
        <s:v>0.9563243888912589</s:v>
      </s:c>
    </s:row>
    <s:row r="253">
      <s:c r="A253" s="5" t="n">
        <s:v>46276</s:v>
      </s:c>
      <s:c r="B253" s="2" t="n">
        <s:v>8</s:v>
      </s:c>
      <s:c r="C253" s="6" t="n">
        <s:v>2028.58716</s:v>
      </s:c>
      <s:c r="D253" s="6" t="n">
        <s:v>2888.9646</s:v>
      </s:c>
      <s:c r="E253" s="6" t="n">
        <s:v>2805.97925</s:v>
      </s:c>
      <s:c r="F253" s="6" t="n">
        <s:v>2928.87378</s:v>
      </s:c>
      <s:c r="G253" s="6" t="n">
        <s:v>2100.53516</s:v>
      </s:c>
      <s:c r="H253" s="6" t="n">
        <s:v>798.0448</s:v>
      </s:c>
      <s:c r="I253" s="6" t="n"/>
      <s:c r="J253" s="6" t="str">
        <s:f>IF(AND(COUNT(C253:I253)=7,COUNT('Потребление (МВт·ч)'!C253:I253)=7,SUM('Потребление (МВт·ч)'!C253:I253)&gt;0),SUMPRODUCT(C253:I253,'Потребление (МВт·ч)'!C253:I253)/SUM('Потребление (МВт·ч)'!C253:I253),"")</s:f>
      </s:c>
      <s:c r="K253" s="6" t="n">
        <s:f>IF(SUMIF(C253:I253,"&lt;&gt;",'Потребление (МВт·ч)'!C253:I253)&gt;0,SUMPRODUCT(C253:I253,'Потребление (МВт·ч)'!C253:I253)/SUMIF(C253:I253,"&lt;&gt;",'Потребление (МВт·ч)'!C253:I253),"")</s:f>
        <s:v>2183.8556855619195</s:v>
      </s:c>
      <s:c r="L253" s="6" t="n">
        <s:f>IF(COUNT(C253:I253)&gt;0,AVERAGE(C253:I253),"")</s:f>
        <s:v>2258.4974583333333</s:v>
      </s:c>
      <s:c r="M253" s="10" t="n">
        <s:f>COUNT(C253:I253)</s:f>
        <s:v>6</s:v>
      </s:c>
      <s:c r="N253" s="11" t="n">
        <s:f>IF(AND(COUNT('Потребление (МВт·ч)'!C253:I253)=7,SUM('Потребление (МВт·ч)'!C253:I253)&gt;0),SUMIF(C253:I253,"&lt;&gt;",'Потребление (МВт·ч)'!C253:I253)/SUM('Потребление (МВт·ч)'!C253:I253),"")</s:f>
        <s:v>0.9575130129226122</s:v>
      </s:c>
    </s:row>
    <s:row r="254">
      <s:c r="A254" s="5" t="n">
        <s:v>46276</s:v>
      </s:c>
      <s:c r="B254" s="2" t="n">
        <s:v>9</s:v>
      </s:c>
      <s:c r="C254" s="6" t="n">
        <s:v>1915.63074</s:v>
      </s:c>
      <s:c r="D254" s="6" t="n">
        <s:v>2832.64624</s:v>
      </s:c>
      <s:c r="E254" s="6" t="n">
        <s:v>2730.05786</s:v>
      </s:c>
      <s:c r="F254" s="6" t="n">
        <s:v>2777.83228</s:v>
      </s:c>
      <s:c r="G254" s="6" t="n">
        <s:v>2246.062</s:v>
      </s:c>
      <s:c r="H254" s="6" t="n">
        <s:v>705.092834</s:v>
      </s:c>
      <s:c r="I254" s="6" t="n"/>
      <s:c r="J254" s="6" t="str">
        <s:f>IF(AND(COUNT(C254:I254)=7,COUNT('Потребление (МВт·ч)'!C254:I254)=7,SUM('Потребление (МВт·ч)'!C254:I254)&gt;0),SUMPRODUCT(C254:I254,'Потребление (МВт·ч)'!C254:I254)/SUM('Потребление (МВт·ч)'!C254:I254),"")</s:f>
      </s:c>
      <s:c r="K254" s="6" t="n">
        <s:f>IF(SUMIF(C254:I254,"&lt;&gt;",'Потребление (МВт·ч)'!C254:I254)&gt;0,SUMPRODUCT(C254:I254,'Потребление (МВт·ч)'!C254:I254)/SUMIF(C254:I254,"&lt;&gt;",'Потребление (МВт·ч)'!C254:I254),"")</s:f>
        <s:v>2154.1128992255244</s:v>
      </s:c>
      <s:c r="L254" s="6" t="n">
        <s:f>IF(COUNT(C254:I254)&gt;0,AVERAGE(C254:I254),"")</s:f>
        <s:v>2201.2203256666667</s:v>
      </s:c>
      <s:c r="M254" s="10" t="n">
        <s:f>COUNT(C254:I254)</s:f>
        <s:v>6</s:v>
      </s:c>
      <s:c r="N254" s="11" t="n">
        <s:f>IF(AND(COUNT('Потребление (МВт·ч)'!C254:I254)=7,SUM('Потребление (МВт·ч)'!C254:I254)&gt;0),SUMIF(C254:I254,"&lt;&gt;",'Потребление (МВт·ч)'!C254:I254)/SUM('Потребление (МВт·ч)'!C254:I254),"")</s:f>
        <s:v>0.9591608870343356</s:v>
      </s:c>
    </s:row>
    <s:row r="255">
      <s:c r="A255" s="5" t="n">
        <s:v>46276</s:v>
      </s:c>
      <s:c r="B255" s="2" t="n">
        <s:v>10</s:v>
      </s:c>
      <s:c r="C255" s="6" t="n">
        <s:v>2118.71362</s:v>
      </s:c>
      <s:c r="D255" s="6" t="n">
        <s:v>2728.33862</s:v>
      </s:c>
      <s:c r="E255" s="6" t="n">
        <s:v>2707.60278</s:v>
      </s:c>
      <s:c r="F255" s="6" t="n">
        <s:v>2660.271</s:v>
      </s:c>
      <s:c r="G255" s="6" t="n">
        <s:v>2172.70947</s:v>
      </s:c>
      <s:c r="H255" s="6" t="n">
        <s:v>913.0918</s:v>
      </s:c>
      <s:c r="I255" s="6" t="n"/>
      <s:c r="J255" s="6" t="str">
        <s:f>IF(AND(COUNT(C255:I255)=7,COUNT('Потребление (МВт·ч)'!C255:I255)=7,SUM('Потребление (МВт·ч)'!C255:I255)&gt;0),SUMPRODUCT(C255:I255,'Потребление (МВт·ч)'!C255:I255)/SUM('Потребление (МВт·ч)'!C255:I255),"")</s:f>
      </s:c>
      <s:c r="K255" s="6" t="n">
        <s:f>IF(SUMIF(C255:I255,"&lt;&gt;",'Потребление (МВт·ч)'!C255:I255)&gt;0,SUMPRODUCT(C255:I255,'Потребление (МВт·ч)'!C255:I255)/SUMIF(C255:I255,"&lt;&gt;",'Потребление (МВт·ч)'!C255:I255),"")</s:f>
        <s:v>2155.157779986633</s:v>
      </s:c>
      <s:c r="L255" s="6" t="n">
        <s:f>IF(COUNT(C255:I255)&gt;0,AVERAGE(C255:I255),"")</s:f>
        <s:v>2216.7878816666666</s:v>
      </s:c>
      <s:c r="M255" s="10" t="n">
        <s:f>COUNT(C255:I255)</s:f>
        <s:v>6</s:v>
      </s:c>
      <s:c r="N255" s="11" t="n">
        <s:f>IF(AND(COUNT('Потребление (МВт·ч)'!C255:I255)=7,SUM('Потребление (МВт·ч)'!C255:I255)&gt;0),SUMIF(C255:I255,"&lt;&gt;",'Потребление (МВт·ч)'!C255:I255)/SUM('Потребление (МВт·ч)'!C255:I255),"")</s:f>
        <s:v>0.9585286342183369</s:v>
      </s:c>
    </s:row>
    <s:row r="256">
      <s:c r="A256" s="5" t="n">
        <s:v>46276</s:v>
      </s:c>
      <s:c r="B256" s="2" t="n">
        <s:v>11</s:v>
      </s:c>
      <s:c r="C256" s="6" t="n">
        <s:v>1741.2146</s:v>
      </s:c>
      <s:c r="D256" s="6" t="n">
        <s:v>2712.19971</s:v>
      </s:c>
      <s:c r="E256" s="6" t="n">
        <s:v>2710.79736</s:v>
      </s:c>
      <s:c r="F256" s="6" t="n">
        <s:v>2666.99243</s:v>
      </s:c>
      <s:c r="G256" s="6" t="n">
        <s:v>2192.49561</s:v>
      </s:c>
      <s:c r="H256" s="6" t="n">
        <s:v>903.8119</s:v>
      </s:c>
      <s:c r="I256" s="6" t="n"/>
      <s:c r="J256" s="6" t="str">
        <s:f>IF(AND(COUNT(C256:I256)=7,COUNT('Потребление (МВт·ч)'!C256:I256)=7,SUM('Потребление (МВт·ч)'!C256:I256)&gt;0),SUMPRODUCT(C256:I256,'Потребление (МВт·ч)'!C256:I256)/SUM('Потребление (МВт·ч)'!C256:I256),"")</s:f>
      </s:c>
      <s:c r="K256" s="6" t="n">
        <s:f>IF(SUMIF(C256:I256,"&lt;&gt;",'Потребление (МВт·ч)'!C256:I256)&gt;0,SUMPRODUCT(C256:I256,'Потребление (МВт·ч)'!C256:I256)/SUMIF(C256:I256,"&lt;&gt;",'Потребление (МВт·ч)'!C256:I256),"")</s:f>
        <s:v>2123.1922632352894</s:v>
      </s:c>
      <s:c r="L256" s="6" t="n">
        <s:f>IF(COUNT(C256:I256)&gt;0,AVERAGE(C256:I256),"")</s:f>
        <s:v>2154.5852683333337</s:v>
      </s:c>
      <s:c r="M256" s="10" t="n">
        <s:f>COUNT(C256:I256)</s:f>
        <s:v>6</s:v>
      </s:c>
      <s:c r="N256" s="11" t="n">
        <s:f>IF(AND(COUNT('Потребление (МВт·ч)'!C256:I256)=7,SUM('Потребление (МВт·ч)'!C256:I256)&gt;0),SUMIF(C256:I256,"&lt;&gt;",'Потребление (МВт·ч)'!C256:I256)/SUM('Потребление (МВт·ч)'!C256:I256),"")</s:f>
        <s:v>0.9584401168769691</s:v>
      </s:c>
    </s:row>
    <s:row r="257">
      <s:c r="A257" s="5" t="n">
        <s:v>46276</s:v>
      </s:c>
      <s:c r="B257" s="2" t="n">
        <s:v>12</s:v>
      </s:c>
      <s:c r="C257" s="6" t="n">
        <s:v>1890.212</s:v>
      </s:c>
      <s:c r="D257" s="6" t="n">
        <s:v>2721.90967</s:v>
      </s:c>
      <s:c r="E257" s="6" t="n">
        <s:v>2804.31323</s:v>
      </s:c>
      <s:c r="F257" s="6" t="n">
        <s:v>2678.694</s:v>
      </s:c>
      <s:c r="G257" s="6" t="n">
        <s:v>2211.10449</s:v>
      </s:c>
      <s:c r="H257" s="6" t="n">
        <s:v>1084.30237</s:v>
      </s:c>
      <s:c r="I257" s="6" t="n"/>
      <s:c r="J257" s="6" t="str">
        <s:f>IF(AND(COUNT(C257:I257)=7,COUNT('Потребление (МВт·ч)'!C257:I257)=7,SUM('Потребление (МВт·ч)'!C257:I257)&gt;0),SUMPRODUCT(C257:I257,'Потребление (МВт·ч)'!C257:I257)/SUM('Потребление (МВт·ч)'!C257:I257),"")</s:f>
      </s:c>
      <s:c r="K257" s="6" t="n">
        <s:f>IF(SUMIF(C257:I257,"&lt;&gt;",'Потребление (МВт·ч)'!C257:I257)&gt;0,SUMPRODUCT(C257:I257,'Потребление (МВт·ч)'!C257:I257)/SUMIF(C257:I257,"&lt;&gt;",'Потребление (МВт·ч)'!C257:I257),"")</s:f>
        <s:v>2192.9257927247363</s:v>
      </s:c>
      <s:c r="L257" s="6" t="n">
        <s:f>IF(COUNT(C257:I257)&gt;0,AVERAGE(C257:I257),"")</s:f>
        <s:v>2231.75596</s:v>
      </s:c>
      <s:c r="M257" s="10" t="n">
        <s:f>COUNT(C257:I257)</s:f>
        <s:v>6</s:v>
      </s:c>
      <s:c r="N257" s="11" t="n">
        <s:f>IF(AND(COUNT('Потребление (МВт·ч)'!C257:I257)=7,SUM('Потребление (МВт·ч)'!C257:I257)&gt;0),SUMIF(C257:I257,"&lt;&gt;",'Потребление (МВт·ч)'!C257:I257)/SUM('Потребление (МВт·ч)'!C257:I257),"")</s:f>
        <s:v>0.9566072696699834</s:v>
      </s:c>
    </s:row>
    <s:row r="258">
      <s:c r="A258" s="5" t="n">
        <s:v>46276</s:v>
      </s:c>
      <s:c r="B258" s="2" t="n">
        <s:v>13</s:v>
      </s:c>
      <s:c r="C258" s="6" t="n">
        <s:v>1761.23767</s:v>
      </s:c>
      <s:c r="D258" s="6" t="n">
        <s:v>2765.29517</s:v>
      </s:c>
      <s:c r="E258" s="6" t="n">
        <s:v>2811.71948</s:v>
      </s:c>
      <s:c r="F258" s="6" t="n">
        <s:v>2730.31665</s:v>
      </s:c>
      <s:c r="G258" s="6" t="n">
        <s:v>2275.71387</s:v>
      </s:c>
      <s:c r="H258" s="6" t="n">
        <s:v>1245.87317</s:v>
      </s:c>
      <s:c r="I258" s="6" t="n"/>
      <s:c r="J258" s="6" t="str">
        <s:f>IF(AND(COUNT(C258:I258)=7,COUNT('Потребление (МВт·ч)'!C258:I258)=7,SUM('Потребление (МВт·ч)'!C258:I258)&gt;0),SUMPRODUCT(C258:I258,'Потребление (МВт·ч)'!C258:I258)/SUM('Потребление (МВт·ч)'!C258:I258),"")</s:f>
      </s:c>
      <s:c r="K258" s="6" t="n">
        <s:f>IF(SUMIF(C258:I258,"&lt;&gt;",'Потребление (МВт·ч)'!C258:I258)&gt;0,SUMPRODUCT(C258:I258,'Потребление (МВт·ч)'!C258:I258)/SUMIF(C258:I258,"&lt;&gt;",'Потребление (МВт·ч)'!C258:I258),"")</s:f>
        <s:v>2244.7873783199634</s:v>
      </s:c>
      <s:c r="L258" s="6" t="n">
        <s:f>IF(COUNT(C258:I258)&gt;0,AVERAGE(C258:I258),"")</s:f>
        <s:v>2265.0260016666666</s:v>
      </s:c>
      <s:c r="M258" s="10" t="n">
        <s:f>COUNT(C258:I258)</s:f>
        <s:v>6</s:v>
      </s:c>
      <s:c r="N258" s="11" t="n">
        <s:f>IF(AND(COUNT('Потребление (МВт·ч)'!C258:I258)=7,SUM('Потребление (МВт·ч)'!C258:I258)&gt;0),SUMIF(C258:I258,"&lt;&gt;",'Потребление (МВт·ч)'!C258:I258)/SUM('Потребление (МВт·ч)'!C258:I258),"")</s:f>
        <s:v>0.9561209949924684</s:v>
      </s:c>
    </s:row>
    <s:row r="259">
      <s:c r="A259" s="5" t="n">
        <s:v>46276</s:v>
      </s:c>
      <s:c r="B259" s="2" t="n">
        <s:v>14</s:v>
      </s:c>
      <s:c r="C259" s="6" t="n">
        <s:v>1783.584</s:v>
      </s:c>
      <s:c r="D259" s="6" t="n">
        <s:v>2638.23975</s:v>
      </s:c>
      <s:c r="E259" s="6" t="n">
        <s:v>2695.54346</s:v>
      </s:c>
      <s:c r="F259" s="6" t="n">
        <s:v>2632.09351</s:v>
      </s:c>
      <s:c r="G259" s="6" t="n">
        <s:v>2206.21</s:v>
      </s:c>
      <s:c r="H259" s="6" t="n">
        <s:v>1105.45667</s:v>
      </s:c>
      <s:c r="I259" s="6" t="n"/>
      <s:c r="J259" s="6" t="str">
        <s:f>IF(AND(COUNT(C259:I259)=7,COUNT('Потребление (МВт·ч)'!C259:I259)=7,SUM('Потребление (МВт·ч)'!C259:I259)&gt;0),SUMPRODUCT(C259:I259,'Потребление (МВт·ч)'!C259:I259)/SUM('Потребление (МВт·ч)'!C259:I259),"")</s:f>
      </s:c>
      <s:c r="K259" s="6" t="n">
        <s:f>IF(SUMIF(C259:I259,"&lt;&gt;",'Потребление (МВт·ч)'!C259:I259)&gt;0,SUMPRODUCT(C259:I259,'Потребление (МВт·ч)'!C259:I259)/SUMIF(C259:I259,"&lt;&gt;",'Потребление (МВт·ч)'!C259:I259),"")</s:f>
        <s:v>2147.578560042133</s:v>
      </s:c>
      <s:c r="L259" s="6" t="n">
        <s:f>IF(COUNT(C259:I259)&gt;0,AVERAGE(C259:I259),"")</s:f>
        <s:v>2176.854565</s:v>
      </s:c>
      <s:c r="M259" s="10" t="n">
        <s:f>COUNT(C259:I259)</s:f>
        <s:v>6</s:v>
      </s:c>
      <s:c r="N259" s="11" t="n">
        <s:f>IF(AND(COUNT('Потребление (МВт·ч)'!C259:I259)=7,SUM('Потребление (МВт·ч)'!C259:I259)&gt;0),SUMIF(C259:I259,"&lt;&gt;",'Потребление (МВт·ч)'!C259:I259)/SUM('Потребление (МВт·ч)'!C259:I259),"")</s:f>
        <s:v>0.9576852848152858</s:v>
      </s:c>
    </s:row>
    <s:row r="260">
      <s:c r="A260" s="5" t="n">
        <s:v>46276</s:v>
      </s:c>
      <s:c r="B260" s="2" t="n">
        <s:v>15</s:v>
      </s:c>
      <s:c r="C260" s="6" t="n">
        <s:v>2188.41187</s:v>
      </s:c>
      <s:c r="D260" s="6" t="n">
        <s:v>2502.64551</s:v>
      </s:c>
      <s:c r="E260" s="6" t="n">
        <s:v>2708.56958</s:v>
      </s:c>
      <s:c r="F260" s="6" t="n">
        <s:v>2618.346</s:v>
      </s:c>
      <s:c r="G260" s="6" t="n">
        <s:v>2236.81128</s:v>
      </s:c>
      <s:c r="H260" s="6" t="n">
        <s:v>1156.76514</s:v>
      </s:c>
      <s:c r="I260" s="6" t="n"/>
      <s:c r="J260" s="6" t="str">
        <s:f>IF(AND(COUNT(C260:I260)=7,COUNT('Потребление (МВт·ч)'!C260:I260)=7,SUM('Потребление (МВт·ч)'!C260:I260)&gt;0),SUMPRODUCT(C260:I260,'Потребление (МВт·ч)'!C260:I260)/SUM('Потребление (МВт·ч)'!C260:I260),"")</s:f>
      </s:c>
      <s:c r="K260" s="6" t="n">
        <s:f>IF(SUMIF(C260:I260,"&lt;&gt;",'Потребление (МВт·ч)'!C260:I260)&gt;0,SUMPRODUCT(C260:I260,'Потребление (МВт·ч)'!C260:I260)/SUMIF(C260:I260,"&lt;&gt;",'Потребление (МВт·ч)'!C260:I260),"")</s:f>
        <s:v>2166.914979849261</s:v>
      </s:c>
      <s:c r="L260" s="6" t="n">
        <s:f>IF(COUNT(C260:I260)&gt;0,AVERAGE(C260:I260),"")</s:f>
        <s:v>2235.25823</s:v>
      </s:c>
      <s:c r="M260" s="10" t="n">
        <s:f>COUNT(C260:I260)</s:f>
        <s:v>6</s:v>
      </s:c>
      <s:c r="N260" s="11" t="n">
        <s:f>IF(AND(COUNT('Потребление (МВт·ч)'!C260:I260)=7,SUM('Потребление (МВт·ч)'!C260:I260)&gt;0),SUMIF(C260:I260,"&lt;&gt;",'Потребление (МВт·ч)'!C260:I260)/SUM('Потребление (МВт·ч)'!C260:I260),"")</s:f>
        <s:v>0.9589482751548464</s:v>
      </s:c>
    </s:row>
    <s:row r="261">
      <s:c r="A261" s="5" t="n">
        <s:v>46276</s:v>
      </s:c>
      <s:c r="B261" s="2" t="n">
        <s:v>16</s:v>
      </s:c>
      <s:c r="C261" s="6" t="n">
        <s:v>1896.32935</s:v>
      </s:c>
      <s:c r="D261" s="6" t="n">
        <s:v>2475.15625</s:v>
      </s:c>
      <s:c r="E261" s="6" t="n">
        <s:v>2727.20874</s:v>
      </s:c>
      <s:c r="F261" s="6" t="n">
        <s:v>2616.661</s:v>
      </s:c>
      <s:c r="G261" s="6" t="n">
        <s:v>2286.62378</s:v>
      </s:c>
      <s:c r="H261" s="6" t="n">
        <s:v>1448.54846</s:v>
      </s:c>
      <s:c r="I261" s="6" t="n"/>
      <s:c r="J261" s="6" t="str">
        <s:f>IF(AND(COUNT(C261:I261)=7,COUNT('Потребление (МВт·ч)'!C261:I261)=7,SUM('Потребление (МВт·ч)'!C261:I261)&gt;0),SUMPRODUCT(C261:I261,'Потребление (МВт·ч)'!C261:I261)/SUM('Потребление (МВт·ч)'!C261:I261),"")</s:f>
      </s:c>
      <s:c r="K261" s="6" t="n">
        <s:f>IF(SUMIF(C261:I261,"&lt;&gt;",'Потребление (МВт·ч)'!C261:I261)&gt;0,SUMPRODUCT(C261:I261,'Потребление (МВт·ч)'!C261:I261)/SUMIF(C261:I261,"&lt;&gt;",'Потребление (МВт·ч)'!C261:I261),"")</s:f>
        <s:v>2204.9595535011995</s:v>
      </s:c>
      <s:c r="L261" s="6" t="n">
        <s:f>IF(COUNT(C261:I261)&gt;0,AVERAGE(C261:I261),"")</s:f>
        <s:v>2241.7545966666667</s:v>
      </s:c>
      <s:c r="M261" s="10" t="n">
        <s:f>COUNT(C261:I261)</s:f>
        <s:v>6</s:v>
      </s:c>
      <s:c r="N261" s="11" t="n">
        <s:f>IF(AND(COUNT('Потребление (МВт·ч)'!C261:I261)=7,SUM('Потребление (МВт·ч)'!C261:I261)&gt;0),SUMIF(C261:I261,"&lt;&gt;",'Потребление (МВт·ч)'!C261:I261)/SUM('Потребление (МВт·ч)'!C261:I261),"")</s:f>
        <s:v>0.960251236711053</s:v>
      </s:c>
    </s:row>
    <s:row r="262">
      <s:c r="A262" s="5" t="n">
        <s:v>46276</s:v>
      </s:c>
      <s:c r="B262" s="2" t="n">
        <s:v>17</s:v>
      </s:c>
      <s:c r="C262" s="6" t="n">
        <s:v>1760.53821</s:v>
      </s:c>
      <s:c r="D262" s="6" t="n">
        <s:v>2392.61182</s:v>
      </s:c>
      <s:c r="E262" s="6" t="n">
        <s:v>2682.37036</s:v>
      </s:c>
      <s:c r="F262" s="6" t="n">
        <s:v>2549.386</s:v>
      </s:c>
      <s:c r="G262" s="6" t="n">
        <s:v>2213.07715</s:v>
      </s:c>
      <s:c r="H262" s="6" t="n">
        <s:v>1269.72021</s:v>
      </s:c>
      <s:c r="I262" s="6" t="n"/>
      <s:c r="J262" s="6" t="str">
        <s:f>IF(AND(COUNT(C262:I262)=7,COUNT('Потребление (МВт·ч)'!C262:I262)=7,SUM('Потребление (МВт·ч)'!C262:I262)&gt;0),SUMPRODUCT(C262:I262,'Потребление (МВт·ч)'!C262:I262)/SUM('Потребление (МВт·ч)'!C262:I262),"")</s:f>
      </s:c>
      <s:c r="K262" s="6" t="n">
        <s:f>IF(SUMIF(C262:I262,"&lt;&gt;",'Потребление (МВт·ч)'!C262:I262)&gt;0,SUMPRODUCT(C262:I262,'Потребление (МВт·ч)'!C262:I262)/SUMIF(C262:I262,"&lt;&gt;",'Потребление (МВт·ч)'!C262:I262),"")</s:f>
        <s:v>2104.516660099417</s:v>
      </s:c>
      <s:c r="L262" s="6" t="n">
        <s:f>IF(COUNT(C262:I262)&gt;0,AVERAGE(C262:I262),"")</s:f>
        <s:v>2144.617291666667</s:v>
      </s:c>
      <s:c r="M262" s="10" t="n">
        <s:f>COUNT(C262:I262)</s:f>
        <s:v>6</s:v>
      </s:c>
      <s:c r="N262" s="11" t="n">
        <s:f>IF(AND(COUNT('Потребление (МВт·ч)'!C262:I262)=7,SUM('Потребление (МВт·ч)'!C262:I262)&gt;0),SUMIF(C262:I262,"&lt;&gt;",'Потребление (МВт·ч)'!C262:I262)/SUM('Потребление (МВт·ч)'!C262:I262),"")</s:f>
        <s:v>0.960578273440727</s:v>
      </s:c>
    </s:row>
    <s:row r="263">
      <s:c r="A263" s="5" t="n">
        <s:v>46276</s:v>
      </s:c>
      <s:c r="B263" s="2" t="n">
        <s:v>18</s:v>
      </s:c>
      <s:c r="C263" s="6" t="n">
        <s:v>2027.96692</s:v>
      </s:c>
      <s:c r="D263" s="6" t="n">
        <s:v>2386.727</s:v>
      </s:c>
      <s:c r="E263" s="6" t="n">
        <s:v>2719.98926</s:v>
      </s:c>
      <s:c r="F263" s="6" t="n">
        <s:v>2525.68237</s:v>
      </s:c>
      <s:c r="G263" s="6" t="n">
        <s:v>2125.571</s:v>
      </s:c>
      <s:c r="H263" s="6" t="n">
        <s:v>264.447418</s:v>
      </s:c>
      <s:c r="I263" s="6" t="n"/>
      <s:c r="J263" s="6" t="str">
        <s:f>IF(AND(COUNT(C263:I263)=7,COUNT('Потребление (МВт·ч)'!C263:I263)=7,SUM('Потребление (МВт·ч)'!C263:I263)&gt;0),SUMPRODUCT(C263:I263,'Потребление (МВт·ч)'!C263:I263)/SUM('Потребление (МВт·ч)'!C263:I263),"")</s:f>
      </s:c>
      <s:c r="K263" s="6" t="n">
        <s:f>IF(SUMIF(C263:I263,"&lt;&gt;",'Потребление (МВт·ч)'!C263:I263)&gt;0,SUMPRODUCT(C263:I263,'Потребление (МВт·ч)'!C263:I263)/SUMIF(C263:I263,"&lt;&gt;",'Потребление (МВт·ч)'!C263:I263),"")</s:f>
        <s:v>1916.0141169484039</s:v>
      </s:c>
      <s:c r="L263" s="6" t="n">
        <s:f>IF(COUNT(C263:I263)&gt;0,AVERAGE(C263:I263),"")</s:f>
        <s:v>2008.397328</s:v>
      </s:c>
      <s:c r="M263" s="10" t="n">
        <s:f>COUNT(C263:I263)</s:f>
        <s:v>6</s:v>
      </s:c>
      <s:c r="N263" s="11" t="n">
        <s:f>IF(AND(COUNT('Потребление (МВт·ч)'!C263:I263)=7,SUM('Потребление (МВт·ч)'!C263:I263)&gt;0),SUMIF(C263:I263,"&lt;&gt;",'Потребление (МВт·ч)'!C263:I263)/SUM('Потребление (МВт·ч)'!C263:I263),"")</s:f>
        <s:v>0.9625100190879118</s:v>
      </s:c>
    </s:row>
    <s:row r="264">
      <s:c r="A264" s="5" t="n">
        <s:v>46276</s:v>
      </s:c>
      <s:c r="B264" s="2" t="n">
        <s:v>19</s:v>
      </s:c>
      <s:c r="C264" s="6" t="n">
        <s:v>1913.92493</s:v>
      </s:c>
      <s:c r="D264" s="6" t="n">
        <s:v>2483.725</s:v>
      </s:c>
      <s:c r="E264" s="6" t="n">
        <s:v>2772.3645</s:v>
      </s:c>
      <s:c r="F264" s="6" t="n">
        <s:v>2563.51563</s:v>
      </s:c>
      <s:c r="G264" s="6" t="n">
        <s:v>2067.10229</s:v>
      </s:c>
      <s:c r="H264" s="6" t="n">
        <s:v>652.0825</s:v>
      </s:c>
      <s:c r="I264" s="6" t="n"/>
      <s:c r="J264" s="6" t="str">
        <s:f>IF(AND(COUNT(C264:I264)=7,COUNT('Потребление (МВт·ч)'!C264:I264)=7,SUM('Потребление (МВт·ч)'!C264:I264)&gt;0),SUMPRODUCT(C264:I264,'Потребление (МВт·ч)'!C264:I264)/SUM('Потребление (МВт·ч)'!C264:I264),"")</s:f>
      </s:c>
      <s:c r="K264" s="6" t="n">
        <s:f>IF(SUMIF(C264:I264,"&lt;&gt;",'Потребление (МВт·ч)'!C264:I264)&gt;0,SUMPRODUCT(C264:I264,'Потребление (МВт·ч)'!C264:I264)/SUMIF(C264:I264,"&lt;&gt;",'Потребление (МВт·ч)'!C264:I264),"")</s:f>
        <s:v>2013.1275362882855</s:v>
      </s:c>
      <s:c r="L264" s="6" t="n">
        <s:f>IF(COUNT(C264:I264)&gt;0,AVERAGE(C264:I264),"")</s:f>
        <s:v>2075.452475</s:v>
      </s:c>
      <s:c r="M264" s="10" t="n">
        <s:f>COUNT(C264:I264)</s:f>
        <s:v>6</s:v>
      </s:c>
      <s:c r="N264" s="11" t="n">
        <s:f>IF(AND(COUNT('Потребление (МВт·ч)'!C264:I264)=7,SUM('Потребление (МВт·ч)'!C264:I264)&gt;0),SUMIF(C264:I264,"&lt;&gt;",'Потребление (МВт·ч)'!C264:I264)/SUM('Потребление (МВт·ч)'!C264:I264),"")</s:f>
        <s:v>0.9622827918870227</s:v>
      </s:c>
    </s:row>
    <s:row r="265">
      <s:c r="A265" s="5" t="n">
        <s:v>46276</s:v>
      </s:c>
      <s:c r="B265" s="2" t="n">
        <s:v>20</s:v>
      </s:c>
      <s:c r="C265" s="6" t="n">
        <s:v>1946.80237</s:v>
      </s:c>
      <s:c r="D265" s="6" t="n">
        <s:v>2619.90234</s:v>
      </s:c>
      <s:c r="E265" s="6" t="n">
        <s:v>2857.33228</s:v>
      </s:c>
      <s:c r="F265" s="6" t="n">
        <s:v>2594.28345</s:v>
      </s:c>
      <s:c r="G265" s="6" t="n">
        <s:v>1716.68127</s:v>
      </s:c>
      <s:c r="H265" s="6" t="n">
        <s:v>41.9645424</s:v>
      </s:c>
      <s:c r="I265" s="6" t="n"/>
      <s:c r="J265" s="6" t="str">
        <s:f>IF(AND(COUNT(C265:I265)=7,COUNT('Потребление (МВт·ч)'!C265:I265)=7,SUM('Потребление (МВт·ч)'!C265:I265)&gt;0),SUMPRODUCT(C265:I265,'Потребление (МВт·ч)'!C265:I265)/SUM('Потребление (МВт·ч)'!C265:I265),"")</s:f>
      </s:c>
      <s:c r="K265" s="6" t="n">
        <s:f>IF(SUMIF(C265:I265,"&lt;&gt;",'Потребление (МВт·ч)'!C265:I265)&gt;0,SUMPRODUCT(C265:I265,'Потребление (МВт·ч)'!C265:I265)/SUMIF(C265:I265,"&lt;&gt;",'Потребление (МВт·ч)'!C265:I265),"")</s:f>
        <s:v>1861.8966398452853</s:v>
      </s:c>
      <s:c r="L265" s="6" t="n">
        <s:f>IF(COUNT(C265:I265)&gt;0,AVERAGE(C265:I265),"")</s:f>
        <s:v>1962.8277087333333</s:v>
      </s:c>
      <s:c r="M265" s="10" t="n">
        <s:f>COUNT(C265:I265)</s:f>
        <s:v>6</s:v>
      </s:c>
      <s:c r="N265" s="11" t="n">
        <s:f>IF(AND(COUNT('Потребление (МВт·ч)'!C265:I265)=7,SUM('Потребление (МВт·ч)'!C265:I265)&gt;0),SUMIF(C265:I265,"&lt;&gt;",'Потребление (МВт·ч)'!C265:I265)/SUM('Потребление (МВт·ч)'!C265:I265),"")</s:f>
        <s:v>0.9624187024616089</s:v>
      </s:c>
    </s:row>
    <s:row r="266">
      <s:c r="A266" s="5" t="n">
        <s:v>46276</s:v>
      </s:c>
      <s:c r="B266" s="2" t="n">
        <s:v>21</s:v>
      </s:c>
      <s:c r="C266" s="6" t="n">
        <s:v>1770.32971</s:v>
      </s:c>
      <s:c r="D266" s="6" t="n">
        <s:v>2416.957</s:v>
      </s:c>
      <s:c r="E266" s="6" t="n">
        <s:v>2768.09619</s:v>
      </s:c>
      <s:c r="F266" s="6" t="n">
        <s:v>2479.69873</s:v>
      </s:c>
      <s:c r="G266" s="6" t="n">
        <s:v>1821.74463</s:v>
      </s:c>
      <s:c r="H266" s="6" t="n">
        <s:v>547.869751</s:v>
      </s:c>
      <s:c r="I266" s="6" t="n"/>
      <s:c r="J266" s="6" t="str">
        <s:f>IF(AND(COUNT(C266:I266)=7,COUNT('Потребление (МВт·ч)'!C266:I266)=7,SUM('Потребление (МВт·ч)'!C266:I266)&gt;0),SUMPRODUCT(C266:I266,'Потребление (МВт·ч)'!C266:I266)/SUM('Потребление (МВт·ч)'!C266:I266),"")</s:f>
      </s:c>
      <s:c r="K266" s="6" t="n">
        <s:f>IF(SUMIF(C266:I266,"&lt;&gt;",'Потребление (МВт·ч)'!C266:I266)&gt;0,SUMPRODUCT(C266:I266,'Потребление (МВт·ч)'!C266:I266)/SUMIF(C266:I266,"&lt;&gt;",'Потребление (МВт·ч)'!C266:I266),"")</s:f>
        <s:v>1886.163078527558</s:v>
      </s:c>
      <s:c r="L266" s="6" t="n">
        <s:f>IF(COUNT(C266:I266)&gt;0,AVERAGE(C266:I266),"")</s:f>
        <s:v>1967.4493351666667</s:v>
      </s:c>
      <s:c r="M266" s="10" t="n">
        <s:f>COUNT(C266:I266)</s:f>
        <s:v>6</s:v>
      </s:c>
      <s:c r="N266" s="11" t="n">
        <s:f>IF(AND(COUNT('Потребление (МВт·ч)'!C266:I266)=7,SUM('Потребление (МВт·ч)'!C266:I266)&gt;0),SUMIF(C266:I266,"&lt;&gt;",'Потребление (МВт·ч)'!C266:I266)/SUM('Потребление (МВт·ч)'!C266:I266),"")</s:f>
        <s:v>0.9613924821978864</s:v>
      </s:c>
    </s:row>
    <s:row r="267">
      <s:c r="A267" s="5" t="n">
        <s:v>46276</s:v>
      </s:c>
      <s:c r="B267" s="2" t="n">
        <s:v>22</s:v>
      </s:c>
      <s:c r="C267" s="6" t="n">
        <s:v>1095.95776</s:v>
      </s:c>
      <s:c r="D267" s="6" t="n">
        <s:v>1498.84363</s:v>
      </s:c>
      <s:c r="E267" s="6" t="n">
        <s:v>1564.646</s:v>
      </s:c>
      <s:c r="F267" s="6" t="n">
        <s:v>1511.12378</s:v>
      </s:c>
      <s:c r="G267" s="6" t="n">
        <s:v>1307.80225</s:v>
      </s:c>
      <s:c r="H267" s="6" t="n">
        <s:v>174.216263</s:v>
      </s:c>
      <s:c r="I267" s="6" t="n"/>
      <s:c r="J267" s="6" t="str">
        <s:f>IF(AND(COUNT(C267:I267)=7,COUNT('Потребление (МВт·ч)'!C267:I267)=7,SUM('Потребление (МВт·ч)'!C267:I267)&gt;0),SUMPRODUCT(C267:I267,'Потребление (МВт·ч)'!C267:I267)/SUM('Потребление (МВт·ч)'!C267:I267),"")</s:f>
      </s:c>
      <s:c r="K267" s="6" t="n">
        <s:f>IF(SUMIF(C267:I267,"&lt;&gt;",'Потребление (МВт·ч)'!C267:I267)&gt;0,SUMPRODUCT(C267:I267,'Потребление (МВт·ч)'!C267:I267)/SUMIF(C267:I267,"&lt;&gt;",'Потребление (МВт·ч)'!C267:I267),"")</s:f>
        <s:v>1149.3208471339976</s:v>
      </s:c>
      <s:c r="L267" s="6" t="n">
        <s:f>IF(COUNT(C267:I267)&gt;0,AVERAGE(C267:I267),"")</s:f>
        <s:v>1192.0982805</s:v>
      </s:c>
      <s:c r="M267" s="10" t="n">
        <s:f>COUNT(C267:I267)</s:f>
        <s:v>6</s:v>
      </s:c>
      <s:c r="N267" s="11" t="n">
        <s:f>IF(AND(COUNT('Потребление (МВт·ч)'!C267:I267)=7,SUM('Потребление (МВт·ч)'!C267:I267)&gt;0),SUMIF(C267:I267,"&lt;&gt;",'Потребление (МВт·ч)'!C267:I267)/SUM('Потребление (МВт·ч)'!C267:I267),"")</s:f>
        <s:v>0.9595357420708871</s:v>
      </s:c>
    </s:row>
    <s:row r="268">
      <s:c r="A268" s="5" t="n">
        <s:v>46276</s:v>
      </s:c>
      <s:c r="B268" s="2" t="n">
        <s:v>23</s:v>
      </s:c>
      <s:c r="C268" s="6" t="n">
        <s:v>1345.56458</s:v>
      </s:c>
      <s:c r="D268" s="6" t="n">
        <s:v>1762.556</s:v>
      </s:c>
      <s:c r="E268" s="6" t="n">
        <s:v>1551.96655</s:v>
      </s:c>
      <s:c r="F268" s="6" t="n">
        <s:v>1826.57092</s:v>
      </s:c>
      <s:c r="G268" s="6" t="n">
        <s:v>1564.70557</s:v>
      </s:c>
      <s:c r="H268" s="6" t="n">
        <s:v>548.3759</s:v>
      </s:c>
      <s:c r="I268" s="6" t="n"/>
      <s:c r="J268" s="6" t="str">
        <s:f>IF(AND(COUNT(C268:I268)=7,COUNT('Потребление (МВт·ч)'!C268:I268)=7,SUM('Потребление (МВт·ч)'!C268:I268)&gt;0),SUMPRODUCT(C268:I268,'Потребление (МВт·ч)'!C268:I268)/SUM('Потребление (МВт·ч)'!C268:I268),"")</s:f>
      </s:c>
      <s:c r="K268" s="6" t="n">
        <s:f>IF(SUMIF(C268:I268,"&lt;&gt;",'Потребление (МВт·ч)'!C268:I268)&gt;0,SUMPRODUCT(C268:I268,'Потребление (МВт·ч)'!C268:I268)/SUMIF(C268:I268,"&lt;&gt;",'Потребление (МВт·ч)'!C268:I268),"")</s:f>
        <s:v>1400.709975559869</s:v>
      </s:c>
      <s:c r="L268" s="6" t="n">
        <s:f>IF(COUNT(C268:I268)&gt;0,AVERAGE(C268:I268),"")</s:f>
        <s:v>1433.28992</s:v>
      </s:c>
      <s:c r="M268" s="10" t="n">
        <s:f>COUNT(C268:I268)</s:f>
        <s:v>6</s:v>
      </s:c>
      <s:c r="N268" s="11" t="n">
        <s:f>IF(AND(COUNT('Потребление (МВт·ч)'!C268:I268)=7,SUM('Потребление (МВт·ч)'!C268:I268)&gt;0),SUMIF(C268:I268,"&lt;&gt;",'Потребление (МВт·ч)'!C268:I268)/SUM('Потребление (МВт·ч)'!C268:I268),"")</s:f>
        <s:v>0.9566685688092276</s:v>
      </s:c>
    </s:row>
    <s:row r="269">
      <s:c r="A269" s="5" t="n">
        <s:v>46277</s:v>
      </s:c>
      <s:c r="B269" s="2" t="n">
        <s:v>0</s:v>
      </s:c>
      <s:c r="C269" s="6" t="n">
        <s:v>1269.45435</s:v>
      </s:c>
      <s:c r="D269" s="6" t="n">
        <s:v>1562.627</s:v>
      </s:c>
      <s:c r="E269" s="6" t="n">
        <s:v>1470.534</s:v>
      </s:c>
      <s:c r="F269" s="6" t="n">
        <s:v>1750.24414</s:v>
      </s:c>
      <s:c r="G269" s="6" t="n">
        <s:v>1606.18738</s:v>
      </s:c>
      <s:c r="H269" s="6" t="n">
        <s:v>457.6511</s:v>
      </s:c>
      <s:c r="I269" s="6" t="n"/>
      <s:c r="J269" s="6" t="str">
        <s:f>IF(AND(COUNT(C269:I269)=7,COUNT('Потребление (МВт·ч)'!C269:I269)=7,SUM('Потребление (МВт·ч)'!C269:I269)&gt;0),SUMPRODUCT(C269:I269,'Потребление (МВт·ч)'!C269:I269)/SUM('Потребление (МВт·ч)'!C269:I269),"")</s:f>
      </s:c>
      <s:c r="K269" s="6" t="n">
        <s:f>IF(SUMIF(C269:I269,"&lt;&gt;",'Потребление (МВт·ч)'!C269:I269)&gt;0,SUMPRODUCT(C269:I269,'Потребление (МВт·ч)'!C269:I269)/SUMIF(C269:I269,"&lt;&gt;",'Потребление (МВт·ч)'!C269:I269),"")</s:f>
        <s:v>1312.087914485473</s:v>
      </s:c>
      <s:c r="L269" s="6" t="n">
        <s:f>IF(COUNT(C269:I269)&gt;0,AVERAGE(C269:I269),"")</s:f>
        <s:v>1352.782995</s:v>
      </s:c>
      <s:c r="M269" s="10" t="n">
        <s:f>COUNT(C269:I269)</s:f>
        <s:v>6</s:v>
      </s:c>
      <s:c r="N269" s="11" t="n">
        <s:f>IF(AND(COUNT('Потребление (МВт·ч)'!C269:I269)=7,SUM('Потребление (МВт·ч)'!C269:I269)&gt;0),SUMIF(C269:I269,"&lt;&gt;",'Потребление (МВт·ч)'!C269:I269)/SUM('Потребление (МВт·ч)'!C269:I269),"")</s:f>
        <s:v>0.9535624922699293</s:v>
      </s:c>
    </s:row>
    <s:row r="270">
      <s:c r="A270" s="5" t="n">
        <s:v>46277</s:v>
      </s:c>
      <s:c r="B270" s="2" t="n">
        <s:v>1</s:v>
      </s:c>
      <s:c r="C270" s="6" t="n">
        <s:v>1281.54468</s:v>
      </s:c>
      <s:c r="D270" s="6" t="n">
        <s:v>1551.66882</s:v>
      </s:c>
      <s:c r="E270" s="6" t="n">
        <s:v>1455.83325</s:v>
      </s:c>
      <s:c r="F270" s="6" t="n">
        <s:v>1748.75659</s:v>
      </s:c>
      <s:c r="G270" s="6" t="n">
        <s:v>1609.54407</s:v>
      </s:c>
      <s:c r="H270" s="6" t="n">
        <s:v>456.020752</s:v>
      </s:c>
      <s:c r="I270" s="6" t="n"/>
      <s:c r="J270" s="6" t="str">
        <s:f>IF(AND(COUNT(C270:I270)=7,COUNT('Потребление (МВт·ч)'!C270:I270)=7,SUM('Потребление (МВт·ч)'!C270:I270)&gt;0),SUMPRODUCT(C270:I270,'Потребление (МВт·ч)'!C270:I270)/SUM('Потребление (МВт·ч)'!C270:I270),"")</s:f>
      </s:c>
      <s:c r="K270" s="6" t="n">
        <s:f>IF(SUMIF(C270:I270,"&lt;&gt;",'Потребление (МВт·ч)'!C270:I270)&gt;0,SUMPRODUCT(C270:I270,'Потребление (МВт·ч)'!C270:I270)/SUMIF(C270:I270,"&lt;&gt;",'Потребление (МВт·ч)'!C270:I270),"")</s:f>
        <s:v>1304.8902735275494</s:v>
      </s:c>
      <s:c r="L270" s="6" t="n">
        <s:f>IF(COUNT(C270:I270)&gt;0,AVERAGE(C270:I270),"")</s:f>
        <s:v>1350.5613603333334</s:v>
      </s:c>
      <s:c r="M270" s="10" t="n">
        <s:f>COUNT(C270:I270)</s:f>
        <s:v>6</s:v>
      </s:c>
      <s:c r="N270" s="11" t="n">
        <s:f>IF(AND(COUNT('Потребление (МВт·ч)'!C270:I270)=7,SUM('Потребление (МВт·ч)'!C270:I270)&gt;0),SUMIF(C270:I270,"&lt;&gt;",'Потребление (МВт·ч)'!C270:I270)/SUM('Потребление (МВт·ч)'!C270:I270),"")</s:f>
        <s:v>0.9504579517069109</s:v>
      </s:c>
    </s:row>
    <s:row r="271">
      <s:c r="A271" s="5" t="n">
        <s:v>46277</s:v>
      </s:c>
      <s:c r="B271" s="2" t="n">
        <s:v>2</s:v>
      </s:c>
      <s:c r="C271" s="6" t="n">
        <s:v>1243.86511</s:v>
      </s:c>
      <s:c r="D271" s="6" t="n">
        <s:v>1476.68152</s:v>
      </s:c>
      <s:c r="E271" s="6" t="n">
        <s:v>1412.24939</s:v>
      </s:c>
      <s:c r="F271" s="6" t="n">
        <s:v>1712.331</s:v>
      </s:c>
      <s:c r="G271" s="6" t="n">
        <s:v>1599.95691</s:v>
      </s:c>
      <s:c r="H271" s="6" t="n">
        <s:v>530.2787</s:v>
      </s:c>
      <s:c r="I271" s="6" t="n"/>
      <s:c r="J271" s="6" t="str">
        <s:f>IF(AND(COUNT(C271:I271)=7,COUNT('Потребление (МВт·ч)'!C271:I271)=7,SUM('Потребление (МВт·ч)'!C271:I271)&gt;0),SUMPRODUCT(C271:I271,'Потребление (МВт·ч)'!C271:I271)/SUM('Потребление (МВт·ч)'!C271:I271),"")</s:f>
      </s:c>
      <s:c r="K271" s="6" t="n">
        <s:f>IF(SUMIF(C271:I271,"&lt;&gt;",'Потребление (МВт·ч)'!C271:I271)&gt;0,SUMPRODUCT(C271:I271,'Потребление (МВт·ч)'!C271:I271)/SUMIF(C271:I271,"&lt;&gt;",'Потребление (МВт·ч)'!C271:I271),"")</s:f>
        <s:v>1284.5486806897782</s:v>
      </s:c>
      <s:c r="L271" s="6" t="n">
        <s:f>IF(COUNT(C271:I271)&gt;0,AVERAGE(C271:I271),"")</s:f>
        <s:v>1329.227105</s:v>
      </s:c>
      <s:c r="M271" s="10" t="n">
        <s:f>COUNT(C271:I271)</s:f>
        <s:v>6</s:v>
      </s:c>
      <s:c r="N271" s="11" t="n">
        <s:f>IF(AND(COUNT('Потребление (МВт·ч)'!C271:I271)=7,SUM('Потребление (МВт·ч)'!C271:I271)&gt;0),SUMIF(C271:I271,"&lt;&gt;",'Потребление (МВт·ч)'!C271:I271)/SUM('Потребление (МВт·ч)'!C271:I271),"")</s:f>
        <s:v>0.9492280772986089</s:v>
      </s:c>
    </s:row>
    <s:row r="272">
      <s:c r="A272" s="5" t="n">
        <s:v>46277</s:v>
      </s:c>
      <s:c r="B272" s="2" t="n">
        <s:v>3</s:v>
      </s:c>
      <s:c r="C272" s="6" t="n">
        <s:v>198.798187</s:v>
      </s:c>
      <s:c r="D272" s="6" t="n">
        <s:v>1560.95386</s:v>
      </s:c>
      <s:c r="E272" s="6" t="n">
        <s:v>1509.84351</s:v>
      </s:c>
      <s:c r="F272" s="6" t="n">
        <s:v>1756.81982</s:v>
      </s:c>
      <s:c r="G272" s="6" t="n">
        <s:v>1630.22607</s:v>
      </s:c>
      <s:c r="H272" s="6" t="n">
        <s:v>742.3942</s:v>
      </s:c>
      <s:c r="I272" s="6" t="n"/>
      <s:c r="J272" s="6" t="str">
        <s:f>IF(AND(COUNT(C272:I272)=7,COUNT('Потребление (МВт·ч)'!C272:I272)=7,SUM('Потребление (МВт·ч)'!C272:I272)&gt;0),SUMPRODUCT(C272:I272,'Потребление (МВт·ч)'!C272:I272)/SUM('Потребление (МВт·ч)'!C272:I272),"")</s:f>
      </s:c>
      <s:c r="K272" s="6" t="n">
        <s:f>IF(SUMIF(C272:I272,"&lt;&gt;",'Потребление (МВт·ч)'!C272:I272)&gt;0,SUMPRODUCT(C272:I272,'Потребление (МВт·ч)'!C272:I272)/SUMIF(C272:I272,"&lt;&gt;",'Потребление (МВт·ч)'!C272:I272),"")</s:f>
        <s:v>1276.9276145772071</s:v>
      </s:c>
      <s:c r="L272" s="6" t="n">
        <s:f>IF(COUNT(C272:I272)&gt;0,AVERAGE(C272:I272),"")</s:f>
        <s:v>1233.1726078333334</s:v>
      </s:c>
      <s:c r="M272" s="10" t="n">
        <s:f>COUNT(C272:I272)</s:f>
        <s:v>6</s:v>
      </s:c>
      <s:c r="N272" s="11" t="n">
        <s:f>IF(AND(COUNT('Потребление (МВт·ч)'!C272:I272)=7,SUM('Потребление (МВт·ч)'!C272:I272)&gt;0),SUMIF(C272:I272,"&lt;&gt;",'Потребление (МВт·ч)'!C272:I272)/SUM('Потребление (МВт·ч)'!C272:I272),"")</s:f>
        <s:v>0.9481209740316011</s:v>
      </s:c>
    </s:row>
    <s:row r="273">
      <s:c r="A273" s="5" t="n">
        <s:v>46277</s:v>
      </s:c>
      <s:c r="B273" s="2" t="n">
        <s:v>4</s:v>
      </s:c>
      <s:c r="C273" s="6" t="n">
        <s:v>140.1513</s:v>
      </s:c>
      <s:c r="D273" s="6" t="n">
        <s:v>1678.29932</s:v>
      </s:c>
      <s:c r="E273" s="6" t="n">
        <s:v>1603.58569</s:v>
      </s:c>
      <s:c r="F273" s="6" t="n">
        <s:v>1795.64722</s:v>
      </s:c>
      <s:c r="G273" s="6" t="n">
        <s:v>1643.16956</s:v>
      </s:c>
      <s:c r="H273" s="6" t="n">
        <s:v>743.0728</s:v>
      </s:c>
      <s:c r="I273" s="6" t="n"/>
      <s:c r="J273" s="6" t="str">
        <s:f>IF(AND(COUNT(C273:I273)=7,COUNT('Потребление (МВт·ч)'!C273:I273)=7,SUM('Потребление (МВт·ч)'!C273:I273)&gt;0),SUMPRODUCT(C273:I273,'Потребление (МВт·ч)'!C273:I273)/SUM('Потребление (МВт·ч)'!C273:I273),"")</s:f>
      </s:c>
      <s:c r="K273" s="6" t="n">
        <s:f>IF(SUMIF(C273:I273,"&lt;&gt;",'Потребление (МВт·ч)'!C273:I273)&gt;0,SUMPRODUCT(C273:I273,'Потребление (МВт·ч)'!C273:I273)/SUMIF(C273:I273,"&lt;&gt;",'Потребление (МВт·ч)'!C273:I273),"")</s:f>
        <s:v>1311.1501852055935</s:v>
      </s:c>
      <s:c r="L273" s="6" t="n">
        <s:f>IF(COUNT(C273:I273)&gt;0,AVERAGE(C273:I273),"")</s:f>
        <s:v>1267.3209816666667</s:v>
      </s:c>
      <s:c r="M273" s="10" t="n">
        <s:f>COUNT(C273:I273)</s:f>
        <s:v>6</s:v>
      </s:c>
      <s:c r="N273" s="11" t="n">
        <s:f>IF(AND(COUNT('Потребление (МВт·ч)'!C273:I273)=7,SUM('Потребление (МВт·ч)'!C273:I273)&gt;0),SUMIF(C273:I273,"&lt;&gt;",'Потребление (МВт·ч)'!C273:I273)/SUM('Потребление (МВт·ч)'!C273:I273),"")</s:f>
        <s:v>0.9499233472038393</s:v>
      </s:c>
    </s:row>
    <s:row r="274">
      <s:c r="A274" s="5" t="n">
        <s:v>46277</s:v>
      </s:c>
      <s:c r="B274" s="2" t="n">
        <s:v>5</s:v>
      </s:c>
      <s:c r="C274" s="6" t="n">
        <s:v>173.794067</s:v>
      </s:c>
      <s:c r="D274" s="6" t="n">
        <s:v>1745.23364</s:v>
      </s:c>
      <s:c r="E274" s="6" t="n">
        <s:v>1704.57629</s:v>
      </s:c>
      <s:c r="F274" s="6" t="n">
        <s:v>1886.77014</s:v>
      </s:c>
      <s:c r="G274" s="6" t="n">
        <s:v>1689.325</s:v>
      </s:c>
      <s:c r="H274" s="6" t="n">
        <s:v>749.7038</s:v>
      </s:c>
      <s:c r="I274" s="6" t="n"/>
      <s:c r="J274" s="6" t="str">
        <s:f>IF(AND(COUNT(C274:I274)=7,COUNT('Потребление (МВт·ч)'!C274:I274)=7,SUM('Потребление (МВт·ч)'!C274:I274)&gt;0),SUMPRODUCT(C274:I274,'Потребление (МВт·ч)'!C274:I274)/SUM('Потребление (МВт·ч)'!C274:I274),"")</s:f>
      </s:c>
      <s:c r="K274" s="6" t="n">
        <s:f>IF(SUMIF(C274:I274,"&lt;&gt;",'Потребление (МВт·ч)'!C274:I274)&gt;0,SUMPRODUCT(C274:I274,'Потребление (МВт·ч)'!C274:I274)/SUMIF(C274:I274,"&lt;&gt;",'Потребление (МВт·ч)'!C274:I274),"")</s:f>
        <s:v>1362.0201405749717</s:v>
      </s:c>
      <s:c r="L274" s="6" t="n">
        <s:f>IF(COUNT(C274:I274)&gt;0,AVERAGE(C274:I274),"")</s:f>
        <s:v>1324.9004895</s:v>
      </s:c>
      <s:c r="M274" s="10" t="n">
        <s:f>COUNT(C274:I274)</s:f>
        <s:v>6</s:v>
      </s:c>
      <s:c r="N274" s="11" t="n">
        <s:f>IF(AND(COUNT('Потребление (МВт·ч)'!C274:I274)=7,SUM('Потребление (МВт·ч)'!C274:I274)&gt;0),SUMIF(C274:I274,"&lt;&gt;",'Потребление (МВт·ч)'!C274:I274)/SUM('Потребление (МВт·ч)'!C274:I274),"")</s:f>
        <s:v>0.9493332081141999</s:v>
      </s:c>
    </s:row>
    <s:row r="275">
      <s:c r="A275" s="5" t="n">
        <s:v>46277</s:v>
      </s:c>
      <s:c r="B275" s="2" t="n">
        <s:v>6</s:v>
      </s:c>
      <s:c r="C275" s="6" t="n">
        <s:v>1354.81213</s:v>
      </s:c>
      <s:c r="D275" s="6" t="n">
        <s:v>1601.13892</s:v>
      </s:c>
      <s:c r="E275" s="6" t="n">
        <s:v>1626.40869</s:v>
      </s:c>
      <s:c r="F275" s="6" t="n">
        <s:v>1906.54626</s:v>
      </s:c>
      <s:c r="G275" s="6" t="n">
        <s:v>1778.13318</s:v>
      </s:c>
      <s:c r="H275" s="6" t="n">
        <s:v>1183.30786</s:v>
      </s:c>
      <s:c r="I275" s="6" t="n"/>
      <s:c r="J275" s="6" t="str">
        <s:f>IF(AND(COUNT(C275:I275)=7,COUNT('Потребление (МВт·ч)'!C275:I275)=7,SUM('Потребление (МВт·ч)'!C275:I275)&gt;0),SUMPRODUCT(C275:I275,'Потребление (МВт·ч)'!C275:I275)/SUM('Потребление (МВт·ч)'!C275:I275),"")</s:f>
      </s:c>
      <s:c r="K275" s="6" t="n">
        <s:f>IF(SUMIF(C275:I275,"&lt;&gt;",'Потребление (МВт·ч)'!C275:I275)&gt;0,SUMPRODUCT(C275:I275,'Потребление (МВт·ч)'!C275:I275)/SUMIF(C275:I275,"&lt;&gt;",'Потребление (МВт·ч)'!C275:I275),"")</s:f>
        <s:v>1559.979135292204</s:v>
      </s:c>
      <s:c r="L275" s="6" t="n">
        <s:f>IF(COUNT(C275:I275)&gt;0,AVERAGE(C275:I275),"")</s:f>
        <s:v>1575.0578400000002</s:v>
      </s:c>
      <s:c r="M275" s="10" t="n">
        <s:f>COUNT(C275:I275)</s:f>
        <s:v>6</s:v>
      </s:c>
      <s:c r="N275" s="11" t="n">
        <s:f>IF(AND(COUNT('Потребление (МВт·ч)'!C275:I275)=7,SUM('Потребление (МВт·ч)'!C275:I275)&gt;0),SUMIF(C275:I275,"&lt;&gt;",'Потребление (МВт·ч)'!C275:I275)/SUM('Потребление (МВт·ч)'!C275:I275),"")</s:f>
        <s:v>0.9512504991106755</s:v>
      </s:c>
    </s:row>
    <s:row r="276">
      <s:c r="A276" s="5" t="n">
        <s:v>46277</s:v>
      </s:c>
      <s:c r="B276" s="2" t="n">
        <s:v>7</s:v>
      </s:c>
      <s:c r="C276" s="6" t="n">
        <s:v>1508.65613</s:v>
      </s:c>
      <s:c r="D276" s="6" t="n">
        <s:v>1857.79382</s:v>
      </s:c>
      <s:c r="E276" s="6" t="n">
        <s:v>1926.92432</s:v>
      </s:c>
      <s:c r="F276" s="6" t="n">
        <s:v>2049.283</s:v>
      </s:c>
      <s:c r="G276" s="6" t="n">
        <s:v>1892.133</s:v>
      </s:c>
      <s:c r="H276" s="6" t="n">
        <s:v>806.647949</s:v>
      </s:c>
      <s:c r="I276" s="6" t="n"/>
      <s:c r="J276" s="6" t="str">
        <s:f>IF(AND(COUNT(C276:I276)=7,COUNT('Потребление (МВт·ч)'!C276:I276)=7,SUM('Потребление (МВт·ч)'!C276:I276)&gt;0),SUMPRODUCT(C276:I276,'Потребление (МВт·ч)'!C276:I276)/SUM('Потребление (МВт·ч)'!C276:I276),"")</s:f>
      </s:c>
      <s:c r="K276" s="6" t="n">
        <s:f>IF(SUMIF(C276:I276,"&lt;&gt;",'Потребление (МВт·ч)'!C276:I276)&gt;0,SUMPRODUCT(C276:I276,'Потребление (МВт·ч)'!C276:I276)/SUMIF(C276:I276,"&lt;&gt;",'Потребление (МВт·ч)'!C276:I276),"")</s:f>
        <s:v>1624.1335899379574</s:v>
      </s:c>
      <s:c r="L276" s="6" t="n">
        <s:f>IF(COUNT(C276:I276)&gt;0,AVERAGE(C276:I276),"")</s:f>
        <s:v>1673.5730365</s:v>
      </s:c>
      <s:c r="M276" s="10" t="n">
        <s:f>COUNT(C276:I276)</s:f>
        <s:v>6</s:v>
      </s:c>
      <s:c r="N276" s="11" t="n">
        <s:f>IF(AND(COUNT('Потребление (МВт·ч)'!C276:I276)=7,SUM('Потребление (МВт·ч)'!C276:I276)&gt;0),SUMIF(C276:I276,"&lt;&gt;",'Потребление (МВт·ч)'!C276:I276)/SUM('Потребление (МВт·ч)'!C276:I276),"")</s:f>
        <s:v>0.9535821868339</s:v>
      </s:c>
    </s:row>
    <s:row r="277">
      <s:c r="A277" s="5" t="n">
        <s:v>46277</s:v>
      </s:c>
      <s:c r="B277" s="2" t="n">
        <s:v>8</s:v>
      </s:c>
      <s:c r="C277" s="6" t="n">
        <s:v>2197.125</s:v>
      </s:c>
      <s:c r="D277" s="6" t="n">
        <s:v>2656.28247</s:v>
      </s:c>
      <s:c r="E277" s="6" t="n">
        <s:v>2880.18677</s:v>
      </s:c>
      <s:c r="F277" s="6" t="n">
        <s:v>2649.29614</s:v>
      </s:c>
      <s:c r="G277" s="6" t="n">
        <s:v>2229.211</s:v>
      </s:c>
      <s:c r="H277" s="6" t="n">
        <s:v>885.660767</s:v>
      </s:c>
      <s:c r="I277" s="6" t="n"/>
      <s:c r="J277" s="6" t="str">
        <s:f>IF(AND(COUNT(C277:I277)=7,COUNT('Потребление (МВт·ч)'!C277:I277)=7,SUM('Потребление (МВт·ч)'!C277:I277)&gt;0),SUMPRODUCT(C277:I277,'Потребление (МВт·ч)'!C277:I277)/SUM('Потребление (МВт·ч)'!C277:I277),"")</s:f>
      </s:c>
      <s:c r="K277" s="6" t="n">
        <s:f>IF(SUMIF(C277:I277,"&lt;&gt;",'Потребление (МВт·ч)'!C277:I277)&gt;0,SUMPRODUCT(C277:I277,'Потребление (МВт·ч)'!C277:I277)/SUMIF(C277:I277,"&lt;&gt;",'Потребление (МВт·ч)'!C277:I277),"")</s:f>
        <s:v>2148.806395051905</s:v>
      </s:c>
      <s:c r="L277" s="6" t="n">
        <s:f>IF(COUNT(C277:I277)&gt;0,AVERAGE(C277:I277),"")</s:f>
        <s:v>2249.6270245</s:v>
      </s:c>
      <s:c r="M277" s="10" t="n">
        <s:f>COUNT(C277:I277)</s:f>
        <s:v>6</s:v>
      </s:c>
      <s:c r="N277" s="11" t="n">
        <s:f>IF(AND(COUNT('Потребление (МВт·ч)'!C277:I277)=7,SUM('Потребление (МВт·ч)'!C277:I277)&gt;0),SUMIF(C277:I277,"&lt;&gt;",'Потребление (МВт·ч)'!C277:I277)/SUM('Потребление (МВт·ч)'!C277:I277),"")</s:f>
        <s:v>0.9564874357364643</s:v>
      </s:c>
    </s:row>
    <s:row r="278">
      <s:c r="A278" s="5" t="n">
        <s:v>46277</s:v>
      </s:c>
      <s:c r="B278" s="2" t="n">
        <s:v>9</s:v>
      </s:c>
      <s:c r="C278" s="6" t="n">
        <s:v>1994.48218</s:v>
      </s:c>
      <s:c r="D278" s="6" t="n">
        <s:v>2871.08325</s:v>
      </s:c>
      <s:c r="E278" s="6" t="n">
        <s:v>2940.13379</s:v>
      </s:c>
      <s:c r="F278" s="6" t="n">
        <s:v>2773.22046</s:v>
      </s:c>
      <s:c r="G278" s="6" t="n">
        <s:v>2354.84</s:v>
      </s:c>
      <s:c r="H278" s="6" t="n">
        <s:v>848.746765</s:v>
      </s:c>
      <s:c r="I278" s="6" t="n"/>
      <s:c r="J278" s="6" t="str">
        <s:f>IF(AND(COUNT(C278:I278)=7,COUNT('Потребление (МВт·ч)'!C278:I278)=7,SUM('Потребление (МВт·ч)'!C278:I278)&gt;0),SUMPRODUCT(C278:I278,'Потребление (МВт·ч)'!C278:I278)/SUM('Потребление (МВт·ч)'!C278:I278),"")</s:f>
      </s:c>
      <s:c r="K278" s="6" t="n">
        <s:f>IF(SUMIF(C278:I278,"&lt;&gt;",'Потребление (МВт·ч)'!C278:I278)&gt;0,SUMPRODUCT(C278:I278,'Потребление (МВт·ч)'!C278:I278)/SUMIF(C278:I278,"&lt;&gt;",'Потребление (МВт·ч)'!C278:I278),"")</s:f>
        <s:v>2235.303967886219</s:v>
      </s:c>
      <s:c r="L278" s="6" t="n">
        <s:f>IF(COUNT(C278:I278)&gt;0,AVERAGE(C278:I278),"")</s:f>
        <s:v>2297.0844075</s:v>
      </s:c>
      <s:c r="M278" s="10" t="n">
        <s:f>COUNT(C278:I278)</s:f>
        <s:v>6</s:v>
      </s:c>
      <s:c r="N278" s="11" t="n">
        <s:f>IF(AND(COUNT('Потребление (МВт·ч)'!C278:I278)=7,SUM('Потребление (МВт·ч)'!C278:I278)&gt;0),SUMIF(C278:I278,"&lt;&gt;",'Потребление (МВт·ч)'!C278:I278)/SUM('Потребление (МВт·ч)'!C278:I278),"")</s:f>
        <s:v>0.9564671445440485</s:v>
      </s:c>
    </s:row>
    <s:row r="279">
      <s:c r="A279" s="5" t="n">
        <s:v>46277</s:v>
      </s:c>
      <s:c r="B279" s="2" t="n">
        <s:v>10</s:v>
      </s:c>
      <s:c r="C279" s="6" t="n">
        <s:v>2387.2915</s:v>
      </s:c>
      <s:c r="D279" s="6" t="n">
        <s:v>2906.47339</s:v>
      </s:c>
      <s:c r="E279" s="6" t="n">
        <s:v>2942.794</s:v>
      </s:c>
      <s:c r="F279" s="6" t="n">
        <s:v>2796.01978</s:v>
      </s:c>
      <s:c r="G279" s="6" t="n">
        <s:v>2333.59717</s:v>
      </s:c>
      <s:c r="H279" s="6" t="n">
        <s:v>904.8674</s:v>
      </s:c>
      <s:c r="I279" s="6" t="n"/>
      <s:c r="J279" s="6" t="str">
        <s:f>IF(AND(COUNT(C279:I279)=7,COUNT('Потребление (МВт·ч)'!C279:I279)=7,SUM('Потребление (МВт·ч)'!C279:I279)&gt;0),SUMPRODUCT(C279:I279,'Потребление (МВт·ч)'!C279:I279)/SUM('Потребление (МВт·ч)'!C279:I279),"")</s:f>
      </s:c>
      <s:c r="K279" s="6" t="n">
        <s:f>IF(SUMIF(C279:I279,"&lt;&gt;",'Потребление (МВт·ч)'!C279:I279)&gt;0,SUMPRODUCT(C279:I279,'Потребление (МВт·ч)'!C279:I279)/SUMIF(C279:I279,"&lt;&gt;",'Потребление (МВт·ч)'!C279:I279),"")</s:f>
        <s:v>2296.8282574526984</s:v>
      </s:c>
      <s:c r="L279" s="6" t="n">
        <s:f>IF(COUNT(C279:I279)&gt;0,AVERAGE(C279:I279),"")</s:f>
        <s:v>2378.5072066666667</s:v>
      </s:c>
      <s:c r="M279" s="10" t="n">
        <s:f>COUNT(C279:I279)</s:f>
        <s:v>6</s:v>
      </s:c>
      <s:c r="N279" s="11" t="n">
        <s:f>IF(AND(COUNT('Потребление (МВт·ч)'!C279:I279)=7,SUM('Потребление (МВт·ч)'!C279:I279)&gt;0),SUMIF(C279:I279,"&lt;&gt;",'Потребление (МВт·ч)'!C279:I279)/SUM('Потребление (МВт·ч)'!C279:I279),"")</s:f>
        <s:v>0.9569198389154969</s:v>
      </s:c>
    </s:row>
    <s:row r="280">
      <s:c r="A280" s="5" t="n">
        <s:v>46277</s:v>
      </s:c>
      <s:c r="B280" s="2" t="n">
        <s:v>11</s:v>
      </s:c>
      <s:c r="C280" s="6" t="n">
        <s:v>2512.73462</s:v>
      </s:c>
      <s:c r="D280" s="6" t="n">
        <s:v>2813.414</s:v>
      </s:c>
      <s:c r="E280" s="6" t="n">
        <s:v>2969.67456</s:v>
      </s:c>
      <s:c r="F280" s="6" t="n">
        <s:v>2815.01025</s:v>
      </s:c>
      <s:c r="G280" s="6" t="n">
        <s:v>2396.939</s:v>
      </s:c>
      <s:c r="H280" s="6" t="n">
        <s:v>907.1894</s:v>
      </s:c>
      <s:c r="I280" s="6" t="n"/>
      <s:c r="J280" s="6" t="str">
        <s:f>IF(AND(COUNT(C280:I280)=7,COUNT('Потребление (МВт·ч)'!C280:I280)=7,SUM('Потребление (МВт·ч)'!C280:I280)&gt;0),SUMPRODUCT(C280:I280,'Потребление (МВт·ч)'!C280:I280)/SUM('Потребление (МВт·ч)'!C280:I280),"")</s:f>
      </s:c>
      <s:c r="K280" s="6" t="n">
        <s:f>IF(SUMIF(C280:I280,"&lt;&gt;",'Потребление (МВт·ч)'!C280:I280)&gt;0,SUMPRODUCT(C280:I280,'Потребление (МВт·ч)'!C280:I280)/SUMIF(C280:I280,"&lt;&gt;",'Потребление (МВт·ч)'!C280:I280),"")</s:f>
        <s:v>2303.622832578373</s:v>
      </s:c>
      <s:c r="L280" s="6" t="n">
        <s:f>IF(COUNT(C280:I280)&gt;0,AVERAGE(C280:I280),"")</s:f>
        <s:v>2402.493638333333</s:v>
      </s:c>
      <s:c r="M280" s="10" t="n">
        <s:f>COUNT(C280:I280)</s:f>
        <s:v>6</s:v>
      </s:c>
      <s:c r="N280" s="11" t="n">
        <s:f>IF(AND(COUNT('Потребление (МВт·ч)'!C280:I280)=7,SUM('Потребление (МВт·ч)'!C280:I280)&gt;0),SUMIF(C280:I280,"&lt;&gt;",'Потребление (МВт·ч)'!C280:I280)/SUM('Потребление (МВт·ч)'!C280:I280),"")</s:f>
        <s:v>0.956232183433175</s:v>
      </s:c>
    </s:row>
    <s:row r="281">
      <s:c r="A281" s="5" t="n">
        <s:v>46277</s:v>
      </s:c>
      <s:c r="B281" s="2" t="n">
        <s:v>12</s:v>
      </s:c>
      <s:c r="C281" s="6" t="n">
        <s:v>2513.06274</s:v>
      </s:c>
      <s:c r="D281" s="6" t="n">
        <s:v>2837.6792</s:v>
      </s:c>
      <s:c r="E281" s="6" t="n">
        <s:v>3027.397</s:v>
      </s:c>
      <s:c r="F281" s="6" t="n">
        <s:v>2743.211</s:v>
      </s:c>
      <s:c r="G281" s="6" t="n">
        <s:v>2354.58423</s:v>
      </s:c>
      <s:c r="H281" s="6" t="n">
        <s:v>742.3724999999999</s:v>
      </s:c>
      <s:c r="I281" s="6" t="n"/>
      <s:c r="J281" s="6" t="str">
        <s:f>IF(AND(COUNT(C281:I281)=7,COUNT('Потребление (МВт·ч)'!C281:I281)=7,SUM('Потребление (МВт·ч)'!C281:I281)&gt;0),SUMPRODUCT(C281:I281,'Потребление (МВт·ч)'!C281:I281)/SUM('Потребление (МВт·ч)'!C281:I281),"")</s:f>
      </s:c>
      <s:c r="K281" s="6" t="n">
        <s:f>IF(SUMIF(C281:I281,"&lt;&gt;",'Потребление (МВт·ч)'!C281:I281)&gt;0,SUMPRODUCT(C281:I281,'Потребление (МВт·ч)'!C281:I281)/SUMIF(C281:I281,"&lt;&gt;",'Потребление (МВт·ч)'!C281:I281),"")</s:f>
        <s:v>2260.502881394127</s:v>
      </s:c>
      <s:c r="L281" s="6" t="n">
        <s:f>IF(COUNT(C281:I281)&gt;0,AVERAGE(C281:I281),"")</s:f>
        <s:v>2369.717778333333</s:v>
      </s:c>
      <s:c r="M281" s="10" t="n">
        <s:f>COUNT(C281:I281)</s:f>
        <s:v>6</s:v>
      </s:c>
      <s:c r="N281" s="11" t="n">
        <s:f>IF(AND(COUNT('Потребление (МВт·ч)'!C281:I281)=7,SUM('Потребление (МВт·ч)'!C281:I281)&gt;0),SUMIF(C281:I281,"&lt;&gt;",'Потребление (МВт·ч)'!C281:I281)/SUM('Потребление (МВт·ч)'!C281:I281),"")</s:f>
        <s:v>0.9550178428673859</s:v>
      </s:c>
    </s:row>
    <s:row r="282">
      <s:c r="A282" s="5" t="n">
        <s:v>46277</s:v>
      </s:c>
      <s:c r="B282" s="2" t="n">
        <s:v>13</s:v>
      </s:c>
      <s:c r="C282" s="6" t="n">
        <s:v>2484.97583</s:v>
      </s:c>
      <s:c r="D282" s="6" t="n">
        <s:v>2796.87549</s:v>
      </s:c>
      <s:c r="E282" s="6" t="n">
        <s:v>3013.0188</s:v>
      </s:c>
      <s:c r="F282" s="6" t="n">
        <s:v>2699.31885</s:v>
      </s:c>
      <s:c r="G282" s="6" t="n">
        <s:v>2319.72046</s:v>
      </s:c>
      <s:c r="H282" s="6" t="n">
        <s:v>995.242737</s:v>
      </s:c>
      <s:c r="I282" s="6" t="n"/>
      <s:c r="J282" s="6" t="str">
        <s:f>IF(AND(COUNT(C282:I282)=7,COUNT('Потребление (МВт·ч)'!C282:I282)=7,SUM('Потребление (МВт·ч)'!C282:I282)&gt;0),SUMPRODUCT(C282:I282,'Потребление (МВт·ч)'!C282:I282)/SUM('Потребление (МВт·ч)'!C282:I282),"")</s:f>
      </s:c>
      <s:c r="K282" s="6" t="n">
        <s:f>IF(SUMIF(C282:I282,"&lt;&gt;",'Потребление (МВт·ч)'!C282:I282)&gt;0,SUMPRODUCT(C282:I282,'Потребление (МВт·ч)'!C282:I282)/SUMIF(C282:I282,"&lt;&gt;",'Потребление (МВт·ч)'!C282:I282),"")</s:f>
        <s:v>2287.306149522318</s:v>
      </s:c>
      <s:c r="L282" s="6" t="n">
        <s:f>IF(COUNT(C282:I282)&gt;0,AVERAGE(C282:I282),"")</s:f>
        <s:v>2384.8586945</s:v>
      </s:c>
      <s:c r="M282" s="10" t="n">
        <s:f>COUNT(C282:I282)</s:f>
        <s:v>6</s:v>
      </s:c>
      <s:c r="N282" s="11" t="n">
        <s:f>IF(AND(COUNT('Потребление (МВт·ч)'!C282:I282)=7,SUM('Потребление (МВт·ч)'!C282:I282)&gt;0),SUMIF(C282:I282,"&lt;&gt;",'Потребление (МВт·ч)'!C282:I282)/SUM('Потребление (МВт·ч)'!C282:I282),"")</s:f>
        <s:v>0.955486798679868</s:v>
      </s:c>
    </s:row>
    <s:row r="283">
      <s:c r="A283" s="5" t="n">
        <s:v>46277</s:v>
      </s:c>
      <s:c r="B283" s="2" t="n">
        <s:v>14</s:v>
      </s:c>
      <s:c r="C283" s="6" t="n">
        <s:v>2403.44482</s:v>
      </s:c>
      <s:c r="D283" s="6" t="n">
        <s:v>2717.60034</s:v>
      </s:c>
      <s:c r="E283" s="6" t="n">
        <s:v>3008.71875</s:v>
      </s:c>
      <s:c r="F283" s="6" t="n">
        <s:v>2628.17383</s:v>
      </s:c>
      <s:c r="G283" s="6" t="n">
        <s:v>2279.59277</s:v>
      </s:c>
      <s:c r="H283" s="6" t="n">
        <s:v>1495.81738</s:v>
      </s:c>
      <s:c r="I283" s="6" t="n"/>
      <s:c r="J283" s="6" t="str">
        <s:f>IF(AND(COUNT(C283:I283)=7,COUNT('Потребление (МВт·ч)'!C283:I283)=7,SUM('Потребление (МВт·ч)'!C283:I283)&gt;0),SUMPRODUCT(C283:I283,'Потребление (МВт·ч)'!C283:I283)/SUM('Потребление (МВт·ч)'!C283:I283),"")</s:f>
      </s:c>
      <s:c r="K283" s="6" t="n">
        <s:f>IF(SUMIF(C283:I283,"&lt;&gt;",'Потребление (МВт·ч)'!C283:I283)&gt;0,SUMPRODUCT(C283:I283,'Потребление (МВт·ч)'!C283:I283)/SUMIF(C283:I283,"&lt;&gt;",'Потребление (МВт·ч)'!C283:I283),"")</s:f>
        <s:v>2347.548339390171</s:v>
      </s:c>
      <s:c r="L283" s="6" t="n">
        <s:f>IF(COUNT(C283:I283)&gt;0,AVERAGE(C283:I283),"")</s:f>
        <s:v>2422.2246483333333</s:v>
      </s:c>
      <s:c r="M283" s="10" t="n">
        <s:f>COUNT(C283:I283)</s:f>
        <s:v>6</s:v>
      </s:c>
      <s:c r="N283" s="11" t="n">
        <s:f>IF(AND(COUNT('Потребление (МВт·ч)'!C283:I283)=7,SUM('Потребление (МВт·ч)'!C283:I283)&gt;0),SUMIF(C283:I283,"&lt;&gt;",'Потребление (МВт·ч)'!C283:I283)/SUM('Потребление (МВт·ч)'!C283:I283),"")</s:f>
        <s:v>0.9558034863191399</s:v>
      </s:c>
    </s:row>
    <s:row r="284">
      <s:c r="A284" s="5" t="n">
        <s:v>46277</s:v>
      </s:c>
      <s:c r="B284" s="2" t="n">
        <s:v>15</s:v>
      </s:c>
      <s:c r="C284" s="6" t="n">
        <s:v>2433.642</s:v>
      </s:c>
      <s:c r="D284" s="6" t="n">
        <s:v>2745.94019</s:v>
      </s:c>
      <s:c r="E284" s="6" t="n">
        <s:v>3024.01587</s:v>
      </s:c>
      <s:c r="F284" s="6" t="n">
        <s:v>2661.86157</s:v>
      </s:c>
      <s:c r="G284" s="6" t="n">
        <s:v>2342.20459</s:v>
      </s:c>
      <s:c r="H284" s="6" t="n">
        <s:v>1460.40417</s:v>
      </s:c>
      <s:c r="I284" s="6" t="n"/>
      <s:c r="J284" s="6" t="str">
        <s:f>IF(AND(COUNT(C284:I284)=7,COUNT('Потребление (МВт·ч)'!C284:I284)=7,SUM('Потребление (МВт·ч)'!C284:I284)&gt;0),SUMPRODUCT(C284:I284,'Потребление (МВт·ч)'!C284:I284)/SUM('Потребление (МВт·ч)'!C284:I284),"")</s:f>
      </s:c>
      <s:c r="K284" s="6" t="n">
        <s:f>IF(SUMIF(C284:I284,"&lt;&gt;",'Потребление (МВт·ч)'!C284:I284)&gt;0,SUMPRODUCT(C284:I284,'Потребление (МВт·ч)'!C284:I284)/SUMIF(C284:I284,"&lt;&gt;",'Потребление (МВт·ч)'!C284:I284),"")</s:f>
        <s:v>2371.5926586208716</s:v>
      </s:c>
      <s:c r="L284" s="6" t="n">
        <s:f>IF(COUNT(C284:I284)&gt;0,AVERAGE(C284:I284),"")</s:f>
        <s:v>2444.678065</s:v>
      </s:c>
      <s:c r="M284" s="10" t="n">
        <s:f>COUNT(C284:I284)</s:f>
        <s:v>6</s:v>
      </s:c>
      <s:c r="N284" s="11" t="n">
        <s:f>IF(AND(COUNT('Потребление (МВт·ч)'!C284:I284)=7,SUM('Потребление (МВт·ч)'!C284:I284)&gt;0),SUMIF(C284:I284,"&lt;&gt;",'Потребление (МВт·ч)'!C284:I284)/SUM('Потребление (МВт·ч)'!C284:I284),"")</s:f>
        <s:v>0.9585591117675858</s:v>
      </s:c>
    </s:row>
    <s:row r="285">
      <s:c r="A285" s="5" t="n">
        <s:v>46277</s:v>
      </s:c>
      <s:c r="B285" s="2" t="n">
        <s:v>16</s:v>
      </s:c>
      <s:c r="C285" s="6" t="n">
        <s:v>2426.55664</s:v>
      </s:c>
      <s:c r="D285" s="6" t="n">
        <s:v>2693.03857</s:v>
      </s:c>
      <s:c r="E285" s="6" t="n">
        <s:v>3043.67041</s:v>
      </s:c>
      <s:c r="F285" s="6" t="n">
        <s:v>2639.1958</s:v>
      </s:c>
      <s:c r="G285" s="6" t="n">
        <s:v>2346.77344</s:v>
      </s:c>
      <s:c r="H285" s="6" t="n">
        <s:v>904.558533</s:v>
      </s:c>
      <s:c r="I285" s="6" t="n"/>
      <s:c r="J285" s="6" t="str">
        <s:f>IF(AND(COUNT(C285:I285)=7,COUNT('Потребление (МВт·ч)'!C285:I285)=7,SUM('Потребление (МВт·ч)'!C285:I285)&gt;0),SUMPRODUCT(C285:I285,'Потребление (МВт·ч)'!C285:I285)/SUM('Потребление (МВт·ч)'!C285:I285),"")</s:f>
      </s:c>
      <s:c r="K285" s="6" t="n">
        <s:f>IF(SUMIF(C285:I285,"&lt;&gt;",'Потребление (МВт·ч)'!C285:I285)&gt;0,SUMPRODUCT(C285:I285,'Потребление (МВт·ч)'!C285:I285)/SUMIF(C285:I285,"&lt;&gt;",'Потребление (МВт·ч)'!C285:I285),"")</s:f>
        <s:v>2238.781226454105</s:v>
      </s:c>
      <s:c r="L285" s="6" t="n">
        <s:f>IF(COUNT(C285:I285)&gt;0,AVERAGE(C285:I285),"")</s:f>
        <s:v>2342.298898833333</s:v>
      </s:c>
      <s:c r="M285" s="10" t="n">
        <s:f>COUNT(C285:I285)</s:f>
        <s:v>6</s:v>
      </s:c>
      <s:c r="N285" s="11" t="n">
        <s:f>IF(AND(COUNT('Потребление (МВт·ч)'!C285:I285)=7,SUM('Потребление (МВт·ч)'!C285:I285)&gt;0),SUMIF(C285:I285,"&lt;&gt;",'Потребление (МВт·ч)'!C285:I285)/SUM('Потребление (МВт·ч)'!C285:I285),"")</s:f>
        <s:v>0.9590803259604191</s:v>
      </s:c>
    </s:row>
    <s:row r="286">
      <s:c r="A286" s="5" t="n">
        <s:v>46277</s:v>
      </s:c>
      <s:c r="B286" s="2" t="n">
        <s:v>17</s:v>
      </s:c>
      <s:c r="C286" s="6" t="n">
        <s:v>2448.4624</s:v>
      </s:c>
      <s:c r="D286" s="6" t="n">
        <s:v>2714.82642</s:v>
      </s:c>
      <s:c r="E286" s="6" t="n">
        <s:v>3051.125</s:v>
      </s:c>
      <s:c r="F286" s="6" t="n">
        <s:v>2658.1272</s:v>
      </s:c>
      <s:c r="G286" s="6" t="n">
        <s:v>2358.14331</s:v>
      </s:c>
      <s:c r="H286" s="6" t="n">
        <s:v>824.4696</s:v>
      </s:c>
      <s:c r="I286" s="6" t="n"/>
      <s:c r="J286" s="6" t="str">
        <s:f>IF(AND(COUNT(C286:I286)=7,COUNT('Потребление (МВт·ч)'!C286:I286)=7,SUM('Потребление (МВт·ч)'!C286:I286)&gt;0),SUMPRODUCT(C286:I286,'Потребление (МВт·ч)'!C286:I286)/SUM('Потребление (МВт·ч)'!C286:I286),"")</s:f>
      </s:c>
      <s:c r="K286" s="6" t="n">
        <s:f>IF(SUMIF(C286:I286,"&lt;&gt;",'Потребление (МВт·ч)'!C286:I286)&gt;0,SUMPRODUCT(C286:I286,'Потребление (МВт·ч)'!C286:I286)/SUMIF(C286:I286,"&lt;&gt;",'Потребление (МВт·ч)'!C286:I286),"")</s:f>
        <s:v>2239.4747595456047</s:v>
      </s:c>
      <s:c r="L286" s="6" t="n">
        <s:f>IF(COUNT(C286:I286)&gt;0,AVERAGE(C286:I286),"")</s:f>
        <s:v>2342.525655</s:v>
      </s:c>
      <s:c r="M286" s="10" t="n">
        <s:f>COUNT(C286:I286)</s:f>
        <s:v>6</s:v>
      </s:c>
      <s:c r="N286" s="11" t="n">
        <s:f>IF(AND(COUNT('Потребление (МВт·ч)'!C286:I286)=7,SUM('Потребление (МВт·ч)'!C286:I286)&gt;0),SUMIF(C286:I286,"&lt;&gt;",'Потребление (МВт·ч)'!C286:I286)/SUM('Потребление (МВт·ч)'!C286:I286),"")</s:f>
        <s:v>0.9611416723794873</s:v>
      </s:c>
    </s:row>
    <s:row r="287">
      <s:c r="A287" s="5" t="n">
        <s:v>46277</s:v>
      </s:c>
      <s:c r="B287" s="2" t="n">
        <s:v>18</s:v>
      </s:c>
      <s:c r="C287" s="6" t="n">
        <s:v>2338.97729</s:v>
      </s:c>
      <s:c r="D287" s="6" t="n">
        <s:v>2563.11353</s:v>
      </s:c>
      <s:c r="E287" s="6" t="n">
        <s:v>3502.564</s:v>
      </s:c>
      <s:c r="F287" s="6" t="n">
        <s:v>2619.61743</s:v>
      </s:c>
      <s:c r="G287" s="6" t="n">
        <s:v>2319.57983</s:v>
      </s:c>
      <s:c r="H287" s="6" t="n">
        <s:v>541.9444999999999</s:v>
      </s:c>
      <s:c r="I287" s="6" t="n"/>
      <s:c r="J287" s="6" t="str">
        <s:f>IF(AND(COUNT(C287:I287)=7,COUNT('Потребление (МВт·ч)'!C287:I287)=7,SUM('Потребление (МВт·ч)'!C287:I287)&gt;0),SUMPRODUCT(C287:I287,'Потребление (МВт·ч)'!C287:I287)/SUM('Потребление (МВт·ч)'!C287:I287),"")</s:f>
      </s:c>
      <s:c r="K287" s="6" t="n">
        <s:f>IF(SUMIF(C287:I287,"&lt;&gt;",'Потребление (МВт·ч)'!C287:I287)&gt;0,SUMPRODUCT(C287:I287,'Потребление (МВт·ч)'!C287:I287)/SUMIF(C287:I287,"&lt;&gt;",'Потребление (МВт·ч)'!C287:I287),"")</s:f>
        <s:v>2183.7590234935246</s:v>
      </s:c>
      <s:c r="L287" s="6" t="n">
        <s:f>IF(COUNT(C287:I287)&gt;0,AVERAGE(C287:I287),"")</s:f>
        <s:v>2314.29943</s:v>
      </s:c>
      <s:c r="M287" s="10" t="n">
        <s:f>COUNT(C287:I287)</s:f>
        <s:v>6</s:v>
      </s:c>
      <s:c r="N287" s="11" t="n">
        <s:f>IF(AND(COUNT('Потребление (МВт·ч)'!C287:I287)=7,SUM('Потребление (МВт·ч)'!C287:I287)&gt;0),SUMIF(C287:I287,"&lt;&gt;",'Потребление (МВт·ч)'!C287:I287)/SUM('Потребление (МВт·ч)'!C287:I287),"")</s:f>
        <s:v>0.9603336468903744</s:v>
      </s:c>
    </s:row>
    <s:row r="288">
      <s:c r="A288" s="5" t="n">
        <s:v>46277</s:v>
      </s:c>
      <s:c r="B288" s="2" t="n">
        <s:v>19</s:v>
      </s:c>
      <s:c r="C288" s="6" t="n">
        <s:v>2570.915</s:v>
      </s:c>
      <s:c r="D288" s="6" t="n">
        <s:v>2857.08472</s:v>
      </s:c>
      <s:c r="E288" s="6" t="n">
        <s:v>3182.54688</s:v>
      </s:c>
      <s:c r="F288" s="6" t="n">
        <s:v>2782.01733</s:v>
      </s:c>
      <s:c r="G288" s="6" t="n">
        <s:v>2329.64014</s:v>
      </s:c>
      <s:c r="H288" s="6" t="n">
        <s:v>556.3274</s:v>
      </s:c>
      <s:c r="I288" s="6" t="n"/>
      <s:c r="J288" s="6" t="str">
        <s:f>IF(AND(COUNT(C288:I288)=7,COUNT('Потребление (МВт·ч)'!C288:I288)=7,SUM('Потребление (МВт·ч)'!C288:I288)&gt;0),SUMPRODUCT(C288:I288,'Потребление (МВт·ч)'!C288:I288)/SUM('Потребление (МВт·ч)'!C288:I288),"")</s:f>
      </s:c>
      <s:c r="K288" s="6" t="n">
        <s:f>IF(SUMIF(C288:I288,"&lt;&gt;",'Потребление (МВт·ч)'!C288:I288)&gt;0,SUMPRODUCT(C288:I288,'Потребление (МВт·ч)'!C288:I288)/SUMIF(C288:I288,"&lt;&gt;",'Потребление (МВт·ч)'!C288:I288),"")</s:f>
        <s:v>2279.946104935162</s:v>
      </s:c>
      <s:c r="L288" s="6" t="n">
        <s:f>IF(COUNT(C288:I288)&gt;0,AVERAGE(C288:I288),"")</s:f>
        <s:v>2379.755245</s:v>
      </s:c>
      <s:c r="M288" s="10" t="n">
        <s:f>COUNT(C288:I288)</s:f>
        <s:v>6</s:v>
      </s:c>
      <s:c r="N288" s="11" t="n">
        <s:f>IF(AND(COUNT('Потребление (МВт·ч)'!C288:I288)=7,SUM('Потребление (МВт·ч)'!C288:I288)&gt;0),SUMIF(C288:I288,"&lt;&gt;",'Потребление (МВт·ч)'!C288:I288)/SUM('Потребление (МВт·ч)'!C288:I288),"")</s:f>
        <s:v>0.96220703534443</s:v>
      </s:c>
    </s:row>
    <s:row r="289">
      <s:c r="A289" s="5" t="n">
        <s:v>46277</s:v>
      </s:c>
      <s:c r="B289" s="2" t="n">
        <s:v>20</s:v>
      </s:c>
      <s:c r="C289" s="6" t="n">
        <s:v>2555.867</s:v>
      </s:c>
      <s:c r="D289" s="6" t="n">
        <s:v>2815.00244</s:v>
      </s:c>
      <s:c r="E289" s="6" t="n">
        <s:v>3003.474</s:v>
      </s:c>
      <s:c r="F289" s="6" t="n">
        <s:v>2724.05225</s:v>
      </s:c>
      <s:c r="G289" s="6" t="n">
        <s:v>2188.80981</s:v>
      </s:c>
      <s:c r="H289" s="6" t="n">
        <s:v>0</s:v>
      </s:c>
      <s:c r="I289" s="6" t="n"/>
      <s:c r="J289" s="6" t="str">
        <s:f>IF(AND(COUNT(C289:I289)=7,COUNT('Потребление (МВт·ч)'!C289:I289)=7,SUM('Потребление (МВт·ч)'!C289:I289)&gt;0),SUMPRODUCT(C289:I289,'Потребление (МВт·ч)'!C289:I289)/SUM('Потребление (МВт·ч)'!C289:I289),"")</s:f>
      </s:c>
      <s:c r="K289" s="6" t="n">
        <s:f>IF(SUMIF(C289:I289,"&lt;&gt;",'Потребление (МВт·ч)'!C289:I289)&gt;0,SUMPRODUCT(C289:I289,'Потребление (МВт·ч)'!C289:I289)/SUMIF(C289:I289,"&lt;&gt;",'Потребление (МВт·ч)'!C289:I289),"")</s:f>
        <s:v>2098.0335366187833</s:v>
      </s:c>
      <s:c r="L289" s="6" t="n">
        <s:f>IF(COUNT(C289:I289)&gt;0,AVERAGE(C289:I289),"")</s:f>
        <s:v>2214.53425</s:v>
      </s:c>
      <s:c r="M289" s="10" t="n">
        <s:f>COUNT(C289:I289)</s:f>
        <s:v>6</s:v>
      </s:c>
      <s:c r="N289" s="11" t="n">
        <s:f>IF(AND(COUNT('Потребление (МВт·ч)'!C289:I289)=7,SUM('Потребление (МВт·ч)'!C289:I289)&gt;0),SUMIF(C289:I289,"&lt;&gt;",'Потребление (МВт·ч)'!C289:I289)/SUM('Потребление (МВт·ч)'!C289:I289),"")</s:f>
        <s:v>0.9617423270924168</s:v>
      </s:c>
    </s:row>
    <s:row r="290">
      <s:c r="A290" s="5" t="n">
        <s:v>46277</s:v>
      </s:c>
      <s:c r="B290" s="2" t="n">
        <s:v>21</s:v>
      </s:c>
      <s:c r="C290" s="6" t="n">
        <s:v>2102.69165</s:v>
      </s:c>
      <s:c r="D290" s="6" t="n">
        <s:v>2327.00635</s:v>
      </s:c>
      <s:c r="E290" s="6" t="n">
        <s:v>2523.29541</s:v>
      </s:c>
      <s:c r="F290" s="6" t="n">
        <s:v>2212.89063</s:v>
      </s:c>
      <s:c r="G290" s="6" t="n">
        <s:v>1739.13953</s:v>
      </s:c>
      <s:c r="H290" s="6" t="n">
        <s:v>0</s:v>
      </s:c>
      <s:c r="I290" s="6" t="n"/>
      <s:c r="J290" s="6" t="str">
        <s:f>IF(AND(COUNT(C290:I290)=7,COUNT('Потребление (МВт·ч)'!C290:I290)=7,SUM('Потребление (МВт·ч)'!C290:I290)&gt;0),SUMPRODUCT(C290:I290,'Потребление (МВт·ч)'!C290:I290)/SUM('Потребление (МВт·ч)'!C290:I290),"")</s:f>
      </s:c>
      <s:c r="K290" s="6" t="n">
        <s:f>IF(SUMIF(C290:I290,"&lt;&gt;",'Потребление (МВт·ч)'!C290:I290)&gt;0,SUMPRODUCT(C290:I290,'Потребление (МВт·ч)'!C290:I290)/SUMIF(C290:I290,"&lt;&gt;",'Потребление (МВт·ч)'!C290:I290),"")</s:f>
        <s:v>1707.3623360571798</s:v>
      </s:c>
      <s:c r="L290" s="6" t="n">
        <s:f>IF(COUNT(C290:I290)&gt;0,AVERAGE(C290:I290),"")</s:f>
        <s:v>1817.5039283333335</s:v>
      </s:c>
      <s:c r="M290" s="10" t="n">
        <s:f>COUNT(C290:I290)</s:f>
        <s:v>6</s:v>
      </s:c>
      <s:c r="N290" s="11" t="n">
        <s:f>IF(AND(COUNT('Потребление (МВт·ч)'!C290:I290)=7,SUM('Потребление (МВт·ч)'!C290:I290)&gt;0),SUMIF(C290:I290,"&lt;&gt;",'Потребление (МВт·ч)'!C290:I290)/SUM('Потребление (МВт·ч)'!C290:I290),"")</s:f>
        <s:v>0.9604890820455407</s:v>
      </s:c>
    </s:row>
    <s:row r="291">
      <s:c r="A291" s="5" t="n">
        <s:v>46277</s:v>
      </s:c>
      <s:c r="B291" s="2" t="n">
        <s:v>22</s:v>
      </s:c>
      <s:c r="C291" s="6" t="n">
        <s:v>1299.35852</s:v>
      </s:c>
      <s:c r="D291" s="6" t="n">
        <s:v>1639.1543</s:v>
      </s:c>
      <s:c r="E291" s="6" t="n">
        <s:v>1645.69238</s:v>
      </s:c>
      <s:c r="F291" s="6" t="n">
        <s:v>1704.23059</s:v>
      </s:c>
      <s:c r="G291" s="6" t="n">
        <s:v>1589.29785</s:v>
      </s:c>
      <s:c r="H291" s="6" t="n">
        <s:v>0</s:v>
      </s:c>
      <s:c r="I291" s="6" t="n"/>
      <s:c r="J291" s="6" t="str">
        <s:f>IF(AND(COUNT(C291:I291)=7,COUNT('Потребление (МВт·ч)'!C291:I291)=7,SUM('Потребление (МВт·ч)'!C291:I291)&gt;0),SUMPRODUCT(C291:I291,'Потребление (МВт·ч)'!C291:I291)/SUM('Потребление (МВт·ч)'!C291:I291),"")</s:f>
      </s:c>
      <s:c r="K291" s="6" t="n">
        <s:f>IF(SUMIF(C291:I291,"&lt;&gt;",'Потребление (МВт·ч)'!C291:I291)&gt;0,SUMPRODUCT(C291:I291,'Потребление (МВт·ч)'!C291:I291)/SUMIF(C291:I291,"&lt;&gt;",'Потребление (МВт·ч)'!C291:I291),"")</s:f>
        <s:v>1260.758771426336</s:v>
      </s:c>
      <s:c r="L291" s="6" t="n">
        <s:f>IF(COUNT(C291:I291)&gt;0,AVERAGE(C291:I291),"")</s:f>
        <s:v>1312.9556066666667</s:v>
      </s:c>
      <s:c r="M291" s="10" t="n">
        <s:f>COUNT(C291:I291)</s:f>
        <s:v>6</s:v>
      </s:c>
      <s:c r="N291" s="11" t="n">
        <s:f>IF(AND(COUNT('Потребление (МВт·ч)'!C291:I291)=7,SUM('Потребление (МВт·ч)'!C291:I291)&gt;0),SUMIF(C291:I291,"&lt;&gt;",'Потребление (МВт·ч)'!C291:I291)/SUM('Потребление (МВт·ч)'!C291:I291),"")</s:f>
        <s:v>0.9595663639027249</s:v>
      </s:c>
    </s:row>
    <s:row r="292">
      <s:c r="A292" s="5" t="n">
        <s:v>46277</s:v>
      </s:c>
      <s:c r="B292" s="2" t="n">
        <s:v>23</s:v>
      </s:c>
      <s:c r="C292" s="6" t="n">
        <s:v>799.6026000000001</s:v>
      </s:c>
      <s:c r="D292" s="6" t="n">
        <s:v>1225.66931</s:v>
      </s:c>
      <s:c r="E292" s="6" t="n">
        <s:v>829.046</s:v>
      </s:c>
      <s:c r="F292" s="6" t="n">
        <s:v>1153.62817</s:v>
      </s:c>
      <s:c r="G292" s="6" t="n">
        <s:v>1310.81506</s:v>
      </s:c>
      <s:c r="H292" s="6" t="n">
        <s:v>0</s:v>
      </s:c>
      <s:c r="I292" s="6" t="n"/>
      <s:c r="J292" s="6" t="str">
        <s:f>IF(AND(COUNT(C292:I292)=7,COUNT('Потребление (МВт·ч)'!C292:I292)=7,SUM('Потребление (МВт·ч)'!C292:I292)&gt;0),SUMPRODUCT(C292:I292,'Потребление (МВт·ч)'!C292:I292)/SUM('Потребление (МВт·ч)'!C292:I292),"")</s:f>
      </s:c>
      <s:c r="K292" s="6" t="n">
        <s:f>IF(SUMIF(C292:I292,"&lt;&gt;",'Потребление (МВт·ч)'!C292:I292)&gt;0,SUMPRODUCT(C292:I292,'Потребление (МВт·ч)'!C292:I292)/SUMIF(C292:I292,"&lt;&gt;",'Потребление (МВт·ч)'!C292:I292),"")</s:f>
        <s:v>895.6460142435748</s:v>
      </s:c>
      <s:c r="L292" s="6" t="n">
        <s:f>IF(COUNT(C292:I292)&gt;0,AVERAGE(C292:I292),"")</s:f>
        <s:v>886.4601899999999</s:v>
      </s:c>
      <s:c r="M292" s="10" t="n">
        <s:f>COUNT(C292:I292)</s:f>
        <s:v>6</s:v>
      </s:c>
      <s:c r="N292" s="11" t="n">
        <s:f>IF(AND(COUNT('Потребление (МВт·ч)'!C292:I292)=7,SUM('Потребление (МВт·ч)'!C292:I292)&gt;0),SUMIF(C292:I292,"&lt;&gt;",'Потребление (МВт·ч)'!C292:I292)/SUM('Потребление (МВт·ч)'!C292:I292),"")</s:f>
        <s:v>0.9570182724252492</s:v>
      </s:c>
    </s:row>
    <s:row r="293">
      <s:c r="A293" s="5" t="n">
        <s:v>46278</s:v>
      </s:c>
      <s:c r="B293" s="2" t="n">
        <s:v>0</s:v>
      </s:c>
      <s:c r="C293" s="6" t="n">
        <s:v>1377.56311</s:v>
      </s:c>
      <s:c r="D293" s="6" t="n">
        <s:v>1545.864</s:v>
      </s:c>
      <s:c r="E293" s="6" t="n">
        <s:v>1540.743</s:v>
      </s:c>
      <s:c r="F293" s="6" t="n">
        <s:v>1742.77869</s:v>
      </s:c>
      <s:c r="G293" s="6" t="n">
        <s:v>1619.72363</s:v>
      </s:c>
      <s:c r="H293" s="6" t="n">
        <s:v>0</s:v>
      </s:c>
      <s:c r="I293" s="6" t="n"/>
      <s:c r="J293" s="6" t="str">
        <s:f>IF(AND(COUNT(C293:I293)=7,COUNT('Потребление (МВт·ч)'!C293:I293)=7,SUM('Потребление (МВт·ч)'!C293:I293)&gt;0),SUMPRODUCT(C293:I293,'Потребление (МВт·ч)'!C293:I293)/SUM('Потребление (МВт·ч)'!C293:I293),"")</s:f>
      </s:c>
      <s:c r="K293" s="6" t="n">
        <s:f>IF(SUMIF(C293:I293,"&lt;&gt;",'Потребление (МВт·ч)'!C293:I293)&gt;0,SUMPRODUCT(C293:I293,'Потребление (МВт·ч)'!C293:I293)/SUMIF(C293:I293,"&lt;&gt;",'Потребление (МВт·ч)'!C293:I293),"")</s:f>
        <s:v>1227.5216294451463</s:v>
      </s:c>
      <s:c r="L293" s="6" t="n">
        <s:f>IF(COUNT(C293:I293)&gt;0,AVERAGE(C293:I293),"")</s:f>
        <s:v>1304.4454050000002</s:v>
      </s:c>
      <s:c r="M293" s="10" t="n">
        <s:f>COUNT(C293:I293)</s:f>
        <s:v>6</s:v>
      </s:c>
      <s:c r="N293" s="11" t="n">
        <s:f>IF(AND(COUNT('Потребление (МВт·ч)'!C293:I293)=7,SUM('Потребление (МВт·ч)'!C293:I293)&gt;0),SUMIF(C293:I293,"&lt;&gt;",'Потребление (МВт·ч)'!C293:I293)/SUM('Потребление (МВт·ч)'!C293:I293),"")</s:f>
        <s:v>0.9549108736983314</s:v>
      </s:c>
    </s:row>
    <s:row r="294">
      <s:c r="A294" s="5" t="n">
        <s:v>46278</s:v>
      </s:c>
      <s:c r="B294" s="2" t="n">
        <s:v>1</s:v>
      </s:c>
      <s:c r="C294" s="6" t="n">
        <s:v>1121.73071</s:v>
      </s:c>
      <s:c r="D294" s="6" t="n">
        <s:v>1257.52722</s:v>
      </s:c>
      <s:c r="E294" s="6" t="n">
        <s:v>1234.231</s:v>
      </s:c>
      <s:c r="F294" s="6" t="n">
        <s:v>1443.61328</s:v>
      </s:c>
      <s:c r="G294" s="6" t="n">
        <s:v>1391.147</s:v>
      </s:c>
      <s:c r="H294" s="6" t="n">
        <s:v>0</s:v>
      </s:c>
      <s:c r="I294" s="6" t="n"/>
      <s:c r="J294" s="6" t="str">
        <s:f>IF(AND(COUNT(C294:I294)=7,COUNT('Потребление (МВт·ч)'!C294:I294)=7,SUM('Потребление (МВт·ч)'!C294:I294)&gt;0),SUMPRODUCT(C294:I294,'Потребление (МВт·ч)'!C294:I294)/SUM('Потребление (МВт·ч)'!C294:I294),"")</s:f>
      </s:c>
      <s:c r="K294" s="6" t="n">
        <s:f>IF(SUMIF(C294:I294,"&lt;&gt;",'Потребление (МВт·ч)'!C294:I294)&gt;0,SUMPRODUCT(C294:I294,'Потребление (МВт·ч)'!C294:I294)/SUMIF(C294:I294,"&lt;&gt;",'Потребление (МВт·ч)'!C294:I294),"")</s:f>
        <s:v>1010.1616446375189</s:v>
      </s:c>
      <s:c r="L294" s="6" t="n">
        <s:f>IF(COUNT(C294:I294)&gt;0,AVERAGE(C294:I294),"")</s:f>
        <s:v>1074.7082016666666</s:v>
      </s:c>
      <s:c r="M294" s="10" t="n">
        <s:f>COUNT(C294:I294)</s:f>
        <s:v>6</s:v>
      </s:c>
      <s:c r="N294" s="11" t="n">
        <s:f>IF(AND(COUNT('Потребление (МВт·ч)'!C294:I294)=7,SUM('Потребление (МВт·ч)'!C294:I294)&gt;0),SUMIF(C294:I294,"&lt;&gt;",'Потребление (МВт·ч)'!C294:I294)/SUM('Потребление (МВт·ч)'!C294:I294),"")</s:f>
        <s:v>0.9511861224649444</s:v>
      </s:c>
    </s:row>
    <s:row r="295">
      <s:c r="A295" s="5" t="n">
        <s:v>46278</s:v>
      </s:c>
      <s:c r="B295" s="2" t="n">
        <s:v>2</s:v>
      </s:c>
      <s:c r="C295" s="6" t="n">
        <s:v>1025.626</s:v>
      </s:c>
      <s:c r="D295" s="6" t="n">
        <s:v>1202.935</s:v>
      </s:c>
      <s:c r="E295" s="6" t="n">
        <s:v>1113.04663</s:v>
      </s:c>
      <s:c r="F295" s="6" t="n">
        <s:v>1354.59326</s:v>
      </s:c>
      <s:c r="G295" s="6" t="n">
        <s:v>1313.97424</s:v>
      </s:c>
      <s:c r="H295" s="6" t="n">
        <s:v>0</s:v>
      </s:c>
      <s:c r="I295" s="6" t="n"/>
      <s:c r="J295" s="6" t="str">
        <s:f>IF(AND(COUNT(C295:I295)=7,COUNT('Потребление (МВт·ч)'!C295:I295)=7,SUM('Потребление (МВт·ч)'!C295:I295)&gt;0),SUMPRODUCT(C295:I295,'Потребление (МВт·ч)'!C295:I295)/SUM('Потребление (МВт·ч)'!C295:I295),"")</s:f>
      </s:c>
      <s:c r="K295" s="6" t="n">
        <s:f>IF(SUMIF(C295:I295,"&lt;&gt;",'Потребление (МВт·ч)'!C295:I295)&gt;0,SUMPRODUCT(C295:I295,'Потребление (МВт·ч)'!C295:I295)/SUMIF(C295:I295,"&lt;&gt;",'Потребление (МВт·ч)'!C295:I295),"")</s:f>
        <s:v>944.1697070931516</s:v>
      </s:c>
      <s:c r="L295" s="6" t="n">
        <s:f>IF(COUNT(C295:I295)&gt;0,AVERAGE(C295:I295),"")</s:f>
        <s:v>1001.6958549999999</s:v>
      </s:c>
      <s:c r="M295" s="10" t="n">
        <s:f>COUNT(C295:I295)</s:f>
        <s:v>6</s:v>
      </s:c>
      <s:c r="N295" s="11" t="n">
        <s:f>IF(AND(COUNT('Потребление (МВт·ч)'!C295:I295)=7,SUM('Потребление (МВт·ч)'!C295:I295)&gt;0),SUMIF(C295:I295,"&lt;&gt;",'Потребление (МВт·ч)'!C295:I295)/SUM('Потребление (МВт·ч)'!C295:I295),"")</s:f>
        <s:v>0.949862537280084</s:v>
      </s:c>
    </s:row>
    <s:row r="296">
      <s:c r="A296" s="5" t="n">
        <s:v>46278</s:v>
      </s:c>
      <s:c r="B296" s="2" t="n">
        <s:v>3</s:v>
      </s:c>
      <s:c r="C296" s="6" t="n">
        <s:v>984.4799</s:v>
      </s:c>
      <s:c r="D296" s="6" t="n">
        <s:v>1107.90125</s:v>
      </s:c>
      <s:c r="E296" s="6" t="n">
        <s:v>1068.85645</s:v>
      </s:c>
      <s:c r="F296" s="6" t="n">
        <s:v>1321.69189</s:v>
      </s:c>
      <s:c r="G296" s="6" t="n">
        <s:v>1297.29529</s:v>
      </s:c>
      <s:c r="H296" s="6" t="n">
        <s:v>557.4243</s:v>
      </s:c>
      <s:c r="I296" s="6" t="n"/>
      <s:c r="J296" s="6" t="str">
        <s:f>IF(AND(COUNT(C296:I296)=7,COUNT('Потребление (МВт·ч)'!C296:I296)=7,SUM('Потребление (МВт·ч)'!C296:I296)&gt;0),SUMPRODUCT(C296:I296,'Потребление (МВт·ч)'!C296:I296)/SUM('Потребление (МВт·ч)'!C296:I296),"")</s:f>
      </s:c>
      <s:c r="K296" s="6" t="n">
        <s:f>IF(SUMIF(C296:I296,"&lt;&gt;",'Потребление (МВт·ч)'!C296:I296)&gt;0,SUMPRODUCT(C296:I296,'Потребление (МВт·ч)'!C296:I296)/SUMIF(C296:I296,"&lt;&gt;",'Потребление (МВт·ч)'!C296:I296),"")</s:f>
        <s:v>1031.531052547597</s:v>
      </s:c>
      <s:c r="L296" s="6" t="n">
        <s:f>IF(COUNT(C296:I296)&gt;0,AVERAGE(C296:I296),"")</s:f>
        <s:v>1056.2748466666667</s:v>
      </s:c>
      <s:c r="M296" s="10" t="n">
        <s:f>COUNT(C296:I296)</s:f>
        <s:v>6</s:v>
      </s:c>
      <s:c r="N296" s="11" t="n">
        <s:f>IF(AND(COUNT('Потребление (МВт·ч)'!C296:I296)=7,SUM('Потребление (МВт·ч)'!C296:I296)&gt;0),SUMIF(C296:I296,"&lt;&gt;",'Потребление (МВт·ч)'!C296:I296)/SUM('Потребление (МВт·ч)'!C296:I296),"")</s:f>
        <s:v>0.9486384038933214</s:v>
      </s:c>
    </s:row>
    <s:row r="297">
      <s:c r="A297" s="5" t="n">
        <s:v>46278</s:v>
      </s:c>
      <s:c r="B297" s="2" t="n">
        <s:v>4</s:v>
      </s:c>
      <s:c r="C297" s="6" t="n">
        <s:v>1135.099</s:v>
      </s:c>
      <s:c r="D297" s="6" t="n">
        <s:v>1274.54858</s:v>
      </s:c>
      <s:c r="E297" s="6" t="n">
        <s:v>1259.30725</s:v>
      </s:c>
      <s:c r="F297" s="6" t="n">
        <s:v>1480.15552</s:v>
      </s:c>
      <s:c r="G297" s="6" t="n">
        <s:v>1459.05615</s:v>
      </s:c>
      <s:c r="H297" s="6" t="n">
        <s:v>700.2835690000001</s:v>
      </s:c>
      <s:c r="I297" s="6" t="n"/>
      <s:c r="J297" s="6" t="str">
        <s:f>IF(AND(COUNT(C297:I297)=7,COUNT('Потребление (МВт·ч)'!C297:I297)=7,SUM('Потребление (МВт·ч)'!C297:I297)&gt;0),SUMPRODUCT(C297:I297,'Потребление (МВт·ч)'!C297:I297)/SUM('Потребление (МВт·ч)'!C297:I297),"")</s:f>
      </s:c>
      <s:c r="K297" s="6" t="n">
        <s:f>IF(SUMIF(C297:I297,"&lt;&gt;",'Потребление (МВт·ч)'!C297:I297)&gt;0,SUMPRODUCT(C297:I297,'Потребление (МВт·ч)'!C297:I297)/SUMIF(C297:I297,"&lt;&gt;",'Потребление (МВт·ч)'!C297:I297),"")</s:f>
        <s:v>1187.9872773769798</s:v>
      </s:c>
      <s:c r="L297" s="6" t="n">
        <s:f>IF(COUNT(C297:I297)&gt;0,AVERAGE(C297:I297),"")</s:f>
        <s:v>1218.0750114999998</s:v>
      </s:c>
      <s:c r="M297" s="10" t="n">
        <s:f>COUNT(C297:I297)</s:f>
        <s:v>6</s:v>
      </s:c>
      <s:c r="N297" s="11" t="n">
        <s:f>IF(AND(COUNT('Потребление (МВт·ч)'!C297:I297)=7,SUM('Потребление (МВт·ч)'!C297:I297)&gt;0),SUMIF(C297:I297,"&lt;&gt;",'Потребление (МВт·ч)'!C297:I297)/SUM('Потребление (МВт·ч)'!C297:I297),"")</s:f>
        <s:v>0.9494931052707443</s:v>
      </s:c>
    </s:row>
    <s:row r="298">
      <s:c r="A298" s="5" t="n">
        <s:v>46278</s:v>
      </s:c>
      <s:c r="B298" s="2" t="n">
        <s:v>5</s:v>
      </s:c>
      <s:c r="C298" s="6" t="n">
        <s:v>1237.42993</s:v>
      </s:c>
      <s:c r="D298" s="6" t="n">
        <s:v>1567.85986</s:v>
      </s:c>
      <s:c r="E298" s="6" t="n">
        <s:v>1333.19519</s:v>
      </s:c>
      <s:c r="F298" s="6" t="n">
        <s:v>1667.7467</s:v>
      </s:c>
      <s:c r="G298" s="6" t="n">
        <s:v>1607.84521</s:v>
      </s:c>
      <s:c r="H298" s="6" t="n">
        <s:v>734.8630000000001</s:v>
      </s:c>
      <s:c r="I298" s="6" t="n"/>
      <s:c r="J298" s="6" t="str">
        <s:f>IF(AND(COUNT(C298:I298)=7,COUNT('Потребление (МВт·ч)'!C298:I298)=7,SUM('Потребление (МВт·ч)'!C298:I298)&gt;0),SUMPRODUCT(C298:I298,'Потребление (МВт·ч)'!C298:I298)/SUM('Потребление (МВт·ч)'!C298:I298),"")</s:f>
      </s:c>
      <s:c r="K298" s="6" t="n">
        <s:f>IF(SUMIF(C298:I298,"&lt;&gt;",'Потребление (МВт·ч)'!C298:I298)&gt;0,SUMPRODUCT(C298:I298,'Потребление (МВт·ч)'!C298:I298)/SUMIF(C298:I298,"&lt;&gt;",'Потребление (МВт·ч)'!C298:I298),"")</s:f>
        <s:v>1334.8223432830496</s:v>
      </s:c>
      <s:c r="L298" s="6" t="n">
        <s:f>IF(COUNT(C298:I298)&gt;0,AVERAGE(C298:I298),"")</s:f>
        <s:v>1358.1566483333331</s:v>
      </s:c>
      <s:c r="M298" s="10" t="n">
        <s:f>COUNT(C298:I298)</s:f>
        <s:v>6</s:v>
      </s:c>
      <s:c r="N298" s="11" t="n">
        <s:f>IF(AND(COUNT('Потребление (МВт·ч)'!C298:I298)=7,SUM('Потребление (МВт·ч)'!C298:I298)&gt;0),SUMIF(C298:I298,"&lt;&gt;",'Потребление (МВт·ч)'!C298:I298)/SUM('Потребление (МВт·ч)'!C298:I298),"")</s:f>
        <s:v>0.9495166997087867</s:v>
      </s:c>
    </s:row>
    <s:row r="299">
      <s:c r="A299" s="5" t="n">
        <s:v>46278</s:v>
      </s:c>
      <s:c r="B299" s="2" t="n">
        <s:v>6</s:v>
      </s:c>
      <s:c r="C299" s="6" t="n">
        <s:v>1224.40381</s:v>
      </s:c>
      <s:c r="D299" s="6" t="n">
        <s:v>1555.32617</s:v>
      </s:c>
      <s:c r="E299" s="6" t="n">
        <s:v>1408.474</s:v>
      </s:c>
      <s:c r="F299" s="6" t="n">
        <s:v>1677.30725</s:v>
      </s:c>
      <s:c r="G299" s="6" t="n">
        <s:v>1624.4292</s:v>
      </s:c>
      <s:c r="H299" s="6" t="n">
        <s:v>654.0432</s:v>
      </s:c>
      <s:c r="I299" s="6" t="n"/>
      <s:c r="J299" s="6" t="str">
        <s:f>IF(AND(COUNT(C299:I299)=7,COUNT('Потребление (МВт·ч)'!C299:I299)=7,SUM('Потребление (МВт·ч)'!C299:I299)&gt;0),SUMPRODUCT(C299:I299,'Потребление (МВт·ч)'!C299:I299)/SUM('Потребление (МВт·ч)'!C299:I299),"")</s:f>
      </s:c>
      <s:c r="K299" s="6" t="n">
        <s:f>IF(SUMIF(C299:I299,"&lt;&gt;",'Потребление (МВт·ч)'!C299:I299)&gt;0,SUMPRODUCT(C299:I299,'Потребление (МВт·ч)'!C299:I299)/SUMIF(C299:I299,"&lt;&gt;",'Потребление (МВт·ч)'!C299:I299),"")</s:f>
        <s:v>1327.4184310515145</s:v>
      </s:c>
      <s:c r="L299" s="6" t="n">
        <s:f>IF(COUNT(C299:I299)&gt;0,AVERAGE(C299:I299),"")</s:f>
        <s:v>1357.330605</s:v>
      </s:c>
      <s:c r="M299" s="10" t="n">
        <s:f>COUNT(C299:I299)</s:f>
        <s:v>6</s:v>
      </s:c>
      <s:c r="N299" s="11" t="n">
        <s:f>IF(AND(COUNT('Потребление (МВт·ч)'!C299:I299)=7,SUM('Потребление (МВт·ч)'!C299:I299)&gt;0),SUMIF(C299:I299,"&lt;&gt;",'Потребление (МВт·ч)'!C299:I299)/SUM('Потребление (МВт·ч)'!C299:I299),"")</s:f>
        <s:v>0.9510358687498264</s:v>
      </s:c>
    </s:row>
    <s:row r="300">
      <s:c r="A300" s="5" t="n">
        <s:v>46278</s:v>
      </s:c>
      <s:c r="B300" s="2" t="n">
        <s:v>7</s:v>
      </s:c>
      <s:c r="C300" s="6" t="n">
        <s:v>1509.51514</s:v>
      </s:c>
      <s:c r="D300" s="6" t="n">
        <s:v>1811.43909</s:v>
      </s:c>
      <s:c r="E300" s="6" t="n">
        <s:v>1779.79</s:v>
      </s:c>
      <s:c r="F300" s="6" t="n">
        <s:v>1964.647</s:v>
      </s:c>
      <s:c r="G300" s="6" t="n">
        <s:v>1800.56519</s:v>
      </s:c>
      <s:c r="H300" s="6" t="n">
        <s:v>600.3203999999999</s:v>
      </s:c>
      <s:c r="I300" s="6" t="n"/>
      <s:c r="J300" s="6" t="str">
        <s:f>IF(AND(COUNT(C300:I300)=7,COUNT('Потребление (МВт·ч)'!C300:I300)=7,SUM('Потребление (МВт·ч)'!C300:I300)&gt;0),SUMPRODUCT(C300:I300,'Потребление (МВт·ч)'!C300:I300)/SUM('Потребление (МВт·ч)'!C300:I300),"")</s:f>
      </s:c>
      <s:c r="K300" s="6" t="n">
        <s:f>IF(SUMIF(C300:I300,"&lt;&gt;",'Потребление (МВт·ч)'!C300:I300)&gt;0,SUMPRODUCT(C300:I300,'Потребление (МВт·ч)'!C300:I300)/SUMIF(C300:I300,"&lt;&gt;",'Потребление (МВт·ч)'!C300:I300),"")</s:f>
        <s:v>1515.7746847523013</s:v>
      </s:c>
      <s:c r="L300" s="6" t="n">
        <s:f>IF(COUNT(C300:I300)&gt;0,AVERAGE(C300:I300),"")</s:f>
        <s:v>1577.7128033333336</s:v>
      </s:c>
      <s:c r="M300" s="10" t="n">
        <s:f>COUNT(C300:I300)</s:f>
        <s:v>6</s:v>
      </s:c>
      <s:c r="N300" s="11" t="n">
        <s:f>IF(AND(COUNT('Потребление (МВт·ч)'!C300:I300)=7,SUM('Потребление (МВт·ч)'!C300:I300)&gt;0),SUMIF(C300:I300,"&lt;&gt;",'Потребление (МВт·ч)'!C300:I300)/SUM('Потребление (МВт·ч)'!C300:I300),"")</s:f>
        <s:v>0.9536925103296465</s:v>
      </s:c>
    </s:row>
    <s:row r="301">
      <s:c r="A301" s="5" t="n">
        <s:v>46278</s:v>
      </s:c>
      <s:c r="B301" s="2" t="n">
        <s:v>8</s:v>
      </s:c>
      <s:c r="C301" s="6" t="n">
        <s:v>2165.951</s:v>
      </s:c>
      <s:c r="D301" s="6" t="n">
        <s:v>2388.60864</s:v>
      </s:c>
      <s:c r="E301" s="6" t="n">
        <s:v>2540.442</s:v>
      </s:c>
      <s:c r="F301" s="6" t="n">
        <s:v>2330.804</s:v>
      </s:c>
      <s:c r="G301" s="6" t="n">
        <s:v>1959.37451</s:v>
      </s:c>
      <s:c r="H301" s="6" t="n">
        <s:v>792.0879</s:v>
      </s:c>
      <s:c r="I301" s="6" t="n"/>
      <s:c r="J301" s="6" t="str">
        <s:f>IF(AND(COUNT(C301:I301)=7,COUNT('Потребление (МВт·ч)'!C301:I301)=7,SUM('Потребление (МВт·ч)'!C301:I301)&gt;0),SUMPRODUCT(C301:I301,'Потребление (МВт·ч)'!C301:I301)/SUM('Потребление (МВт·ч)'!C301:I301),"")</s:f>
      </s:c>
      <s:c r="K301" s="6" t="n">
        <s:f>IF(SUMIF(C301:I301,"&lt;&gt;",'Потребление (МВт·ч)'!C301:I301)&gt;0,SUMPRODUCT(C301:I301,'Потребление (МВт·ч)'!C301:I301)/SUMIF(C301:I301,"&lt;&gt;",'Потребление (МВт·ч)'!C301:I301),"")</s:f>
        <s:v>1921.1563207698293</s:v>
      </s:c>
      <s:c r="L301" s="6" t="n">
        <s:f>IF(COUNT(C301:I301)&gt;0,AVERAGE(C301:I301),"")</s:f>
        <s:v>2029.5446749999999</s:v>
      </s:c>
      <s:c r="M301" s="10" t="n">
        <s:f>COUNT(C301:I301)</s:f>
        <s:v>6</s:v>
      </s:c>
      <s:c r="N301" s="11" t="n">
        <s:f>IF(AND(COUNT('Потребление (МВт·ч)'!C301:I301)=7,SUM('Потребление (МВт·ч)'!C301:I301)&gt;0),SUMIF(C301:I301,"&lt;&gt;",'Потребление (МВт·ч)'!C301:I301)/SUM('Потребление (МВт·ч)'!C301:I301),"")</s:f>
        <s:v>0.9552795997200114</s:v>
      </s:c>
    </s:row>
    <s:row r="302">
      <s:c r="A302" s="5" t="n">
        <s:v>46278</s:v>
      </s:c>
      <s:c r="B302" s="2" t="n">
        <s:v>9</s:v>
      </s:c>
      <s:c r="C302" s="6" t="n">
        <s:v>2010.11743</s:v>
      </s:c>
      <s:c r="D302" s="6" t="n">
        <s:v>2688.564</s:v>
      </s:c>
      <s:c r="E302" s="6" t="n">
        <s:v>2873.117</s:v>
      </s:c>
      <s:c r="F302" s="6" t="n">
        <s:v>2603.12231</s:v>
      </s:c>
      <s:c r="G302" s="6" t="n">
        <s:v>2226.43262</s:v>
      </s:c>
      <s:c r="H302" s="6" t="n">
        <s:v>910.0776</s:v>
      </s:c>
      <s:c r="I302" s="6" t="n"/>
      <s:c r="J302" s="6" t="str">
        <s:f>IF(AND(COUNT(C302:I302)=7,COUNT('Потребление (МВт·ч)'!C302:I302)=7,SUM('Потребление (МВт·ч)'!C302:I302)&gt;0),SUMPRODUCT(C302:I302,'Потребление (МВт·ч)'!C302:I302)/SUM('Потребление (МВт·ч)'!C302:I302),"")</s:f>
      </s:c>
      <s:c r="K302" s="6" t="n">
        <s:f>IF(SUMIF(C302:I302,"&lt;&gt;",'Потребление (МВт·ч)'!C302:I302)&gt;0,SUMPRODUCT(C302:I302,'Потребление (МВт·ч)'!C302:I302)/SUMIF(C302:I302,"&lt;&gt;",'Потребление (МВт·ч)'!C302:I302),"")</s:f>
        <s:v>2142.8173990061237</s:v>
      </s:c>
      <s:c r="L302" s="6" t="n">
        <s:f>IF(COUNT(C302:I302)&gt;0,AVERAGE(C302:I302),"")</s:f>
        <s:v>2218.5718266666668</s:v>
      </s:c>
      <s:c r="M302" s="10" t="n">
        <s:f>COUNT(C302:I302)</s:f>
        <s:v>6</s:v>
      </s:c>
      <s:c r="N302" s="11" t="n">
        <s:f>IF(AND(COUNT('Потребление (МВт·ч)'!C302:I302)=7,SUM('Потребление (МВт·ч)'!C302:I302)&gt;0),SUMIF(C302:I302,"&lt;&gt;",'Потребление (МВт·ч)'!C302:I302)/SUM('Потребление (МВт·ч)'!C302:I302),"")</s:f>
        <s:v>0.9561824221265633</s:v>
      </s:c>
    </s:row>
    <s:row r="303">
      <s:c r="A303" s="5" t="n">
        <s:v>46278</s:v>
      </s:c>
      <s:c r="B303" s="2" t="n">
        <s:v>10</s:v>
      </s:c>
      <s:c r="C303" s="6" t="n">
        <s:v>2428.663</s:v>
      </s:c>
      <s:c r="D303" s="6" t="n">
        <s:v>2783.975</s:v>
      </s:c>
      <s:c r="E303" s="6" t="n">
        <s:v>2928.19971</s:v>
      </s:c>
      <s:c r="F303" s="6" t="n">
        <s:v>2684.04443</s:v>
      </s:c>
      <s:c r="G303" s="6" t="n">
        <s:v>2290.97778</s:v>
      </s:c>
      <s:c r="H303" s="6" t="n">
        <s:v>969.619</s:v>
      </s:c>
      <s:c r="I303" s="6" t="n"/>
      <s:c r="J303" s="6" t="str">
        <s:f>IF(AND(COUNT(C303:I303)=7,COUNT('Потребление (МВт·ч)'!C303:I303)=7,SUM('Потребление (МВт·ч)'!C303:I303)&gt;0),SUMPRODUCT(C303:I303,'Потребление (МВт·ч)'!C303:I303)/SUM('Потребление (МВт·ч)'!C303:I303),"")</s:f>
      </s:c>
      <s:c r="K303" s="6" t="n">
        <s:f>IF(SUMIF(C303:I303,"&lt;&gt;",'Потребление (МВт·ч)'!C303:I303)&gt;0,SUMPRODUCT(C303:I303,'Потребление (МВт·ч)'!C303:I303)/SUMIF(C303:I303,"&lt;&gt;",'Потребление (МВт·ч)'!C303:I303),"")</s:f>
        <s:v>2249.1212530390785</s:v>
      </s:c>
      <s:c r="L303" s="6" t="n">
        <s:f>IF(COUNT(C303:I303)&gt;0,AVERAGE(C303:I303),"")</s:f>
        <s:v>2347.57982</s:v>
      </s:c>
      <s:c r="M303" s="10" t="n">
        <s:f>COUNT(C303:I303)</s:f>
        <s:v>6</s:v>
      </s:c>
      <s:c r="N303" s="11" t="n">
        <s:f>IF(AND(COUNT('Потребление (МВт·ч)'!C303:I303)=7,SUM('Потребление (МВт·ч)'!C303:I303)&gt;0),SUMIF(C303:I303,"&lt;&gt;",'Потребление (МВт·ч)'!C303:I303)/SUM('Потребление (МВт·ч)'!C303:I303),"")</s:f>
        <s:v>0.956217748747585</s:v>
      </s:c>
    </s:row>
    <s:row r="304">
      <s:c r="A304" s="5" t="n">
        <s:v>46278</s:v>
      </s:c>
      <s:c r="B304" s="2" t="n">
        <s:v>11</s:v>
      </s:c>
      <s:c r="C304" s="6" t="n">
        <s:v>2446.615</s:v>
      </s:c>
      <s:c r="D304" s="6" t="n">
        <s:v>2796.712</s:v>
      </s:c>
      <s:c r="E304" s="6" t="n">
        <s:v>2921.476</s:v>
      </s:c>
      <s:c r="F304" s="6" t="n">
        <s:v>2693.702</s:v>
      </s:c>
      <s:c r="G304" s="6" t="n">
        <s:v>2298.53149</s:v>
      </s:c>
      <s:c r="H304" s="6" t="n">
        <s:v>940.7209</s:v>
      </s:c>
      <s:c r="I304" s="6" t="n"/>
      <s:c r="J304" s="6" t="str">
        <s:f>IF(AND(COUNT(C304:I304)=7,COUNT('Потребление (МВт·ч)'!C304:I304)=7,SUM('Потребление (МВт·ч)'!C304:I304)&gt;0),SUMPRODUCT(C304:I304,'Потребление (МВт·ч)'!C304:I304)/SUM('Потребление (МВт·ч)'!C304:I304),"")</s:f>
      </s:c>
      <s:c r="K304" s="6" t="n">
        <s:f>IF(SUMIF(C304:I304,"&lt;&gt;",'Потребление (МВт·ч)'!C304:I304)&gt;0,SUMPRODUCT(C304:I304,'Потребление (МВт·ч)'!C304:I304)/SUMIF(C304:I304,"&lt;&gt;",'Потребление (МВт·ч)'!C304:I304),"")</s:f>
        <s:v>2252.282253583425</s:v>
      </s:c>
      <s:c r="L304" s="6" t="n">
        <s:f>IF(COUNT(C304:I304)&gt;0,AVERAGE(C304:I304),"")</s:f>
        <s:v>2349.6262316666666</s:v>
      </s:c>
      <s:c r="M304" s="10" t="n">
        <s:f>COUNT(C304:I304)</s:f>
        <s:v>6</s:v>
      </s:c>
      <s:c r="N304" s="11" t="n">
        <s:f>IF(AND(COUNT('Потребление (МВт·ч)'!C304:I304)=7,SUM('Потребление (МВт·ч)'!C304:I304)&gt;0),SUMIF(C304:I304,"&lt;&gt;",'Потребление (МВт·ч)'!C304:I304)/SUM('Потребление (МВт·ч)'!C304:I304),"")</s:f>
        <s:v>0.9554906845844763</s:v>
      </s:c>
    </s:row>
    <s:row r="305">
      <s:c r="A305" s="5" t="n">
        <s:v>46278</s:v>
      </s:c>
      <s:c r="B305" s="2" t="n">
        <s:v>12</s:v>
      </s:c>
      <s:c r="C305" s="6" t="n">
        <s:v>2501.21436</s:v>
      </s:c>
      <s:c r="D305" s="6" t="n">
        <s:v>2806.2085</s:v>
      </s:c>
      <s:c r="E305" s="6" t="n">
        <s:v>2926.50073</s:v>
      </s:c>
      <s:c r="F305" s="6" t="n">
        <s:v>2700.509</s:v>
      </s:c>
      <s:c r="G305" s="6" t="n">
        <s:v>2310.844</s:v>
      </s:c>
      <s:c r="H305" s="6" t="n">
        <s:v>1011.36041</s:v>
      </s:c>
      <s:c r="I305" s="6" t="n"/>
      <s:c r="J305" s="6" t="str">
        <s:f>IF(AND(COUNT(C305:I305)=7,COUNT('Потребление (МВт·ч)'!C305:I305)=7,SUM('Потребление (МВт·ч)'!C305:I305)&gt;0),SUMPRODUCT(C305:I305,'Потребление (МВт·ч)'!C305:I305)/SUM('Потребление (МВт·ч)'!C305:I305),"")</s:f>
      </s:c>
      <s:c r="K305" s="6" t="n">
        <s:f>IF(SUMIF(C305:I305,"&lt;&gt;",'Потребление (МВт·ч)'!C305:I305)&gt;0,SUMPRODUCT(C305:I305,'Потребление (МВт·ч)'!C305:I305)/SUMIF(C305:I305,"&lt;&gt;",'Потребление (МВт·ч)'!C305:I305),"")</s:f>
        <s:v>2281.071393011668</s:v>
      </s:c>
      <s:c r="L305" s="6" t="n">
        <s:f>IF(COUNT(C305:I305)&gt;0,AVERAGE(C305:I305),"")</s:f>
        <s:v>2376.106166666667</s:v>
      </s:c>
      <s:c r="M305" s="10" t="n">
        <s:f>COUNT(C305:I305)</s:f>
        <s:v>6</s:v>
      </s:c>
      <s:c r="N305" s="11" t="n">
        <s:f>IF(AND(COUNT('Потребление (МВт·ч)'!C305:I305)=7,SUM('Потребление (МВт·ч)'!C305:I305)&gt;0),SUMIF(C305:I305,"&lt;&gt;",'Потребление (МВт·ч)'!C305:I305)/SUM('Потребление (МВт·ч)'!C305:I305),"")</s:f>
        <s:v>0.9555035323222009</s:v>
      </s:c>
    </s:row>
    <s:row r="306">
      <s:c r="A306" s="5" t="n">
        <s:v>46278</s:v>
      </s:c>
      <s:c r="B306" s="2" t="n">
        <s:v>13</s:v>
      </s:c>
      <s:c r="C306" s="6" t="n">
        <s:v>2514.66162</s:v>
      </s:c>
      <s:c r="D306" s="6" t="n">
        <s:v>2817.38647</s:v>
      </s:c>
      <s:c r="E306" s="6" t="n">
        <s:v>2925.74536</s:v>
      </s:c>
      <s:c r="F306" s="6" t="n">
        <s:v>2710.59082</s:v>
      </s:c>
      <s:c r="G306" s="6" t="n">
        <s:v>2313.07837</s:v>
      </s:c>
      <s:c r="H306" s="6" t="n">
        <s:v>1510.49072</s:v>
      </s:c>
      <s:c r="I306" s="6" t="n"/>
      <s:c r="J306" s="6" t="str">
        <s:f>IF(AND(COUNT(C306:I306)=7,COUNT('Потребление (МВт·ч)'!C306:I306)=7,SUM('Потребление (МВт·ч)'!C306:I306)&gt;0),SUMPRODUCT(C306:I306,'Потребление (МВт·ч)'!C306:I306)/SUM('Потребление (МВт·ч)'!C306:I306),"")</s:f>
      </s:c>
      <s:c r="K306" s="6" t="n">
        <s:f>IF(SUMIF(C306:I306,"&lt;&gt;",'Потребление (МВт·ч)'!C306:I306)&gt;0,SUMPRODUCT(C306:I306,'Потребление (МВт·ч)'!C306:I306)/SUMIF(C306:I306,"&lt;&gt;",'Потребление (МВт·ч)'!C306:I306),"")</s:f>
        <s:v>2391.787245006718</s:v>
      </s:c>
      <s:c r="L306" s="6" t="n">
        <s:f>IF(COUNT(C306:I306)&gt;0,AVERAGE(C306:I306),"")</s:f>
        <s:v>2465.32556</s:v>
      </s:c>
      <s:c r="M306" s="10" t="n">
        <s:f>COUNT(C306:I306)</s:f>
        <s:v>6</s:v>
      </s:c>
      <s:c r="N306" s="11" t="n">
        <s:f>IF(AND(COUNT('Потребление (МВт·ч)'!C306:I306)=7,SUM('Потребление (МВт·ч)'!C306:I306)&gt;0),SUMIF(C306:I306,"&lt;&gt;",'Потребление (МВт·ч)'!C306:I306)/SUM('Потребление (МВт·ч)'!C306:I306),"")</s:f>
        <s:v>0.9550519936415419</s:v>
      </s:c>
    </s:row>
    <s:row r="307">
      <s:c r="A307" s="5" t="n">
        <s:v>46278</s:v>
      </s:c>
      <s:c r="B307" s="2" t="n">
        <s:v>14</s:v>
      </s:c>
      <s:c r="C307" s="6" t="n">
        <s:v>2520.70459</s:v>
      </s:c>
      <s:c r="D307" s="6" t="n">
        <s:v>2833.42554</s:v>
      </s:c>
      <s:c r="E307" s="6" t="n">
        <s:v>2987.584</s:v>
      </s:c>
      <s:c r="F307" s="6" t="n">
        <s:v>2736.67114</s:v>
      </s:c>
      <s:c r="G307" s="6" t="n">
        <s:v>2373.83472</s:v>
      </s:c>
      <s:c r="H307" s="6" t="n">
        <s:v>1826.64832</s:v>
      </s:c>
      <s:c r="I307" s="6" t="n"/>
      <s:c r="J307" s="6" t="str">
        <s:f>IF(AND(COUNT(C307:I307)=7,COUNT('Потребление (МВт·ч)'!C307:I307)=7,SUM('Потребление (МВт·ч)'!C307:I307)&gt;0),SUMPRODUCT(C307:I307,'Потребление (МВт·ч)'!C307:I307)/SUM('Потребление (МВт·ч)'!C307:I307),"")</s:f>
      </s:c>
      <s:c r="K307" s="6" t="n">
        <s:f>IF(SUMIF(C307:I307,"&lt;&gt;",'Потребление (МВт·ч)'!C307:I307)&gt;0,SUMPRODUCT(C307:I307,'Потребление (МВт·ч)'!C307:I307)/SUMIF(C307:I307,"&lt;&gt;",'Потребление (МВт·ч)'!C307:I307),"")</s:f>
        <s:v>2485.8080876613685</s:v>
      </s:c>
      <s:c r="L307" s="6" t="n">
        <s:f>IF(COUNT(C307:I307)&gt;0,AVERAGE(C307:I307),"")</s:f>
        <s:v>2546.478051666667</s:v>
      </s:c>
      <s:c r="M307" s="10" t="n">
        <s:f>COUNT(C307:I307)</s:f>
        <s:v>6</s:v>
      </s:c>
      <s:c r="N307" s="11" t="n">
        <s:f>IF(AND(COUNT('Потребление (МВт·ч)'!C307:I307)=7,SUM('Потребление (МВт·ч)'!C307:I307)&gt;0),SUMIF(C307:I307,"&lt;&gt;",'Потребление (МВт·ч)'!C307:I307)/SUM('Потребление (МВт·ч)'!C307:I307),"")</s:f>
        <s:v>0.9563599514925993</s:v>
      </s:c>
    </s:row>
    <s:row r="308">
      <s:c r="A308" s="5" t="n">
        <s:v>46278</s:v>
      </s:c>
      <s:c r="B308" s="2" t="n">
        <s:v>15</s:v>
      </s:c>
      <s:c r="C308" s="6" t="n">
        <s:v>2166.61035</s:v>
      </s:c>
      <s:c r="D308" s="6" t="n">
        <s:v>2823.29175</s:v>
      </s:c>
      <s:c r="E308" s="6" t="n">
        <s:v>3280.382</s:v>
      </s:c>
      <s:c r="F308" s="6" t="n">
        <s:v>2748.87378</s:v>
      </s:c>
      <s:c r="G308" s="6" t="n">
        <s:v>2416.93262</s:v>
      </s:c>
      <s:c r="H308" s="6" t="n">
        <s:v>1840.88635</s:v>
      </s:c>
      <s:c r="I308" s="6" t="n"/>
      <s:c r="J308" s="6" t="str">
        <s:f>IF(AND(COUNT(C308:I308)=7,COUNT('Потребление (МВт·ч)'!C308:I308)=7,SUM('Потребление (МВт·ч)'!C308:I308)&gt;0),SUMPRODUCT(C308:I308,'Потребление (МВт·ч)'!C308:I308)/SUM('Потребление (МВт·ч)'!C308:I308),"")</s:f>
      </s:c>
      <s:c r="K308" s="6" t="n">
        <s:f>IF(SUMIF(C308:I308,"&lt;&gt;",'Потребление (МВт·ч)'!C308:I308)&gt;0,SUMPRODUCT(C308:I308,'Потребление (МВт·ч)'!C308:I308)/SUMIF(C308:I308,"&lt;&gt;",'Потребление (МВт·ч)'!C308:I308),"")</s:f>
        <s:v>2498.933347247865</s:v>
      </s:c>
      <s:c r="L308" s="6" t="n">
        <s:f>IF(COUNT(C308:I308)&gt;0,AVERAGE(C308:I308),"")</s:f>
        <s:v>2546.162808333333</s:v>
      </s:c>
      <s:c r="M308" s="10" t="n">
        <s:f>COUNT(C308:I308)</s:f>
        <s:v>6</s:v>
      </s:c>
      <s:c r="N308" s="11" t="n">
        <s:f>IF(AND(COUNT('Потребление (МВт·ч)'!C308:I308)=7,SUM('Потребление (МВт·ч)'!C308:I308)&gt;0),SUMIF(C308:I308,"&lt;&gt;",'Потребление (МВт·ч)'!C308:I308)/SUM('Потребление (МВт·ч)'!C308:I308),"")</s:f>
        <s:v>0.9588636156629599</s:v>
      </s:c>
    </s:row>
    <s:row r="309">
      <s:c r="A309" s="5" t="n">
        <s:v>46278</s:v>
      </s:c>
      <s:c r="B309" s="2" t="n">
        <s:v>16</s:v>
      </s:c>
      <s:c r="C309" s="6" t="n">
        <s:v>2171.74365</s:v>
      </s:c>
      <s:c r="D309" s="6" t="n">
        <s:v>2836.64014</s:v>
      </s:c>
      <s:c r="E309" s="6" t="n">
        <s:v>3413.42529</s:v>
      </s:c>
      <s:c r="F309" s="6" t="n">
        <s:v>2765.93237</s:v>
      </s:c>
      <s:c r="G309" s="6" t="n">
        <s:v>2513.243</s:v>
      </s:c>
      <s:c r="H309" s="6" t="n">
        <s:v>2167.12183</s:v>
      </s:c>
      <s:c r="I309" s="6" t="n"/>
      <s:c r="J309" s="6" t="str">
        <s:f>IF(AND(COUNT(C309:I309)=7,COUNT('Потребление (МВт·ч)'!C309:I309)=7,SUM('Потребление (МВт·ч)'!C309:I309)&gt;0),SUMPRODUCT(C309:I309,'Потребление (МВт·ч)'!C309:I309)/SUM('Потребление (МВт·ч)'!C309:I309),"")</s:f>
      </s:c>
      <s:c r="K309" s="6" t="n">
        <s:f>IF(SUMIF(C309:I309,"&lt;&gt;",'Потребление (МВт·ч)'!C309:I309)&gt;0,SUMPRODUCT(C309:I309,'Потребление (МВт·ч)'!C309:I309)/SUMIF(C309:I309,"&lt;&gt;",'Потребление (МВт·ч)'!C309:I309),"")</s:f>
        <s:v>2612.5541041379547</s:v>
      </s:c>
      <s:c r="L309" s="6" t="n">
        <s:f>IF(COUNT(C309:I309)&gt;0,AVERAGE(C309:I309),"")</s:f>
        <s:v>2644.68438</s:v>
      </s:c>
      <s:c r="M309" s="10" t="n">
        <s:f>COUNT(C309:I309)</s:f>
        <s:v>6</s:v>
      </s:c>
      <s:c r="N309" s="11" t="n">
        <s:f>IF(AND(COUNT('Потребление (МВт·ч)'!C309:I309)=7,SUM('Потребление (МВт·ч)'!C309:I309)&gt;0),SUMIF(C309:I309,"&lt;&gt;",'Потребление (МВт·ч)'!C309:I309)/SUM('Потребление (МВт·ч)'!C309:I309),"")</s:f>
        <s:v>0.9599525732337261</s:v>
      </s:c>
    </s:row>
    <s:row r="310">
      <s:c r="A310" s="5" t="n">
        <s:v>46278</s:v>
      </s:c>
      <s:c r="B310" s="2" t="n">
        <s:v>17</s:v>
      </s:c>
      <s:c r="C310" s="6" t="n">
        <s:v>2184.24585</s:v>
      </s:c>
      <s:c r="D310" s="6" t="n">
        <s:v>2833.52979</s:v>
      </s:c>
      <s:c r="E310" s="6" t="n">
        <s:v>2994.304</s:v>
      </s:c>
      <s:c r="F310" s="6" t="n">
        <s:v>2774.65</s:v>
      </s:c>
      <s:c r="G310" s="6" t="n">
        <s:v>2519.53687</s:v>
      </s:c>
      <s:c r="H310" s="6" t="n">
        <s:v>1378.90344</s:v>
      </s:c>
      <s:c r="I310" s="6" t="n"/>
      <s:c r="J310" s="6" t="str">
        <s:f>IF(AND(COUNT(C310:I310)=7,COUNT('Потребление (МВт·ч)'!C310:I310)=7,SUM('Потребление (МВт·ч)'!C310:I310)&gt;0),SUMPRODUCT(C310:I310,'Потребление (МВт·ч)'!C310:I310)/SUM('Потребление (МВт·ч)'!C310:I310),"")</s:f>
      </s:c>
      <s:c r="K310" s="6" t="n">
        <s:f>IF(SUMIF(C310:I310,"&lt;&gt;",'Потребление (МВт·ч)'!C310:I310)&gt;0,SUMPRODUCT(C310:I310,'Потребление (МВт·ч)'!C310:I310)/SUMIF(C310:I310,"&lt;&gt;",'Потребление (МВт·ч)'!C310:I310),"")</s:f>
        <s:v>2404.2884469451847</s:v>
      </s:c>
      <s:c r="L310" s="6" t="n">
        <s:f>IF(COUNT(C310:I310)&gt;0,AVERAGE(C310:I310),"")</s:f>
        <s:v>2447.5283249999998</s:v>
      </s:c>
      <s:c r="M310" s="10" t="n">
        <s:f>COUNT(C310:I310)</s:f>
        <s:v>6</s:v>
      </s:c>
      <s:c r="N310" s="11" t="n">
        <s:f>IF(AND(COUNT('Потребление (МВт·ч)'!C310:I310)=7,SUM('Потребление (МВт·ч)'!C310:I310)&gt;0),SUMIF(C310:I310,"&lt;&gt;",'Потребление (МВт·ч)'!C310:I310)/SUM('Потребление (МВт·ч)'!C310:I310),"")</s:f>
        <s:v>0.9619907619325039</s:v>
      </s:c>
    </s:row>
    <s:row r="311">
      <s:c r="A311" s="5" t="n">
        <s:v>46278</s:v>
      </s:c>
      <s:c r="B311" s="2" t="n">
        <s:v>18</s:v>
      </s:c>
      <s:c r="C311" s="6" t="n">
        <s:v>2213.58374</s:v>
      </s:c>
      <s:c r="D311" s="6" t="n">
        <s:v>2867.45435</s:v>
      </s:c>
      <s:c r="E311" s="6" t="n">
        <s:v>3226.48877</s:v>
      </s:c>
      <s:c r="F311" s="6" t="n">
        <s:v>2773.40869</s:v>
      </s:c>
      <s:c r="G311" s="6" t="n">
        <s:v>2486.68872</s:v>
      </s:c>
      <s:c r="H311" s="6" t="n">
        <s:v>934.2902</s:v>
      </s:c>
      <s:c r="I311" s="6" t="n"/>
      <s:c r="J311" s="6" t="str">
        <s:f>IF(AND(COUNT(C311:I311)=7,COUNT('Потребление (МВт·ч)'!C311:I311)=7,SUM('Потребление (МВт·ч)'!C311:I311)&gt;0),SUMPRODUCT(C311:I311,'Потребление (МВт·ч)'!C311:I311)/SUM('Потребление (МВт·ч)'!C311:I311),"")</s:f>
      </s:c>
      <s:c r="K311" s="6" t="n">
        <s:f>IF(SUMIF(C311:I311,"&lt;&gt;",'Потребление (МВт·ч)'!C311:I311)&gt;0,SUMPRODUCT(C311:I311,'Потребление (МВт·ч)'!C311:I311)/SUMIF(C311:I311,"&lt;&gt;",'Потребление (МВт·ч)'!C311:I311),"")</s:f>
        <s:v>2356.353133721679</s:v>
      </s:c>
      <s:c r="L311" s="6" t="n">
        <s:f>IF(COUNT(C311:I311)&gt;0,AVERAGE(C311:I311),"")</s:f>
        <s:v>2416.985745</s:v>
      </s:c>
      <s:c r="M311" s="10" t="n">
        <s:f>COUNT(C311:I311)</s:f>
        <s:v>6</s:v>
      </s:c>
      <s:c r="N311" s="11" t="n">
        <s:f>IF(AND(COUNT('Потребление (МВт·ч)'!C311:I311)=7,SUM('Потребление (МВт·ч)'!C311:I311)&gt;0),SUMIF(C311:I311,"&lt;&gt;",'Потребление (МВт·ч)'!C311:I311)/SUM('Потребление (МВт·ч)'!C311:I311),"")</s:f>
        <s:v>0.963314316040865</s:v>
      </s:c>
    </s:row>
    <s:row r="312">
      <s:c r="A312" s="5" t="n">
        <s:v>46278</s:v>
      </s:c>
      <s:c r="B312" s="2" t="n">
        <s:v>19</s:v>
      </s:c>
      <s:c r="C312" s="6" t="n">
        <s:v>2132.00732</s:v>
      </s:c>
      <s:c r="D312" s="6" t="n">
        <s:v>2808.36255</s:v>
      </s:c>
      <s:c r="E312" s="6" t="n">
        <s:v>3051.27075</s:v>
      </s:c>
      <s:c r="F312" s="6" t="n">
        <s:v>2660.82446</s:v>
      </s:c>
      <s:c r="G312" s="6" t="n">
        <s:v>2337.62524</s:v>
      </s:c>
      <s:c r="H312" s="6" t="n">
        <s:v>851.0755</s:v>
      </s:c>
      <s:c r="I312" s="6" t="n"/>
      <s:c r="J312" s="6" t="str">
        <s:f>IF(AND(COUNT(C312:I312)=7,COUNT('Потребление (МВт·ч)'!C312:I312)=7,SUM('Потребление (МВт·ч)'!C312:I312)&gt;0),SUMPRODUCT(C312:I312,'Потребление (МВт·ч)'!C312:I312)/SUM('Потребление (МВт·ч)'!C312:I312),"")</s:f>
      </s:c>
      <s:c r="K312" s="6" t="n">
        <s:f>IF(SUMIF(C312:I312,"&lt;&gt;",'Потребление (МВт·ч)'!C312:I312)&gt;0,SUMPRODUCT(C312:I312,'Потребление (МВт·ч)'!C312:I312)/SUMIF(C312:I312,"&lt;&gt;",'Потребление (МВт·ч)'!C312:I312),"")</s:f>
        <s:v>2260.857839599445</s:v>
      </s:c>
      <s:c r="L312" s="6" t="n">
        <s:f>IF(COUNT(C312:I312)&gt;0,AVERAGE(C312:I312),"")</s:f>
        <s:v>2306.86097</s:v>
      </s:c>
      <s:c r="M312" s="10" t="n">
        <s:f>COUNT(C312:I312)</s:f>
        <s:v>6</s:v>
      </s:c>
      <s:c r="N312" s="11" t="n">
        <s:f>IF(AND(COUNT('Потребление (МВт·ч)'!C312:I312)=7,SUM('Потребление (МВт·ч)'!C312:I312)&gt;0),SUMIF(C312:I312,"&lt;&gt;",'Потребление (МВт·ч)'!C312:I312)/SUM('Потребление (МВт·ч)'!C312:I312),"")</s:f>
        <s:v>0.9630665084908869</s:v>
      </s:c>
    </s:row>
    <s:row r="313">
      <s:c r="A313" s="5" t="n">
        <s:v>46278</s:v>
      </s:c>
      <s:c r="B313" s="2" t="n">
        <s:v>20</s:v>
      </s:c>
      <s:c r="C313" s="6" t="n">
        <s:v>2136.413</s:v>
      </s:c>
      <s:c r="D313" s="6" t="n">
        <s:v>2813.87549</s:v>
      </s:c>
      <s:c r="E313" s="6" t="n">
        <s:v>3021.65332</s:v>
      </s:c>
      <s:c r="F313" s="6" t="n">
        <s:v>2696.13525</s:v>
      </s:c>
      <s:c r="G313" s="6" t="n">
        <s:v>2085.13037</s:v>
      </s:c>
      <s:c r="H313" s="6" t="n">
        <s:v>683.646667</s:v>
      </s:c>
      <s:c r="I313" s="6" t="n"/>
      <s:c r="J313" s="6" t="str">
        <s:f>IF(AND(COUNT(C313:I313)=7,COUNT('Потребление (МВт·ч)'!C313:I313)=7,SUM('Потребление (МВт·ч)'!C313:I313)&gt;0),SUMPRODUCT(C313:I313,'Потребление (МВт·ч)'!C313:I313)/SUM('Потребление (МВт·ч)'!C313:I313),"")</s:f>
      </s:c>
      <s:c r="K313" s="6" t="n">
        <s:f>IF(SUMIF(C313:I313,"&lt;&gt;",'Потребление (МВт·ч)'!C313:I313)&gt;0,SUMPRODUCT(C313:I313,'Потребление (МВт·ч)'!C313:I313)/SUMIF(C313:I313,"&lt;&gt;",'Потребление (МВт·ч)'!C313:I313),"")</s:f>
        <s:v>2175.296308551991</s:v>
      </s:c>
      <s:c r="L313" s="6" t="n">
        <s:f>IF(COUNT(C313:I313)&gt;0,AVERAGE(C313:I313),"")</s:f>
        <s:v>2239.4756828333334</s:v>
      </s:c>
      <s:c r="M313" s="10" t="n">
        <s:f>COUNT(C313:I313)</s:f>
        <s:v>6</s:v>
      </s:c>
      <s:c r="N313" s="11" t="n">
        <s:f>IF(AND(COUNT('Потребление (МВт·ч)'!C313:I313)=7,SUM('Потребление (МВт·ч)'!C313:I313)&gt;0),SUMIF(C313:I313,"&lt;&gt;",'Потребление (МВт·ч)'!C313:I313)/SUM('Потребление (МВт·ч)'!C313:I313),"")</s:f>
        <s:v>0.9633756885539522</s:v>
      </s:c>
    </s:row>
    <s:row r="314">
      <s:c r="A314" s="5" t="n">
        <s:v>46278</s:v>
      </s:c>
      <s:c r="B314" s="2" t="n">
        <s:v>21</s:v>
      </s:c>
      <s:c r="C314" s="6" t="n">
        <s:v>1930.09851</s:v>
      </s:c>
      <s:c r="D314" s="6" t="n">
        <s:v>2596.757</s:v>
      </s:c>
      <s:c r="E314" s="6" t="n">
        <s:v>2933.23</s:v>
      </s:c>
      <s:c r="F314" s="6" t="n">
        <s:v>2575.18433</s:v>
      </s:c>
      <s:c r="G314" s="6" t="n">
        <s:v>1681.26465</s:v>
      </s:c>
      <s:c r="H314" s="6" t="n">
        <s:v>749.7687</s:v>
      </s:c>
      <s:c r="I314" s="6" t="n"/>
      <s:c r="J314" s="6" t="str">
        <s:f>IF(AND(COUNT(C314:I314)=7,COUNT('Потребление (МВт·ч)'!C314:I314)=7,SUM('Потребление (МВт·ч)'!C314:I314)&gt;0),SUMPRODUCT(C314:I314,'Потребление (МВт·ч)'!C314:I314)/SUM('Потребление (МВт·ч)'!C314:I314),"")</s:f>
      </s:c>
      <s:c r="K314" s="6" t="n">
        <s:f>IF(SUMIF(C314:I314,"&lt;&gt;",'Потребление (МВт·ч)'!C314:I314)&gt;0,SUMPRODUCT(C314:I314,'Потребление (МВт·ч)'!C314:I314)/SUMIF(C314:I314,"&lt;&gt;",'Потребление (МВт·ч)'!C314:I314),"")</s:f>
        <s:v>1983.106591515293</s:v>
      </s:c>
      <s:c r="L314" s="6" t="n">
        <s:f>IF(COUNT(C314:I314)&gt;0,AVERAGE(C314:I314),"")</s:f>
        <s:v>2077.7171983333337</s:v>
      </s:c>
      <s:c r="M314" s="10" t="n">
        <s:f>COUNT(C314:I314)</s:f>
        <s:v>6</s:v>
      </s:c>
      <s:c r="N314" s="11" t="n">
        <s:f>IF(AND(COUNT('Потребление (МВт·ч)'!C314:I314)=7,SUM('Потребление (МВт·ч)'!C314:I314)&gt;0),SUMIF(C314:I314,"&lt;&gt;",'Потребление (МВт·ч)'!C314:I314)/SUM('Потребление (МВт·ч)'!C314:I314),"")</s:f>
        <s:v>0.9608869725900832</s:v>
      </s:c>
    </s:row>
    <s:row r="315">
      <s:c r="A315" s="5" t="n">
        <s:v>46278</s:v>
      </s:c>
      <s:c r="B315" s="2" t="n">
        <s:v>22</s:v>
      </s:c>
      <s:c r="C315" s="6" t="n">
        <s:v>1829.40576</s:v>
      </s:c>
      <s:c r="D315" s="6" t="n">
        <s:v>2058.794</s:v>
      </s:c>
      <s:c r="E315" s="6" t="n">
        <s:v>2639.99829</s:v>
      </s:c>
      <s:c r="F315" s="6" t="n">
        <s:v>2191.12256</s:v>
      </s:c>
      <s:c r="G315" s="6" t="n">
        <s:v>1544.21021</s:v>
      </s:c>
      <s:c r="H315" s="6" t="n">
        <s:v>0</s:v>
      </s:c>
      <s:c r="I315" s="6" t="n"/>
      <s:c r="J315" s="6" t="str">
        <s:f>IF(AND(COUNT(C315:I315)=7,COUNT('Потребление (МВт·ч)'!C315:I315)=7,SUM('Потребление (МВт·ч)'!C315:I315)&gt;0),SUMPRODUCT(C315:I315,'Потребление (МВт·ч)'!C315:I315)/SUM('Потребление (МВт·ч)'!C315:I315),"")</s:f>
      </s:c>
      <s:c r="K315" s="6" t="n">
        <s:f>IF(SUMIF(C315:I315,"&lt;&gt;",'Потребление (МВт·ч)'!C315:I315)&gt;0,SUMPRODUCT(C315:I315,'Потребление (МВт·ч)'!C315:I315)/SUMIF(C315:I315,"&lt;&gt;",'Потребление (МВт·ч)'!C315:I315),"")</s:f>
        <s:v>1558.966528807613</s:v>
      </s:c>
      <s:c r="L315" s="6" t="n">
        <s:f>IF(COUNT(C315:I315)&gt;0,AVERAGE(C315:I315),"")</s:f>
        <s:v>1710.5884699999997</s:v>
      </s:c>
      <s:c r="M315" s="10" t="n">
        <s:f>COUNT(C315:I315)</s:f>
        <s:v>6</s:v>
      </s:c>
      <s:c r="N315" s="11" t="n">
        <s:f>IF(AND(COUNT('Потребление (МВт·ч)'!C315:I315)=7,SUM('Потребление (МВт·ч)'!C315:I315)&gt;0),SUMIF(C315:I315,"&lt;&gt;",'Потребление (МВт·ч)'!C315:I315)/SUM('Потребление (МВт·ч)'!C315:I315),"")</s:f>
        <s:v>0.9594104038843119</s:v>
      </s:c>
    </s:row>
    <s:row r="316">
      <s:c r="A316" s="5" t="n">
        <s:v>46278</s:v>
      </s:c>
      <s:c r="B316" s="2" t="n">
        <s:v>23</s:v>
      </s:c>
      <s:c r="C316" s="6" t="n">
        <s:v>1400.41675</s:v>
      </s:c>
      <s:c r="D316" s="6" t="n">
        <s:v>1726.99829</s:v>
      </s:c>
      <s:c r="E316" s="6" t="n">
        <s:v>1715.35986</s:v>
      </s:c>
      <s:c r="F316" s="6" t="n">
        <s:v>1816.86609</s:v>
      </s:c>
      <s:c r="G316" s="6" t="n">
        <s:v>1582.46936</s:v>
      </s:c>
      <s:c r="H316" s="6" t="n">
        <s:v>521.1045</s:v>
      </s:c>
      <s:c r="I316" s="6" t="n"/>
      <s:c r="J316" s="6" t="str">
        <s:f>IF(AND(COUNT(C316:I316)=7,COUNT('Потребление (МВт·ч)'!C316:I316)=7,SUM('Потребление (МВт·ч)'!C316:I316)&gt;0),SUMPRODUCT(C316:I316,'Потребление (МВт·ч)'!C316:I316)/SUM('Потребление (МВт·ч)'!C316:I316),"")</s:f>
      </s:c>
      <s:c r="K316" s="6" t="n">
        <s:f>IF(SUMIF(C316:I316,"&lt;&gt;",'Потребление (МВт·ч)'!C316:I316)&gt;0,SUMPRODUCT(C316:I316,'Потребление (МВт·ч)'!C316:I316)/SUMIF(C316:I316,"&lt;&gt;",'Потребление (МВт·ч)'!C316:I316),"")</s:f>
        <s:v>1407.3757118372598</s:v>
      </s:c>
      <s:c r="L316" s="6" t="n">
        <s:f>IF(COUNT(C316:I316)&gt;0,AVERAGE(C316:I316),"")</s:f>
        <s:v>1460.535808333333</s:v>
      </s:c>
      <s:c r="M316" s="10" t="n">
        <s:f>COUNT(C316:I316)</s:f>
        <s:v>6</s:v>
      </s:c>
      <s:c r="N316" s="11" t="n">
        <s:f>IF(AND(COUNT('Потребление (МВт·ч)'!C316:I316)=7,SUM('Потребление (МВт·ч)'!C316:I316)&gt;0),SUMIF(C316:I316,"&lt;&gt;",'Потребление (МВт·ч)'!C316:I316)/SUM('Потребление (МВт·ч)'!C316:I316),"")</s:f>
        <s:v>0.9557713766950996</s:v>
      </s:c>
    </s:row>
    <s:row r="317">
      <s:c r="A317" s="5" t="n">
        <s:v>46279</s:v>
      </s:c>
      <s:c r="B317" s="2" t="n">
        <s:v>0</s:v>
      </s:c>
      <s:c r="C317" s="6" t="n">
        <s:v>1184.73389</s:v>
      </s:c>
      <s:c r="D317" s="6" t="n">
        <s:v>1653.29651</s:v>
      </s:c>
      <s:c r="E317" s="6" t="n">
        <s:v>1734.43433</s:v>
      </s:c>
      <s:c r="F317" s="6" t="n">
        <s:v>1745.344</s:v>
      </s:c>
      <s:c r="G317" s="6" t="n">
        <s:v>1589.00061</s:v>
      </s:c>
      <s:c r="H317" s="6" t="n">
        <s:v>173.708725</s:v>
      </s:c>
      <s:c r="I317" s="6" t="n"/>
      <s:c r="J317" s="6" t="str">
        <s:f>IF(AND(COUNT(C317:I317)=7,COUNT('Потребление (МВт·ч)'!C317:I317)=7,SUM('Потребление (МВт·ч)'!C317:I317)&gt;0),SUMPRODUCT(C317:I317,'Потребление (МВт·ч)'!C317:I317)/SUM('Потребление (МВт·ч)'!C317:I317),"")</s:f>
      </s:c>
      <s:c r="K317" s="6" t="n">
        <s:f>IF(SUMIF(C317:I317,"&lt;&gt;",'Потребление (МВт·ч)'!C317:I317)&gt;0,SUMPRODUCT(C317:I317,'Потребление (МВт·ч)'!C317:I317)/SUMIF(C317:I317,"&lt;&gt;",'Потребление (МВт·ч)'!C317:I317),"")</s:f>
        <s:v>1280.2850818931797</s:v>
      </s:c>
      <s:c r="L317" s="6" t="n">
        <s:f>IF(COUNT(C317:I317)&gt;0,AVERAGE(C317:I317),"")</s:f>
        <s:v>1346.7530108333333</s:v>
      </s:c>
      <s:c r="M317" s="10" t="n">
        <s:f>COUNT(C317:I317)</s:f>
        <s:v>6</s:v>
      </s:c>
      <s:c r="N317" s="11" t="n">
        <s:f>IF(AND(COUNT('Потребление (МВт·ч)'!C317:I317)=7,SUM('Потребление (МВт·ч)'!C317:I317)&gt;0),SUMIF(C317:I317,"&lt;&gt;",'Потребление (МВт·ч)'!C317:I317)/SUM('Потребление (МВт·ч)'!C317:I317),"")</s:f>
        <s:v>0.953335457521073</s:v>
      </s:c>
    </s:row>
    <s:row r="318">
      <s:c r="A318" s="5" t="n">
        <s:v>46279</s:v>
      </s:c>
      <s:c r="B318" s="2" t="n">
        <s:v>1</s:v>
      </s:c>
      <s:c r="C318" s="6" t="n">
        <s:v>1114.19629</s:v>
      </s:c>
      <s:c r="D318" s="6" t="n">
        <s:v>1413.83411</s:v>
      </s:c>
      <s:c r="E318" s="6" t="n">
        <s:v>1405.2699</s:v>
      </s:c>
      <s:c r="F318" s="6" t="n">
        <s:v>1506.37891</s:v>
      </s:c>
      <s:c r="G318" s="6" t="n">
        <s:v>1358.82043</s:v>
      </s:c>
      <s:c r="H318" s="6" t="n">
        <s:v>952.25946</s:v>
      </s:c>
      <s:c r="I318" s="6" t="n"/>
      <s:c r="J318" s="6" t="str">
        <s:f>IF(AND(COUNT(C318:I318)=7,COUNT('Потребление (МВт·ч)'!C318:I318)=7,SUM('Потребление (МВт·ч)'!C318:I318)&gt;0),SUMPRODUCT(C318:I318,'Потребление (МВт·ч)'!C318:I318)/SUM('Потребление (МВт·ч)'!C318:I318),"")</s:f>
      </s:c>
      <s:c r="K318" s="6" t="n">
        <s:f>IF(SUMIF(C318:I318,"&lt;&gt;",'Потребление (МВт·ч)'!C318:I318)&gt;0,SUMPRODUCT(C318:I318,'Потребление (МВт·ч)'!C318:I318)/SUMIF(C318:I318,"&lt;&gt;",'Потребление (МВт·ч)'!C318:I318),"")</s:f>
        <s:v>1274.2829727596318</s:v>
      </s:c>
      <s:c r="L318" s="6" t="n">
        <s:f>IF(COUNT(C318:I318)&gt;0,AVERAGE(C318:I318),"")</s:f>
        <s:v>1291.7931833333334</s:v>
      </s:c>
      <s:c r="M318" s="10" t="n">
        <s:f>COUNT(C318:I318)</s:f>
        <s:v>6</s:v>
      </s:c>
      <s:c r="N318" s="11" t="n">
        <s:f>IF(AND(COUNT('Потребление (МВт·ч)'!C318:I318)=7,SUM('Потребление (МВт·ч)'!C318:I318)&gt;0),SUMIF(C318:I318,"&lt;&gt;",'Потребление (МВт·ч)'!C318:I318)/SUM('Потребление (МВт·ч)'!C318:I318),"")</s:f>
        <s:v>0.9510603272973758</s:v>
      </s:c>
    </s:row>
    <s:row r="319">
      <s:c r="A319" s="5" t="n">
        <s:v>46279</s:v>
      </s:c>
      <s:c r="B319" s="2" t="n">
        <s:v>2</s:v>
      </s:c>
      <s:c r="C319" s="6" t="n">
        <s:v>1026.71875</s:v>
      </s:c>
      <s:c r="D319" s="6" t="n">
        <s:v>1333.566</s:v>
      </s:c>
      <s:c r="E319" s="6" t="n">
        <s:v>1181.976</s:v>
      </s:c>
      <s:c r="F319" s="6" t="n">
        <s:v>1437.34851</s:v>
      </s:c>
      <s:c r="G319" s="6" t="n">
        <s:v>1350.73462</s:v>
      </s:c>
      <s:c r="H319" s="6" t="n">
        <s:v>1116.01855</s:v>
      </s:c>
      <s:c r="I319" s="6" t="n"/>
      <s:c r="J319" s="6" t="str">
        <s:f>IF(AND(COUNT(C319:I319)=7,COUNT('Потребление (МВт·ч)'!C319:I319)=7,SUM('Потребление (МВт·ч)'!C319:I319)&gt;0),SUMPRODUCT(C319:I319,'Потребление (МВт·ч)'!C319:I319)/SUM('Потребление (МВт·ч)'!C319:I319),"")</s:f>
      </s:c>
      <s:c r="K319" s="6" t="n">
        <s:f>IF(SUMIF(C319:I319,"&lt;&gt;",'Потребление (МВт·ч)'!C319:I319)&gt;0,SUMPRODUCT(C319:I319,'Потребление (МВт·ч)'!C319:I319)/SUMIF(C319:I319,"&lt;&gt;",'Потребление (МВт·ч)'!C319:I319),"")</s:f>
        <s:v>1254.9754909020264</s:v>
      </s:c>
      <s:c r="L319" s="6" t="n">
        <s:f>IF(COUNT(C319:I319)&gt;0,AVERAGE(C319:I319),"")</s:f>
        <s:v>1241.060405</s:v>
      </s:c>
      <s:c r="M319" s="10" t="n">
        <s:f>COUNT(C319:I319)</s:f>
        <s:v>6</s:v>
      </s:c>
      <s:c r="N319" s="11" t="n">
        <s:f>IF(AND(COUNT('Потребление (МВт·ч)'!C319:I319)=7,SUM('Потребление (МВт·ч)'!C319:I319)&gt;0),SUMIF(C319:I319,"&lt;&gt;",'Потребление (МВт·ч)'!C319:I319)/SUM('Потребление (МВт·ч)'!C319:I319),"")</s:f>
        <s:v>0.9494127492569185</s:v>
      </s:c>
    </s:row>
    <s:row r="320">
      <s:c r="A320" s="5" t="n">
        <s:v>46279</s:v>
      </s:c>
      <s:c r="B320" s="2" t="n">
        <s:v>3</s:v>
      </s:c>
      <s:c r="C320" s="6" t="n">
        <s:v>1168.14709</s:v>
      </s:c>
      <s:c r="D320" s="6" t="n">
        <s:v>1473.40125</s:v>
      </s:c>
      <s:c r="E320" s="6" t="n">
        <s:v>1372.54871</s:v>
      </s:c>
      <s:c r="F320" s="6" t="n">
        <s:v>1676.08789</s:v>
      </s:c>
      <s:c r="G320" s="6" t="n">
        <s:v>1597.74084</s:v>
      </s:c>
      <s:c r="H320" s="6" t="n">
        <s:v>276.358215</s:v>
      </s:c>
      <s:c r="I320" s="6" t="n"/>
      <s:c r="J320" s="6" t="str">
        <s:f>IF(AND(COUNT(C320:I320)=7,COUNT('Потребление (МВт·ч)'!C320:I320)=7,SUM('Потребление (МВт·ч)'!C320:I320)&gt;0),SUMPRODUCT(C320:I320,'Потребление (МВт·ч)'!C320:I320)/SUM('Потребление (МВт·ч)'!C320:I320),"")</s:f>
      </s:c>
      <s:c r="K320" s="6" t="n">
        <s:f>IF(SUMIF(C320:I320,"&lt;&gt;",'Потребление (МВт·ч)'!C320:I320)&gt;0,SUMPRODUCT(C320:I320,'Потребление (МВт·ч)'!C320:I320)/SUMIF(C320:I320,"&lt;&gt;",'Потребление (МВт·ч)'!C320:I320),"")</s:f>
        <s:v>1201.3909913212065</s:v>
      </s:c>
      <s:c r="L320" s="6" t="n">
        <s:f>IF(COUNT(C320:I320)&gt;0,AVERAGE(C320:I320),"")</s:f>
        <s:v>1260.7139991666666</s:v>
      </s:c>
      <s:c r="M320" s="10" t="n">
        <s:f>COUNT(C320:I320)</s:f>
        <s:v>6</s:v>
      </s:c>
      <s:c r="N320" s="11" t="n">
        <s:f>IF(AND(COUNT('Потребление (МВт·ч)'!C320:I320)=7,SUM('Потребление (МВт·ч)'!C320:I320)&gt;0),SUMIF(C320:I320,"&lt;&gt;",'Потребление (МВт·ч)'!C320:I320)/SUM('Потребление (МВт·ч)'!C320:I320),"")</s:f>
        <s:v>0.9499736653100311</s:v>
      </s:c>
    </s:row>
    <s:row r="321">
      <s:c r="A321" s="5" t="n">
        <s:v>46279</s:v>
      </s:c>
      <s:c r="B321" s="2" t="n">
        <s:v>4</s:v>
      </s:c>
      <s:c r="C321" s="6" t="n">
        <s:v>1295.79272</s:v>
      </s:c>
      <s:c r="D321" s="6" t="n">
        <s:v>1597.72852</s:v>
      </s:c>
      <s:c r="E321" s="6" t="n">
        <s:v>1527.82544</s:v>
      </s:c>
      <s:c r="F321" s="6" t="n">
        <s:v>1791.48279</s:v>
      </s:c>
      <s:c r="G321" s="6" t="n">
        <s:v>1681.41125</s:v>
      </s:c>
      <s:c r="H321" s="6" t="n">
        <s:v>616.688232</s:v>
      </s:c>
      <s:c r="I321" s="6" t="n"/>
      <s:c r="J321" s="6" t="str">
        <s:f>IF(AND(COUNT(C321:I321)=7,COUNT('Потребление (МВт·ч)'!C321:I321)=7,SUM('Потребление (МВт·ч)'!C321:I321)&gt;0),SUMPRODUCT(C321:I321,'Потребление (МВт·ч)'!C321:I321)/SUM('Потребление (МВт·ч)'!C321:I321),"")</s:f>
      </s:c>
      <s:c r="K321" s="6" t="n">
        <s:f>IF(SUMIF(C321:I321,"&lt;&gt;",'Потребление (МВт·ч)'!C321:I321)&gt;0,SUMPRODUCT(C321:I321,'Потребление (МВт·ч)'!C321:I321)/SUMIF(C321:I321,"&lt;&gt;",'Потребление (МВт·ч)'!C321:I321),"")</s:f>
        <s:v>1372.6114618646434</s:v>
      </s:c>
      <s:c r="L321" s="6" t="n">
        <s:f>IF(COUNT(C321:I321)&gt;0,AVERAGE(C321:I321),"")</s:f>
        <s:v>1418.4881586666668</s:v>
      </s:c>
      <s:c r="M321" s="10" t="n">
        <s:f>COUNT(C321:I321)</s:f>
        <s:v>6</s:v>
      </s:c>
      <s:c r="N321" s="11" t="n">
        <s:f>IF(AND(COUNT('Потребление (МВт·ч)'!C321:I321)=7,SUM('Потребление (МВт·ч)'!C321:I321)&gt;0),SUMIF(C321:I321,"&lt;&gt;",'Потребление (МВт·ч)'!C321:I321)/SUM('Потребление (МВт·ч)'!C321:I321),"")</s:f>
        <s:v>0.951119420425333</s:v>
      </s:c>
    </s:row>
    <s:row r="322">
      <s:c r="A322" s="5" t="n">
        <s:v>46279</s:v>
      </s:c>
      <s:c r="B322" s="2" t="n">
        <s:v>5</s:v>
      </s:c>
      <s:c r="C322" s="6" t="n">
        <s:v>1474.7312</s:v>
      </s:c>
      <s:c r="D322" s="6" t="n">
        <s:v>1826.44263</s:v>
      </s:c>
      <s:c r="E322" s="6" t="n">
        <s:v>1760.51</s:v>
      </s:c>
      <s:c r="F322" s="6" t="n">
        <s:v>2051.13428</s:v>
      </s:c>
      <s:c r="G322" s="6" t="n">
        <s:v>1884.93542</s:v>
      </s:c>
      <s:c r="H322" s="6" t="n">
        <s:v>947.179749</s:v>
      </s:c>
      <s:c r="I322" s="6" t="n"/>
      <s:c r="J322" s="6" t="str">
        <s:f>IF(AND(COUNT(C322:I322)=7,COUNT('Потребление (МВт·ч)'!C322:I322)=7,SUM('Потребление (МВт·ч)'!C322:I322)&gt;0),SUMPRODUCT(C322:I322,'Потребление (МВт·ч)'!C322:I322)/SUM('Потребление (МВт·ч)'!C322:I322),"")</s:f>
      </s:c>
      <s:c r="K322" s="6" t="n">
        <s:f>IF(SUMIF(C322:I322,"&lt;&gt;",'Потребление (МВт·ч)'!C322:I322)&gt;0,SUMPRODUCT(C322:I322,'Потребление (МВт·ч)'!C322:I322)/SUMIF(C322:I322,"&lt;&gt;",'Потребление (МВт·ч)'!C322:I322),"")</s:f>
        <s:v>1623.320573880967</s:v>
      </s:c>
      <s:c r="L322" s="6" t="n">
        <s:f>IF(COUNT(C322:I322)&gt;0,AVERAGE(C322:I322),"")</s:f>
        <s:v>1657.4888798333334</s:v>
      </s:c>
      <s:c r="M322" s="10" t="n">
        <s:f>COUNT(C322:I322)</s:f>
        <s:v>6</s:v>
      </s:c>
      <s:c r="N322" s="11" t="n">
        <s:f>IF(AND(COUNT('Потребление (МВт·ч)'!C322:I322)=7,SUM('Потребление (МВт·ч)'!C322:I322)&gt;0),SUMIF(C322:I322,"&lt;&gt;",'Потребление (МВт·ч)'!C322:I322)/SUM('Потребление (МВт·ч)'!C322:I322),"")</s:f>
        <s:v>0.9533193227617202</s:v>
      </s:c>
    </s:row>
    <s:row r="323">
      <s:c r="A323" s="5" t="n">
        <s:v>46279</s:v>
      </s:c>
      <s:c r="B323" s="2" t="n">
        <s:v>6</s:v>
      </s:c>
      <s:c r="C323" s="6" t="n">
        <s:v>1614.40759</s:v>
      </s:c>
      <s:c r="D323" s="6" t="n">
        <s:v>1955.99</s:v>
      </s:c>
      <s:c r="E323" s="6" t="n">
        <s:v>1973.83582</s:v>
      </s:c>
      <s:c r="F323" s="6" t="n">
        <s:v>2166.35767</s:v>
      </s:c>
      <s:c r="G323" s="6" t="n">
        <s:v>2286.42041</s:v>
      </s:c>
      <s:c r="H323" s="6" t="n">
        <s:v>1077.07788</s:v>
      </s:c>
      <s:c r="I323" s="6" t="n"/>
      <s:c r="J323" s="6" t="str">
        <s:f>IF(AND(COUNT(C323:I323)=7,COUNT('Потребление (МВт·ч)'!C323:I323)=7,SUM('Потребление (МВт·ч)'!C323:I323)&gt;0),SUMPRODUCT(C323:I323,'Потребление (МВт·ч)'!C323:I323)/SUM('Потребление (МВт·ч)'!C323:I323),"")</s:f>
      </s:c>
      <s:c r="K323" s="6" t="n">
        <s:f>IF(SUMIF(C323:I323,"&lt;&gt;",'Потребление (МВт·ч)'!C323:I323)&gt;0,SUMPRODUCT(C323:I323,'Потребление (МВт·ч)'!C323:I323)/SUMIF(C323:I323,"&lt;&gt;",'Потребление (МВт·ч)'!C323:I323),"")</s:f>
        <s:v>1837.9718332624102</s:v>
      </s:c>
      <s:c r="L323" s="6" t="n">
        <s:f>IF(COUNT(C323:I323)&gt;0,AVERAGE(C323:I323),"")</s:f>
        <s:v>1845.681561666667</s:v>
      </s:c>
      <s:c r="M323" s="10" t="n">
        <s:f>COUNT(C323:I323)</s:f>
        <s:v>6</s:v>
      </s:c>
      <s:c r="N323" s="11" t="n">
        <s:f>IF(AND(COUNT('Потребление (МВт·ч)'!C323:I323)=7,SUM('Потребление (МВт·ч)'!C323:I323)&gt;0),SUMIF(C323:I323,"&lt;&gt;",'Потребление (МВт·ч)'!C323:I323)/SUM('Потребление (МВт·ч)'!C323:I323),"")</s:f>
        <s:v>0.9555968068047132</s:v>
      </s:c>
    </s:row>
    <s:row r="324">
      <s:c r="A324" s="5" t="n">
        <s:v>46279</s:v>
      </s:c>
      <s:c r="B324" s="2" t="n">
        <s:v>7</s:v>
      </s:c>
      <s:c r="C324" s="6" t="n">
        <s:v>1733.77209</s:v>
      </s:c>
      <s:c r="D324" s="6" t="n">
        <s:v>2406.962</s:v>
      </s:c>
      <s:c r="E324" s="6" t="n">
        <s:v>2817.40479</s:v>
      </s:c>
      <s:c r="F324" s="6" t="n">
        <s:v>2662.274</s:v>
      </s:c>
      <s:c r="G324" s="6" t="n">
        <s:v>2489.43457</s:v>
      </s:c>
      <s:c r="H324" s="6" t="n">
        <s:v>1106.00024</s:v>
      </s:c>
      <s:c r="I324" s="6" t="n"/>
      <s:c r="J324" s="6" t="str">
        <s:f>IF(AND(COUNT(C324:I324)=7,COUNT('Потребление (МВт·ч)'!C324:I324)=7,SUM('Потребление (МВт·ч)'!C324:I324)&gt;0),SUMPRODUCT(C324:I324,'Потребление (МВт·ч)'!C324:I324)/SUM('Потребление (МВт·ч)'!C324:I324),"")</s:f>
      </s:c>
      <s:c r="K324" s="6" t="n">
        <s:f>IF(SUMIF(C324:I324,"&lt;&gt;",'Потребление (МВт·ч)'!C324:I324)&gt;0,SUMPRODUCT(C324:I324,'Потребление (МВт·ч)'!C324:I324)/SUMIF(C324:I324,"&lt;&gt;",'Потребление (МВт·ч)'!C324:I324),"")</s:f>
        <s:v>2161.4043773838575</s:v>
      </s:c>
      <s:c r="L324" s="6" t="n">
        <s:f>IF(COUNT(C324:I324)&gt;0,AVERAGE(C324:I324),"")</s:f>
        <s:v>2202.6412816666666</s:v>
      </s:c>
      <s:c r="M324" s="10" t="n">
        <s:f>COUNT(C324:I324)</s:f>
        <s:v>6</s:v>
      </s:c>
      <s:c r="N324" s="11" t="n">
        <s:f>IF(AND(COUNT('Потребление (МВт·ч)'!C324:I324)=7,SUM('Потребление (МВт·ч)'!C324:I324)&gt;0),SUMIF(C324:I324,"&lt;&gt;",'Потребление (МВт·ч)'!C324:I324)/SUM('Потребление (МВт·ч)'!C324:I324),"")</s:f>
        <s:v>0.9572610565993087</s:v>
      </s:c>
    </s:row>
    <s:row r="325">
      <s:c r="A325" s="5" t="n">
        <s:v>46279</s:v>
      </s:c>
      <s:c r="B325" s="2" t="n">
        <s:v>8</s:v>
      </s:c>
      <s:c r="C325" s="6" t="n">
        <s:v>1935.71277</s:v>
      </s:c>
      <s:c r="D325" s="6" t="n">
        <s:v>2927.24976</s:v>
      </s:c>
      <s:c r="E325" s="6" t="n">
        <s:v>3003.05225</s:v>
      </s:c>
      <s:c r="F325" s="6" t="n">
        <s:v>2858.46</s:v>
      </s:c>
      <s:c r="G325" s="6" t="n">
        <s:v>2514.59521</s:v>
      </s:c>
      <s:c r="H325" s="6" t="n">
        <s:v>1112.34424</s:v>
      </s:c>
      <s:c r="I325" s="6" t="n"/>
      <s:c r="J325" s="6" t="str">
        <s:f>IF(AND(COUNT(C325:I325)=7,COUNT('Потребление (МВт·ч)'!C325:I325)=7,SUM('Потребление (МВт·ч)'!C325:I325)&gt;0),SUMPRODUCT(C325:I325,'Потребление (МВт·ч)'!C325:I325)/SUM('Потребление (МВт·ч)'!C325:I325),"")</s:f>
      </s:c>
      <s:c r="K325" s="6" t="n">
        <s:f>IF(SUMIF(C325:I325,"&lt;&gt;",'Потребление (МВт·ч)'!C325:I325)&gt;0,SUMPRODUCT(C325:I325,'Потребление (МВт·ч)'!C325:I325)/SUMIF(C325:I325,"&lt;&gt;",'Потребление (МВт·ч)'!C325:I325),"")</s:f>
        <s:v>2360.8209784259357</s:v>
      </s:c>
      <s:c r="L325" s="6" t="n">
        <s:f>IF(COUNT(C325:I325)&gt;0,AVERAGE(C325:I325),"")</s:f>
        <s:v>2391.9023716666666</s:v>
      </s:c>
      <s:c r="M325" s="10" t="n">
        <s:f>COUNT(C325:I325)</s:f>
        <s:v>6</s:v>
      </s:c>
      <s:c r="N325" s="11" t="n">
        <s:f>IF(AND(COUNT('Потребление (МВт·ч)'!C325:I325)=7,SUM('Потребление (МВт·ч)'!C325:I325)&gt;0),SUMIF(C325:I325,"&lt;&gt;",'Потребление (МВт·ч)'!C325:I325)/SUM('Потребление (МВт·ч)'!C325:I325),"")</s:f>
        <s:v>0.9585136909683382</s:v>
      </s:c>
    </s:row>
    <s:row r="326">
      <s:c r="A326" s="5" t="n">
        <s:v>46279</s:v>
      </s:c>
      <s:c r="B326" s="2" t="n">
        <s:v>9</s:v>
      </s:c>
      <s:c r="C326" s="6" t="n">
        <s:v>2125.00317</s:v>
      </s:c>
      <s:c r="D326" s="6" t="n">
        <s:v>3241.42822</s:v>
      </s:c>
      <s:c r="E326" s="6" t="n">
        <s:v>2619.61548</s:v>
      </s:c>
      <s:c r="F326" s="6" t="n">
        <s:v>2682.00684</s:v>
      </s:c>
      <s:c r="G326" s="6" t="n">
        <s:v>2378.26855</s:v>
      </s:c>
      <s:c r="H326" s="6" t="n">
        <s:v>1005.70569</s:v>
      </s:c>
      <s:c r="I326" s="6" t="n"/>
      <s:c r="J326" s="6" t="str">
        <s:f>IF(AND(COUNT(C326:I326)=7,COUNT('Потребление (МВт·ч)'!C326:I326)=7,SUM('Потребление (МВт·ч)'!C326:I326)&gt;0),SUMPRODUCT(C326:I326,'Потребление (МВт·ч)'!C326:I326)/SUM('Потребление (МВт·ч)'!C326:I326),"")</s:f>
      </s:c>
      <s:c r="K326" s="6" t="n">
        <s:f>IF(SUMIF(C326:I326,"&lt;&gt;",'Потребление (МВт·ч)'!C326:I326)&gt;0,SUMPRODUCT(C326:I326,'Потребление (МВт·ч)'!C326:I326)/SUMIF(C326:I326,"&lt;&gt;",'Потребление (МВт·ч)'!C326:I326),"")</s:f>
        <s:v>2347.6863123965804</s:v>
      </s:c>
      <s:c r="L326" s="6" t="n">
        <s:f>IF(COUNT(C326:I326)&gt;0,AVERAGE(C326:I326),"")</s:f>
        <s:v>2342.0046583333337</s:v>
      </s:c>
      <s:c r="M326" s="10" t="n">
        <s:f>COUNT(C326:I326)</s:f>
        <s:v>6</s:v>
      </s:c>
      <s:c r="N326" s="11" t="n">
        <s:f>IF(AND(COUNT('Потребление (МВт·ч)'!C326:I326)=7,SUM('Потребление (МВт·ч)'!C326:I326)&gt;0),SUMIF(C326:I326,"&lt;&gt;",'Потребление (МВт·ч)'!C326:I326)/SUM('Потребление (МВт·ч)'!C326:I326),"")</s:f>
        <s:v>0.9594330282761452</s:v>
      </s:c>
    </s:row>
    <s:row r="327">
      <s:c r="A327" s="5" t="n">
        <s:v>46279</s:v>
      </s:c>
      <s:c r="B327" s="2" t="n">
        <s:v>10</s:v>
      </s:c>
      <s:c r="C327" s="6" t="n">
        <s:v>2412.25659</s:v>
      </s:c>
      <s:c r="D327" s="6" t="n">
        <s:v>3431.36743</s:v>
      </s:c>
      <s:c r="E327" s="6" t="n">
        <s:v>3975.664</s:v>
      </s:c>
      <s:c r="F327" s="6" t="n">
        <s:v>2903.874</s:v>
      </s:c>
      <s:c r="G327" s="6" t="n">
        <s:v>2615.97021</s:v>
      </s:c>
      <s:c r="H327" s="6" t="n">
        <s:v>1064.76941</s:v>
      </s:c>
      <s:c r="I327" s="6" t="n"/>
      <s:c r="J327" s="6" t="str">
        <s:f>IF(AND(COUNT(C327:I327)=7,COUNT('Потребление (МВт·ч)'!C327:I327)=7,SUM('Потребление (МВт·ч)'!C327:I327)&gt;0),SUMPRODUCT(C327:I327,'Потребление (МВт·ч)'!C327:I327)/SUM('Потребление (МВт·ч)'!C327:I327),"")</s:f>
      </s:c>
      <s:c r="K327" s="6" t="n">
        <s:f>IF(SUMIF(C327:I327,"&lt;&gt;",'Потребление (МВт·ч)'!C327:I327)&gt;0,SUMPRODUCT(C327:I327,'Потребление (МВт·ч)'!C327:I327)/SUMIF(C327:I327,"&lt;&gt;",'Потребление (МВт·ч)'!C327:I327),"")</s:f>
        <s:v>2660.254417565651</s:v>
      </s:c>
      <s:c r="L327" s="6" t="n">
        <s:f>IF(COUNT(C327:I327)&gt;0,AVERAGE(C327:I327),"")</s:f>
        <s:v>2733.9836066666667</s:v>
      </s:c>
      <s:c r="M327" s="10" t="n">
        <s:f>COUNT(C327:I327)</s:f>
        <s:v>6</s:v>
      </s:c>
      <s:c r="N327" s="11" t="n">
        <s:f>IF(AND(COUNT('Потребление (МВт·ч)'!C327:I327)=7,SUM('Потребление (МВт·ч)'!C327:I327)&gt;0),SUMIF(C327:I327,"&lt;&gt;",'Потребление (МВт·ч)'!C327:I327)/SUM('Потребление (МВт·ч)'!C327:I327),"")</s:f>
        <s:v>0.9594576184255869</s:v>
      </s:c>
    </s:row>
    <s:row r="328">
      <s:c r="A328" s="5" t="n">
        <s:v>46279</s:v>
      </s:c>
      <s:c r="B328" s="2" t="n">
        <s:v>11</s:v>
      </s:c>
      <s:c r="C328" s="6" t="n">
        <s:v>2255.92188</s:v>
      </s:c>
      <s:c r="D328" s="6" t="n">
        <s:v>3228.80518</s:v>
      </s:c>
      <s:c r="E328" s="6" t="n">
        <s:v>3198.855</s:v>
      </s:c>
      <s:c r="F328" s="6" t="n">
        <s:v>2575.43579</s:v>
      </s:c>
      <s:c r="G328" s="6" t="n">
        <s:v>3693.00024</s:v>
      </s:c>
      <s:c r="H328" s="6" t="n">
        <s:v>1253.30261</s:v>
      </s:c>
      <s:c r="I328" s="6" t="n"/>
      <s:c r="J328" s="6" t="str">
        <s:f>IF(AND(COUNT(C328:I328)=7,COUNT('Потребление (МВт·ч)'!C328:I328)=7,SUM('Потребление (МВт·ч)'!C328:I328)&gt;0),SUMPRODUCT(C328:I328,'Потребление (МВт·ч)'!C328:I328)/SUM('Потребление (МВт·ч)'!C328:I328),"")</s:f>
      </s:c>
      <s:c r="K328" s="6" t="n">
        <s:f>IF(SUMIF(C328:I328,"&lt;&gt;",'Потребление (МВт·ч)'!C328:I328)&gt;0,SUMPRODUCT(C328:I328,'Потребление (МВт·ч)'!C328:I328)/SUMIF(C328:I328,"&lt;&gt;",'Потребление (МВт·ч)'!C328:I328),"")</s:f>
        <s:v>2763.759510369454</s:v>
      </s:c>
      <s:c r="L328" s="6" t="n">
        <s:f>IF(COUNT(C328:I328)&gt;0,AVERAGE(C328:I328),"")</s:f>
        <s:v>2700.886783333333</s:v>
      </s:c>
      <s:c r="M328" s="10" t="n">
        <s:f>COUNT(C328:I328)</s:f>
        <s:v>6</s:v>
      </s:c>
      <s:c r="N328" s="11" t="n">
        <s:f>IF(AND(COUNT('Потребление (МВт·ч)'!C328:I328)=7,SUM('Потребление (МВт·ч)'!C328:I328)&gt;0),SUMIF(C328:I328,"&lt;&gt;",'Потребление (МВт·ч)'!C328:I328)/SUM('Потребление (МВт·ч)'!C328:I328),"")</s:f>
        <s:v>0.9586368807028584</s:v>
      </s:c>
    </s:row>
    <s:row r="329">
      <s:c r="A329" s="5" t="n">
        <s:v>46279</s:v>
      </s:c>
      <s:c r="B329" s="2" t="n">
        <s:v>12</s:v>
      </s:c>
      <s:c r="C329" s="6" t="n">
        <s:v>2262.869</s:v>
      </s:c>
      <s:c r="D329" s="6" t="n">
        <s:v>3258.08472</s:v>
      </s:c>
      <s:c r="E329" s="6" t="n">
        <s:v>2959.1958</s:v>
      </s:c>
      <s:c r="F329" s="6" t="n">
        <s:v>2685.2832</s:v>
      </s:c>
      <s:c r="G329" s="6" t="n">
        <s:v>2419.23926</s:v>
      </s:c>
      <s:c r="H329" s="6" t="n">
        <s:v>827.4573360000001</s:v>
      </s:c>
      <s:c r="I329" s="6" t="n"/>
      <s:c r="J329" s="6" t="str">
        <s:f>IF(AND(COUNT(C329:I329)=7,COUNT('Потребление (МВт·ч)'!C329:I329)=7,SUM('Потребление (МВт·ч)'!C329:I329)&gt;0),SUMPRODUCT(C329:I329,'Потребление (МВт·ч)'!C329:I329)/SUM('Потребление (МВт·ч)'!C329:I329),"")</s:f>
      </s:c>
      <s:c r="K329" s="6" t="n">
        <s:f>IF(SUMIF(C329:I329,"&lt;&gt;",'Потребление (МВт·ч)'!C329:I329)&gt;0,SUMPRODUCT(C329:I329,'Потребление (МВт·ч)'!C329:I329)/SUMIF(C329:I329,"&lt;&gt;",'Потребление (МВт·ч)'!C329:I329),"")</s:f>
        <s:v>2380.3179765811483</s:v>
      </s:c>
      <s:c r="L329" s="6" t="n">
        <s:f>IF(COUNT(C329:I329)&gt;0,AVERAGE(C329:I329),"")</s:f>
        <s:v>2402.0215526666666</s:v>
      </s:c>
      <s:c r="M329" s="10" t="n">
        <s:f>COUNT(C329:I329)</s:f>
        <s:v>6</s:v>
      </s:c>
      <s:c r="N329" s="11" t="n">
        <s:f>IF(AND(COUNT('Потребление (МВт·ч)'!C329:I329)=7,SUM('Потребление (МВт·ч)'!C329:I329)&gt;0),SUMIF(C329:I329,"&lt;&gt;",'Потребление (МВт·ч)'!C329:I329)/SUM('Потребление (МВт·ч)'!C329:I329),"")</s:f>
        <s:v>0.9565759132650997</s:v>
      </s:c>
    </s:row>
    <s:row r="330">
      <s:c r="A330" s="5" t="n">
        <s:v>46279</s:v>
      </s:c>
      <s:c r="B330" s="2" t="n">
        <s:v>13</s:v>
      </s:c>
      <s:c r="C330" s="6" t="n">
        <s:v>2266.66528</s:v>
      </s:c>
      <s:c r="D330" s="6" t="n">
        <s:v>3301.17139</s:v>
      </s:c>
      <s:c r="E330" s="6" t="n">
        <s:v>3072.75537</s:v>
      </s:c>
      <s:c r="F330" s="6" t="n">
        <s:v>2742.65015</s:v>
      </s:c>
      <s:c r="G330" s="6" t="n">
        <s:v>2481.2207</s:v>
      </s:c>
      <s:c r="H330" s="6" t="n">
        <s:v>1185.86377</s:v>
      </s:c>
      <s:c r="I330" s="6" t="n"/>
      <s:c r="J330" s="6" t="str">
        <s:f>IF(AND(COUNT(C330:I330)=7,COUNT('Потребление (МВт·ч)'!C330:I330)=7,SUM('Потребление (МВт·ч)'!C330:I330)&gt;0),SUMPRODUCT(C330:I330,'Потребление (МВт·ч)'!C330:I330)/SUM('Потребление (МВт·ч)'!C330:I330),"")</s:f>
      </s:c>
      <s:c r="K330" s="6" t="n">
        <s:f>IF(SUMIF(C330:I330,"&lt;&gt;",'Потребление (МВт·ч)'!C330:I330)&gt;0,SUMPRODUCT(C330:I330,'Потребление (МВт·ч)'!C330:I330)/SUMIF(C330:I330,"&lt;&gt;",'Потребление (МВт·ч)'!C330:I330),"")</s:f>
        <s:v>2494.793289347951</s:v>
      </s:c>
      <s:c r="L330" s="6" t="n">
        <s:f>IF(COUNT(C330:I330)&gt;0,AVERAGE(C330:I330),"")</s:f>
        <s:v>2508.3877766666665</s:v>
      </s:c>
      <s:c r="M330" s="10" t="n">
        <s:f>COUNT(C330:I330)</s:f>
        <s:v>6</s:v>
      </s:c>
      <s:c r="N330" s="11" t="n">
        <s:f>IF(AND(COUNT('Потребление (МВт·ч)'!C330:I330)=7,SUM('Потребление (МВт·ч)'!C330:I330)&gt;0),SUMIF(C330:I330,"&lt;&gt;",'Потребление (МВт·ч)'!C330:I330)/SUM('Потребление (МВт·ч)'!C330:I330),"")</s:f>
        <s:v>0.9561481433624602</s:v>
      </s:c>
    </s:row>
    <s:row r="331">
      <s:c r="A331" s="5" t="n">
        <s:v>46279</s:v>
      </s:c>
      <s:c r="B331" s="2" t="n">
        <s:v>14</s:v>
      </s:c>
      <s:c r="C331" s="6" t="n">
        <s:v>2370.39185</s:v>
      </s:c>
      <s:c r="D331" s="6" t="n">
        <s:v>3075.806</s:v>
      </s:c>
      <s:c r="E331" s="6" t="n">
        <s:v>2570.199</s:v>
      </s:c>
      <s:c r="F331" s="6" t="n">
        <s:v>2582.9</s:v>
      </s:c>
      <s:c r="G331" s="6" t="n">
        <s:v>2379.39868</s:v>
      </s:c>
      <s:c r="H331" s="6" t="n">
        <s:v>1533.97815</s:v>
      </s:c>
      <s:c r="I331" s="6" t="n"/>
      <s:c r="J331" s="6" t="str">
        <s:f>IF(AND(COUNT(C331:I331)=7,COUNT('Потребление (МВт·ч)'!C331:I331)=7,SUM('Потребление (МВт·ч)'!C331:I331)&gt;0),SUMPRODUCT(C331:I331,'Потребление (МВт·ч)'!C331:I331)/SUM('Потребление (МВт·ч)'!C331:I331),"")</s:f>
      </s:c>
      <s:c r="K331" s="6" t="n">
        <s:f>IF(SUMIF(C331:I331,"&lt;&gt;",'Потребление (МВт·ч)'!C331:I331)&gt;0,SUMPRODUCT(C331:I331,'Потребление (МВт·ч)'!C331:I331)/SUMIF(C331:I331,"&lt;&gt;",'Потребление (МВт·ч)'!C331:I331),"")</s:f>
        <s:v>2421.6010628514537</s:v>
      </s:c>
      <s:c r="L331" s="6" t="n">
        <s:f>IF(COUNT(C331:I331)&gt;0,AVERAGE(C331:I331),"")</s:f>
        <s:v>2418.778946666667</s:v>
      </s:c>
      <s:c r="M331" s="10" t="n">
        <s:f>COUNT(C331:I331)</s:f>
        <s:v>6</s:v>
      </s:c>
      <s:c r="N331" s="11" t="n">
        <s:f>IF(AND(COUNT('Потребление (МВт·ч)'!C331:I331)=7,SUM('Потребление (МВт·ч)'!C331:I331)&gt;0),SUMIF(C331:I331,"&lt;&gt;",'Потребление (МВт·ч)'!C331:I331)/SUM('Потребление (МВт·ч)'!C331:I331),"")</s:f>
        <s:v>0.957339628151465</s:v>
      </s:c>
    </s:row>
    <s:row r="332">
      <s:c r="A332" s="5" t="n">
        <s:v>46279</s:v>
      </s:c>
      <s:c r="B332" s="2" t="n">
        <s:v>15</s:v>
      </s:c>
      <s:c r="C332" s="6" t="n">
        <s:v>2045.26</s:v>
      </s:c>
      <s:c r="D332" s="6" t="n">
        <s:v>3056.21045</s:v>
      </s:c>
      <s:c r="E332" s="6" t="n">
        <s:v>2699.44336</s:v>
      </s:c>
      <s:c r="F332" s="6" t="n">
        <s:v>2611.91016</s:v>
      </s:c>
      <s:c r="G332" s="6" t="n">
        <s:v>2361.923</s:v>
      </s:c>
      <s:c r="H332" s="6" t="n">
        <s:v>1852.17773</s:v>
      </s:c>
      <s:c r="I332" s="6" t="n"/>
      <s:c r="J332" s="6" t="str">
        <s:f>IF(AND(COUNT(C332:I332)=7,COUNT('Потребление (МВт·ч)'!C332:I332)=7,SUM('Потребление (МВт·ч)'!C332:I332)&gt;0),SUMPRODUCT(C332:I332,'Потребление (МВт·ч)'!C332:I332)/SUM('Потребление (МВт·ч)'!C332:I332),"")</s:f>
      </s:c>
      <s:c r="K332" s="6" t="n">
        <s:f>IF(SUMIF(C332:I332,"&lt;&gt;",'Потребление (МВт·ч)'!C332:I332)&gt;0,SUMPRODUCT(C332:I332,'Потребление (МВт·ч)'!C332:I332)/SUMIF(C332:I332,"&lt;&gt;",'Потребление (МВт·ч)'!C332:I332),"")</s:f>
        <s:v>2466.0111802012743</s:v>
      </s:c>
      <s:c r="L332" s="6" t="n">
        <s:f>IF(COUNT(C332:I332)&gt;0,AVERAGE(C332:I332),"")</s:f>
        <s:v>2437.820783333333</s:v>
      </s:c>
      <s:c r="M332" s="10" t="n">
        <s:f>COUNT(C332:I332)</s:f>
        <s:v>6</s:v>
      </s:c>
      <s:c r="N332" s="11" t="n">
        <s:f>IF(AND(COUNT('Потребление (МВт·ч)'!C332:I332)=7,SUM('Потребление (МВт·ч)'!C332:I332)&gt;0),SUMIF(C332:I332,"&lt;&gt;",'Потребление (МВт·ч)'!C332:I332)/SUM('Потребление (МВт·ч)'!C332:I332),"")</s:f>
        <s:v>0.9592355137153059</s:v>
      </s:c>
    </s:row>
    <s:row r="333">
      <s:c r="A333" s="5" t="n">
        <s:v>46279</s:v>
      </s:c>
      <s:c r="B333" s="2" t="n">
        <s:v>16</s:v>
      </s:c>
      <s:c r="C333" s="6" t="n">
        <s:v>2196.37134</s:v>
      </s:c>
      <s:c r="D333" s="6" t="n">
        <s:v>2900.64478</s:v>
      </s:c>
      <s:c r="E333" s="6" t="n">
        <s:v>3803.73828</s:v>
      </s:c>
      <s:c r="F333" s="6" t="n">
        <s:v>2606.28979</s:v>
      </s:c>
      <s:c r="G333" s="6" t="n">
        <s:v>2409.32373</s:v>
      </s:c>
      <s:c r="H333" s="6" t="n">
        <s:v>1640.91992</s:v>
      </s:c>
      <s:c r="I333" s="6" t="n"/>
      <s:c r="J333" s="6" t="str">
        <s:f>IF(AND(COUNT(C333:I333)=7,COUNT('Потребление (МВт·ч)'!C333:I333)=7,SUM('Потребление (МВт·ч)'!C333:I333)&gt;0),SUMPRODUCT(C333:I333,'Потребление (МВт·ч)'!C333:I333)/SUM('Потребление (МВт·ч)'!C333:I333),"")</s:f>
      </s:c>
      <s:c r="K333" s="6" t="n">
        <s:f>IF(SUMIF(C333:I333,"&lt;&gt;",'Потребление (МВт·ч)'!C333:I333)&gt;0,SUMPRODUCT(C333:I333,'Потребление (МВт·ч)'!C333:I333)/SUMIF(C333:I333,"&lt;&gt;",'Потребление (МВт·ч)'!C333:I333),"")</s:f>
        <s:v>2524.907515140155</s:v>
      </s:c>
      <s:c r="L333" s="6" t="n">
        <s:f>IF(COUNT(C333:I333)&gt;0,AVERAGE(C333:I333),"")</s:f>
        <s:v>2592.8813066666667</s:v>
      </s:c>
      <s:c r="M333" s="10" t="n">
        <s:f>COUNT(C333:I333)</s:f>
        <s:v>6</s:v>
      </s:c>
      <s:c r="N333" s="11" t="n">
        <s:f>IF(AND(COUNT('Потребление (МВт·ч)'!C333:I333)=7,SUM('Потребление (МВт·ч)'!C333:I333)&gt;0),SUMIF(C333:I333,"&lt;&gt;",'Потребление (МВт·ч)'!C333:I333)/SUM('Потребление (МВт·ч)'!C333:I333),"")</s:f>
        <s:v>0.9606730516924692</s:v>
      </s:c>
    </s:row>
    <s:row r="334">
      <s:c r="A334" s="5" t="n">
        <s:v>46279</s:v>
      </s:c>
      <s:c r="B334" s="2" t="n">
        <s:v>17</s:v>
      </s:c>
      <s:c r="C334" s="6" t="n">
        <s:v>1919.2417</s:v>
      </s:c>
      <s:c r="D334" s="6" t="n">
        <s:v>2881.76245</s:v>
      </s:c>
      <s:c r="E334" s="6" t="n">
        <s:v>3069.97583</s:v>
      </s:c>
      <s:c r="F334" s="6" t="n">
        <s:v>2622.241</s:v>
      </s:c>
      <s:c r="G334" s="6" t="n">
        <s:v>2428.85547</s:v>
      </s:c>
      <s:c r="H334" s="6" t="n">
        <s:v>1050.99768</s:v>
      </s:c>
      <s:c r="I334" s="6" t="n"/>
      <s:c r="J334" s="6" t="str">
        <s:f>IF(AND(COUNT(C334:I334)=7,COUNT('Потребление (МВт·ч)'!C334:I334)=7,SUM('Потребление (МВт·ч)'!C334:I334)&gt;0),SUMPRODUCT(C334:I334,'Потребление (МВт·ч)'!C334:I334)/SUM('Потребление (МВт·ч)'!C334:I334),"")</s:f>
      </s:c>
      <s:c r="K334" s="6" t="n">
        <s:f>IF(SUMIF(C334:I334,"&lt;&gt;",'Потребление (МВт·ч)'!C334:I334)&gt;0,SUMPRODUCT(C334:I334,'Потребление (МВт·ч)'!C334:I334)/SUMIF(C334:I334,"&lt;&gt;",'Потребление (МВт·ч)'!C334:I334),"")</s:f>
        <s:v>2298.914388963829</s:v>
      </s:c>
      <s:c r="L334" s="6" t="n">
        <s:f>IF(COUNT(C334:I334)&gt;0,AVERAGE(C334:I334),"")</s:f>
        <s:v>2328.8456883333333</s:v>
      </s:c>
      <s:c r="M334" s="10" t="n">
        <s:f>COUNT(C334:I334)</s:f>
        <s:v>6</s:v>
      </s:c>
      <s:c r="N334" s="11" t="n">
        <s:f>IF(AND(COUNT('Потребление (МВт·ч)'!C334:I334)=7,SUM('Потребление (МВт·ч)'!C334:I334)&gt;0),SUMIF(C334:I334,"&lt;&gt;",'Потребление (МВт·ч)'!C334:I334)/SUM('Потребление (МВт·ч)'!C334:I334),"")</s:f>
        <s:v>0.9632285890326556</s:v>
      </s:c>
    </s:row>
    <s:row r="335">
      <s:c r="A335" s="5" t="n">
        <s:v>46279</s:v>
      </s:c>
      <s:c r="B335" s="2" t="n">
        <s:v>18</s:v>
      </s:c>
      <s:c r="C335" s="6" t="n">
        <s:v>2068.91064</s:v>
      </s:c>
      <s:c r="D335" s="6" t="n">
        <s:v>2997.906</s:v>
      </s:c>
      <s:c r="E335" s="6" t="n">
        <s:v>3017.63452</s:v>
      </s:c>
      <s:c r="F335" s="6" t="n">
        <s:v>2668.87866</s:v>
      </s:c>
      <s:c r="G335" s="6" t="n">
        <s:v>2436.668</s:v>
      </s:c>
      <s:c r="H335" s="6" t="n">
        <s:v>988.79895</s:v>
      </s:c>
      <s:c r="I335" s="6" t="n"/>
      <s:c r="J335" s="6" t="str">
        <s:f>IF(AND(COUNT(C335:I335)=7,COUNT('Потребление (МВт·ч)'!C335:I335)=7,SUM('Потребление (МВт·ч)'!C335:I335)&gt;0),SUMPRODUCT(C335:I335,'Потребление (МВт·ч)'!C335:I335)/SUM('Потребление (МВт·ч)'!C335:I335),"")</s:f>
      </s:c>
      <s:c r="K335" s="6" t="n">
        <s:f>IF(SUMIF(C335:I335,"&lt;&gt;",'Потребление (МВт·ч)'!C335:I335)&gt;0,SUMPRODUCT(C335:I335,'Потребление (МВт·ч)'!C335:I335)/SUMIF(C335:I335,"&lt;&gt;",'Потребление (МВт·ч)'!C335:I335),"")</s:f>
        <s:v>2349.3087419729354</s:v>
      </s:c>
      <s:c r="L335" s="6" t="n">
        <s:f>IF(COUNT(C335:I335)&gt;0,AVERAGE(C335:I335),"")</s:f>
        <s:v>2363.132795</s:v>
      </s:c>
      <s:c r="M335" s="10" t="n">
        <s:f>COUNT(C335:I335)</s:f>
        <s:v>6</s:v>
      </s:c>
      <s:c r="N335" s="11" t="n">
        <s:f>IF(AND(COUNT('Потребление (МВт·ч)'!C335:I335)=7,SUM('Потребление (МВт·ч)'!C335:I335)&gt;0),SUMIF(C335:I335,"&lt;&gt;",'Потребление (МВт·ч)'!C335:I335)/SUM('Потребление (МВт·ч)'!C335:I335),"")</s:f>
        <s:v>0.9640230213478101</s:v>
      </s:c>
    </s:row>
    <s:row r="336">
      <s:c r="A336" s="5" t="n">
        <s:v>46279</s:v>
      </s:c>
      <s:c r="B336" s="2" t="n">
        <s:v>19</s:v>
      </s:c>
      <s:c r="C336" s="6" t="n">
        <s:v>2418.73364</s:v>
      </s:c>
      <s:c r="D336" s="6" t="n">
        <s:v>3173.423</s:v>
      </s:c>
      <s:c r="E336" s="6" t="n">
        <s:v>3135.22</s:v>
      </s:c>
      <s:c r="F336" s="6" t="n">
        <s:v>2488.33618</s:v>
      </s:c>
      <s:c r="G336" s="6" t="n">
        <s:v>2277.56177</s:v>
      </s:c>
      <s:c r="H336" s="6" t="n">
        <s:v>857.027832</s:v>
      </s:c>
      <s:c r="I336" s="6" t="n"/>
      <s:c r="J336" s="6" t="str">
        <s:f>IF(AND(COUNT(C336:I336)=7,COUNT('Потребление (МВт·ч)'!C336:I336)=7,SUM('Потребление (МВт·ч)'!C336:I336)&gt;0),SUMPRODUCT(C336:I336,'Потребление (МВт·ч)'!C336:I336)/SUM('Потребление (МВт·ч)'!C336:I336),"")</s:f>
      </s:c>
      <s:c r="K336" s="6" t="n">
        <s:f>IF(SUMIF(C336:I336,"&lt;&gt;",'Потребление (МВт·ч)'!C336:I336)&gt;0,SUMPRODUCT(C336:I336,'Потребление (МВт·ч)'!C336:I336)/SUMIF(C336:I336,"&lt;&gt;",'Потребление (МВт·ч)'!C336:I336),"")</s:f>
        <s:v>2367.7351971971984</s:v>
      </s:c>
      <s:c r="L336" s="6" t="n">
        <s:f>IF(COUNT(C336:I336)&gt;0,AVERAGE(C336:I336),"")</s:f>
        <s:v>2391.717070333333</s:v>
      </s:c>
      <s:c r="M336" s="10" t="n">
        <s:f>COUNT(C336:I336)</s:f>
        <s:v>6</s:v>
      </s:c>
      <s:c r="N336" s="11" t="n">
        <s:f>IF(AND(COUNT('Потребление (МВт·ч)'!C336:I336)=7,SUM('Потребление (МВт·ч)'!C336:I336)&gt;0),SUMIF(C336:I336,"&lt;&gt;",'Потребление (МВт·ч)'!C336:I336)/SUM('Потребление (МВт·ч)'!C336:I336),"")</s:f>
        <s:v>0.9638788782569073</s:v>
      </s:c>
    </s:row>
    <s:row r="337">
      <s:c r="A337" s="5" t="n">
        <s:v>46279</s:v>
      </s:c>
      <s:c r="B337" s="2" t="n">
        <s:v>20</s:v>
      </s:c>
      <s:c r="C337" s="6" t="n">
        <s:v>2516.08862</s:v>
      </s:c>
      <s:c r="D337" s="6" t="n">
        <s:v>3257.08447</s:v>
      </s:c>
      <s:c r="E337" s="6" t="n">
        <s:v>2559.07568</s:v>
      </s:c>
      <s:c r="F337" s="6" t="n">
        <s:v>2507.391</s:v>
      </s:c>
      <s:c r="G337" s="6" t="n">
        <s:v>2173.22119</s:v>
      </s:c>
      <s:c r="H337" s="6" t="n">
        <s:v>763.3092</s:v>
      </s:c>
      <s:c r="I337" s="6" t="n"/>
      <s:c r="J337" s="6" t="str">
        <s:f>IF(AND(COUNT(C337:I337)=7,COUNT('Потребление (МВт·ч)'!C337:I337)=7,SUM('Потребление (МВт·ч)'!C337:I337)&gt;0),SUMPRODUCT(C337:I337,'Потребление (МВт·ч)'!C337:I337)/SUM('Потребление (МВт·ч)'!C337:I337),"")</s:f>
      </s:c>
      <s:c r="K337" s="6" t="n">
        <s:f>IF(SUMIF(C337:I337,"&lt;&gt;",'Потребление (МВт·ч)'!C337:I337)&gt;0,SUMPRODUCT(C337:I337,'Потребление (МВт·ч)'!C337:I337)/SUMIF(C337:I337,"&lt;&gt;",'Потребление (МВт·ч)'!C337:I337),"")</s:f>
        <s:v>2295.8237196079117</s:v>
      </s:c>
      <s:c r="L337" s="6" t="n">
        <s:f>IF(COUNT(C337:I337)&gt;0,AVERAGE(C337:I337),"")</s:f>
        <s:v>2296.02836</s:v>
      </s:c>
      <s:c r="M337" s="10" t="n">
        <s:f>COUNT(C337:I337)</s:f>
        <s:v>6</s:v>
      </s:c>
      <s:c r="N337" s="11" t="n">
        <s:f>IF(AND(COUNT('Потребление (МВт·ч)'!C337:I337)=7,SUM('Потребление (МВт·ч)'!C337:I337)&gt;0),SUMIF(C337:I337,"&lt;&gt;",'Потребление (МВт·ч)'!C337:I337)/SUM('Потребление (МВт·ч)'!C337:I337),"")</s:f>
        <s:v>0.9631847717286192</s:v>
      </s:c>
    </s:row>
    <s:row r="338">
      <s:c r="A338" s="5" t="n">
        <s:v>46279</s:v>
      </s:c>
      <s:c r="B338" s="2" t="n">
        <s:v>21</s:v>
      </s:c>
      <s:c r="C338" s="6" t="n">
        <s:v>1428.61145</s:v>
      </s:c>
      <s:c r="D338" s="6" t="n">
        <s:v>2634.90918</s:v>
      </s:c>
      <s:c r="E338" s="6" t="n">
        <s:v>2327.79272</s:v>
      </s:c>
      <s:c r="F338" s="6" t="n">
        <s:v>1645.28931</s:v>
      </s:c>
      <s:c r="G338" s="6" t="n">
        <s:v>1518.06885</s:v>
      </s:c>
      <s:c r="H338" s="6" t="n">
        <s:v>511.428131</s:v>
      </s:c>
      <s:c r="I338" s="6" t="n"/>
      <s:c r="J338" s="6" t="str">
        <s:f>IF(AND(COUNT(C338:I338)=7,COUNT('Потребление (МВт·ч)'!C338:I338)=7,SUM('Потребление (МВт·ч)'!C338:I338)&gt;0),SUMPRODUCT(C338:I338,'Потребление (МВт·ч)'!C338:I338)/SUM('Потребление (МВт·ч)'!C338:I338),"")</s:f>
      </s:c>
      <s:c r="K338" s="6" t="n">
        <s:f>IF(SUMIF(C338:I338,"&lt;&gt;",'Потребление (МВт·ч)'!C338:I338)&gt;0,SUMPRODUCT(C338:I338,'Потребление (МВт·ч)'!C338:I338)/SUMIF(C338:I338,"&lt;&gt;",'Потребление (МВт·ч)'!C338:I338),"")</s:f>
        <s:v>1695.6022766707622</s:v>
      </s:c>
      <s:c r="L338" s="6" t="n">
        <s:f>IF(COUNT(C338:I338)&gt;0,AVERAGE(C338:I338),"")</s:f>
        <s:v>1677.6832735</s:v>
      </s:c>
      <s:c r="M338" s="10" t="n">
        <s:f>COUNT(C338:I338)</s:f>
        <s:v>6</s:v>
      </s:c>
      <s:c r="N338" s="11" t="n">
        <s:f>IF(AND(COUNT('Потребление (МВт·ч)'!C338:I338)=7,SUM('Потребление (МВт·ч)'!C338:I338)&gt;0),SUMIF(C338:I338,"&lt;&gt;",'Потребление (МВт·ч)'!C338:I338)/SUM('Потребление (МВт·ч)'!C338:I338),"")</s:f>
        <s:v>0.9618037042540359</s:v>
      </s:c>
    </s:row>
    <s:row r="339">
      <s:c r="A339" s="5" t="n">
        <s:v>46279</s:v>
      </s:c>
      <s:c r="B339" s="2" t="n">
        <s:v>22</s:v>
      </s:c>
      <s:c r="C339" s="6" t="n">
        <s:v>43.4580269</s:v>
      </s:c>
      <s:c r="D339" s="6" t="n">
        <s:v>489.888245</s:v>
      </s:c>
      <s:c r="E339" s="6" t="n">
        <s:v>1829.12</s:v>
      </s:c>
      <s:c r="F339" s="6" t="n">
        <s:v>323.194946</s:v>
      </s:c>
      <s:c r="G339" s="6" t="n">
        <s:v>206.123367</s:v>
      </s:c>
      <s:c r="H339" s="6" t="n">
        <s:v>0</s:v>
      </s:c>
      <s:c r="I339" s="6" t="n"/>
      <s:c r="J339" s="6" t="str">
        <s:f>IF(AND(COUNT(C339:I339)=7,COUNT('Потребление (МВт·ч)'!C339:I339)=7,SUM('Потребление (МВт·ч)'!C339:I339)&gt;0),SUMPRODUCT(C339:I339,'Потребление (МВт·ч)'!C339:I339)/SUM('Потребление (МВт·ч)'!C339:I339),"")</s:f>
      </s:c>
      <s:c r="K339" s="6" t="n">
        <s:f>IF(SUMIF(C339:I339,"&lt;&gt;",'Потребление (МВт·ч)'!C339:I339)&gt;0,SUMPRODUCT(C339:I339,'Потребление (МВт·ч)'!C339:I339)/SUMIF(C339:I339,"&lt;&gt;",'Потребление (МВт·ч)'!C339:I339),"")</s:f>
        <s:v>400.6305470717308</s:v>
      </s:c>
      <s:c r="L339" s="6" t="n">
        <s:f>IF(COUNT(C339:I339)&gt;0,AVERAGE(C339:I339),"")</s:f>
        <s:v>481.9640974833333</s:v>
      </s:c>
      <s:c r="M339" s="10" t="n">
        <s:f>COUNT(C339:I339)</s:f>
        <s:v>6</s:v>
      </s:c>
      <s:c r="N339" s="11" t="n">
        <s:f>IF(AND(COUNT('Потребление (МВт·ч)'!C339:I339)=7,SUM('Потребление (МВт·ч)'!C339:I339)&gt;0),SUMIF(C339:I339,"&lt;&gt;",'Потребление (МВт·ч)'!C339:I339)/SUM('Потребление (МВт·ч)'!C339:I339),"")</s:f>
        <s:v>0.9591371065980618</s:v>
      </s:c>
    </s:row>
    <s:row r="340">
      <s:c r="A340" s="5" t="n">
        <s:v>46279</s:v>
      </s:c>
      <s:c r="B340" s="2" t="n">
        <s:v>23</s:v>
      </s:c>
      <s:c r="C340" s="6" t="n">
        <s:v>76.46702000000001</s:v>
      </s:c>
      <s:c r="D340" s="6" t="n">
        <s:v>635.6067</s:v>
      </s:c>
      <s:c r="E340" s="6" t="n">
        <s:v>950.310242</s:v>
      </s:c>
      <s:c r="F340" s="6" t="n">
        <s:v>463.755981</s:v>
      </s:c>
      <s:c r="G340" s="6" t="n">
        <s:v>350.67804</s:v>
      </s:c>
      <s:c r="H340" s="6" t="n">
        <s:v>0</s:v>
      </s:c>
      <s:c r="I340" s="6" t="n"/>
      <s:c r="J340" s="6" t="str">
        <s:f>IF(AND(COUNT(C340:I340)=7,COUNT('Потребление (МВт·ч)'!C340:I340)=7,SUM('Потребление (МВт·ч)'!C340:I340)&gt;0),SUMPRODUCT(C340:I340,'Потребление (МВт·ч)'!C340:I340)/SUM('Потребление (МВт·ч)'!C340:I340),"")</s:f>
      </s:c>
      <s:c r="K340" s="6" t="n">
        <s:f>IF(SUMIF(C340:I340,"&lt;&gt;",'Потребление (МВт·ч)'!C340:I340)&gt;0,SUMPRODUCT(C340:I340,'Потребление (МВт·ч)'!C340:I340)/SUMIF(C340:I340,"&lt;&gt;",'Потребление (МВт·ч)'!C340:I340),"")</s:f>
        <s:v>391.66890988006554</s:v>
      </s:c>
      <s:c r="L340" s="6" t="n">
        <s:f>IF(COUNT(C340:I340)&gt;0,AVERAGE(C340:I340),"")</s:f>
        <s:v>412.80299716666667</s:v>
      </s:c>
      <s:c r="M340" s="10" t="n">
        <s:f>COUNT(C340:I340)</s:f>
        <s:v>6</s:v>
      </s:c>
      <s:c r="N340" s="11" t="n">
        <s:f>IF(AND(COUNT('Потребление (МВт·ч)'!C340:I340)=7,SUM('Потребление (МВт·ч)'!C340:I340)&gt;0),SUMIF(C340:I340,"&lt;&gt;",'Потребление (МВт·ч)'!C340:I340)/SUM('Потребление (МВт·ч)'!C340:I340),"")</s:f>
        <s:v>0.9548263849870772</s:v>
      </s:c>
    </s:row>
    <s:row r="341">
      <s:c r="A341" s="5" t="n">
        <s:v>46280</s:v>
      </s:c>
      <s:c r="B341" s="2" t="n">
        <s:v>0</s:v>
      </s:c>
      <s:c r="C341" s="6" t="n">
        <s:v>1251.12439</s:v>
      </s:c>
      <s:c r="D341" s="6" t="n">
        <s:v>1655.9353</s:v>
      </s:c>
      <s:c r="E341" s="6" t="n">
        <s:v>1210.31042</s:v>
      </s:c>
      <s:c r="F341" s="6" t="n">
        <s:v>1665.0072</s:v>
      </s:c>
      <s:c r="G341" s="6" t="n">
        <s:v>1582.02625</s:v>
      </s:c>
      <s:c r="H341" s="6" t="n">
        <s:v>768.992859</s:v>
      </s:c>
      <s:c r="I341" s="6" t="n"/>
      <s:c r="J341" s="6" t="str">
        <s:f>IF(AND(COUNT(C341:I341)=7,COUNT('Потребление (МВт·ч)'!C341:I341)=7,SUM('Потребление (МВт·ч)'!C341:I341)&gt;0),SUMPRODUCT(C341:I341,'Потребление (МВт·ч)'!C341:I341)/SUM('Потребление (МВт·ч)'!C341:I341),"")</s:f>
      </s:c>
      <s:c r="K341" s="6" t="n">
        <s:f>IF(SUMIF(C341:I341,"&lt;&gt;",'Потребление (МВт·ч)'!C341:I341)&gt;0,SUMPRODUCT(C341:I341,'Потребление (МВт·ч)'!C341:I341)/SUMIF(C341:I341,"&lt;&gt;",'Потребление (МВт·ч)'!C341:I341),"")</s:f>
        <s:v>1359.8297303938516</s:v>
      </s:c>
      <s:c r="L341" s="6" t="n">
        <s:f>IF(COUNT(C341:I341)&gt;0,AVERAGE(C341:I341),"")</s:f>
        <s:v>1355.5660698333334</s:v>
      </s:c>
      <s:c r="M341" s="10" t="n">
        <s:f>COUNT(C341:I341)</s:f>
        <s:v>6</s:v>
      </s:c>
      <s:c r="N341" s="11" t="n">
        <s:f>IF(AND(COUNT('Потребление (МВт·ч)'!C341:I341)=7,SUM('Потребление (МВт·ч)'!C341:I341)&gt;0),SUMIF(C341:I341,"&lt;&gt;",'Потребление (МВт·ч)'!C341:I341)/SUM('Потребление (МВт·ч)'!C341:I341),"")</s:f>
        <s:v>0.9521349599695006</s:v>
      </s:c>
    </s:row>
    <s:row r="342">
      <s:c r="A342" s="5" t="n">
        <s:v>46280</s:v>
      </s:c>
      <s:c r="B342" s="2" t="n">
        <s:v>1</s:v>
      </s:c>
      <s:c r="C342" s="6" t="n">
        <s:v>839.0836</s:v>
      </s:c>
      <s:c r="D342" s="6" t="n">
        <s:v>1574.39136</s:v>
      </s:c>
      <s:c r="E342" s="6" t="n">
        <s:v>1133.55127</s:v>
      </s:c>
      <s:c r="F342" s="6" t="n">
        <s:v>1615.80054</s:v>
      </s:c>
      <s:c r="G342" s="6" t="n">
        <s:v>1574.459</s:v>
      </s:c>
      <s:c r="H342" s="6" t="n">
        <s:v>1124.794</s:v>
      </s:c>
      <s:c r="I342" s="6" t="n"/>
      <s:c r="J342" s="6" t="str">
        <s:f>IF(AND(COUNT(C342:I342)=7,COUNT('Потребление (МВт·ч)'!C342:I342)=7,SUM('Потребление (МВт·ч)'!C342:I342)&gt;0),SUMPRODUCT(C342:I342,'Потребление (МВт·ч)'!C342:I342)/SUM('Потребление (МВт·ч)'!C342:I342),"")</s:f>
      </s:c>
      <s:c r="K342" s="6" t="n">
        <s:f>IF(SUMIF(C342:I342,"&lt;&gt;",'Потребление (МВт·ч)'!C342:I342)&gt;0,SUMPRODUCT(C342:I342,'Потребление (МВт·ч)'!C342:I342)/SUMIF(C342:I342,"&lt;&gt;",'Потребление (МВт·ч)'!C342:I342),"")</s:f>
        <s:v>1365.423915321719</s:v>
      </s:c>
      <s:c r="L342" s="6" t="n">
        <s:f>IF(COUNT(C342:I342)&gt;0,AVERAGE(C342:I342),"")</s:f>
        <s:v>1310.3466283333332</s:v>
      </s:c>
      <s:c r="M342" s="10" t="n">
        <s:f>COUNT(C342:I342)</s:f>
        <s:v>6</s:v>
      </s:c>
      <s:c r="N342" s="11" t="n">
        <s:f>IF(AND(COUNT('Потребление (МВт·ч)'!C342:I342)=7,SUM('Потребление (МВт·ч)'!C342:I342)&gt;0),SUMIF(C342:I342,"&lt;&gt;",'Потребление (МВт·ч)'!C342:I342)/SUM('Потребление (МВт·ч)'!C342:I342),"")</s:f>
        <s:v>0.9506869833222916</s:v>
      </s:c>
    </s:row>
    <s:row r="343">
      <s:c r="A343" s="5" t="n">
        <s:v>46280</s:v>
      </s:c>
      <s:c r="B343" s="2" t="n">
        <s:v>2</s:v>
      </s:c>
      <s:c r="C343" s="6" t="n">
        <s:v>424.678131</s:v>
      </s:c>
      <s:c r="D343" s="6" t="n">
        <s:v>1371.00073</s:v>
      </s:c>
      <s:c r="E343" s="6" t="n">
        <s:v>605.888733</s:v>
      </s:c>
      <s:c r="F343" s="6" t="n">
        <s:v>1425.66809</s:v>
      </s:c>
      <s:c r="G343" s="6" t="n">
        <s:v>1557.53394</s:v>
      </s:c>
      <s:c r="H343" s="6" t="n">
        <s:v>1099.87463</s:v>
      </s:c>
      <s:c r="I343" s="6" t="n"/>
      <s:c r="J343" s="6" t="str">
        <s:f>IF(AND(COUNT(C343:I343)=7,COUNT('Потребление (МВт·ч)'!C343:I343)=7,SUM('Потребление (МВт·ч)'!C343:I343)&gt;0),SUMPRODUCT(C343:I343,'Потребление (МВт·ч)'!C343:I343)/SUM('Потребление (МВт·ч)'!C343:I343),"")</s:f>
      </s:c>
      <s:c r="K343" s="6" t="n">
        <s:f>IF(SUMIF(C343:I343,"&lt;&gt;",'Потребление (МВт·ч)'!C343:I343)&gt;0,SUMPRODUCT(C343:I343,'Потребление (МВт·ч)'!C343:I343)/SUMIF(C343:I343,"&lt;&gt;",'Потребление (МВт·ч)'!C343:I343),"")</s:f>
        <s:v>1199.3633365969263</s:v>
      </s:c>
      <s:c r="L343" s="6" t="n">
        <s:f>IF(COUNT(C343:I343)&gt;0,AVERAGE(C343:I343),"")</s:f>
        <s:v>1080.7740423333335</s:v>
      </s:c>
      <s:c r="M343" s="10" t="n">
        <s:f>COUNT(C343:I343)</s:f>
        <s:v>6</s:v>
      </s:c>
      <s:c r="N343" s="11" t="n">
        <s:f>IF(AND(COUNT('Потребление (МВт·ч)'!C343:I343)=7,SUM('Потребление (МВт·ч)'!C343:I343)&gt;0),SUMIF(C343:I343,"&lt;&gt;",'Потребление (МВт·ч)'!C343:I343)/SUM('Потребление (МВт·ч)'!C343:I343),"")</s:f>
        <s:v>0.9506883700432087</s:v>
      </s:c>
    </s:row>
    <s:row r="344">
      <s:c r="A344" s="5" t="n">
        <s:v>46280</s:v>
      </s:c>
      <s:c r="B344" s="2" t="n">
        <s:v>3</s:v>
      </s:c>
      <s:c r="C344" s="6" t="n">
        <s:v>500.3814</s:v>
      </s:c>
      <s:c r="D344" s="6" t="n">
        <s:v>1510.94324</s:v>
      </s:c>
      <s:c r="E344" s="6" t="n">
        <s:v>924.7779</s:v>
      </s:c>
      <s:c r="F344" s="6" t="n">
        <s:v>1487.53748</s:v>
      </s:c>
      <s:c r="G344" s="6" t="n">
        <s:v>1558.37659</s:v>
      </s:c>
      <s:c r="H344" s="6" t="n">
        <s:v>1042.48364</s:v>
      </s:c>
      <s:c r="I344" s="6" t="n"/>
      <s:c r="J344" s="6" t="str">
        <s:f>IF(AND(COUNT(C344:I344)=7,COUNT('Потребление (МВт·ч)'!C344:I344)=7,SUM('Потребление (МВт·ч)'!C344:I344)&gt;0),SUMPRODUCT(C344:I344,'Потребление (МВт·ч)'!C344:I344)/SUM('Потребление (МВт·ч)'!C344:I344),"")</s:f>
      </s:c>
      <s:c r="K344" s="6" t="n">
        <s:f>IF(SUMIF(C344:I344,"&lt;&gt;",'Потребление (МВт·ч)'!C344:I344)&gt;0,SUMPRODUCT(C344:I344,'Потребление (МВт·ч)'!C344:I344)/SUMIF(C344:I344,"&lt;&gt;",'Потребление (МВт·ч)'!C344:I344),"")</s:f>
        <s:v>1264.2183084821982</s:v>
      </s:c>
      <s:c r="L344" s="6" t="n">
        <s:f>IF(COUNT(C344:I344)&gt;0,AVERAGE(C344:I344),"")</s:f>
        <s:v>1170.7500416666664</s:v>
      </s:c>
      <s:c r="M344" s="10" t="n">
        <s:f>COUNT(C344:I344)</s:f>
        <s:v>6</s:v>
      </s:c>
      <s:c r="N344" s="11" t="n">
        <s:f>IF(AND(COUNT('Потребление (МВт·ч)'!C344:I344)=7,SUM('Потребление (МВт·ч)'!C344:I344)&gt;0),SUMIF(C344:I344,"&lt;&gt;",'Потребление (МВт·ч)'!C344:I344)/SUM('Потребление (МВт·ч)'!C344:I344),"")</s:f>
        <s:v>0.9508377655778727</s:v>
      </s:c>
    </s:row>
    <s:row r="345">
      <s:c r="A345" s="5" t="n">
        <s:v>46280</s:v>
      </s:c>
      <s:c r="B345" s="2" t="n">
        <s:v>4</s:v>
      </s:c>
      <s:c r="C345" s="6" t="n">
        <s:v>424.920746</s:v>
      </s:c>
      <s:c r="D345" s="6" t="n">
        <s:v>1494.21008</s:v>
      </s:c>
      <s:c r="E345" s="6" t="n">
        <s:v>845.2593000000001</s:v>
      </s:c>
      <s:c r="F345" s="6" t="n">
        <s:v>1545.65271</s:v>
      </s:c>
      <s:c r="G345" s="6" t="n">
        <s:v>1639.8656</s:v>
      </s:c>
      <s:c r="H345" s="6" t="n">
        <s:v>1134.24524</s:v>
      </s:c>
      <s:c r="I345" s="6" t="n"/>
      <s:c r="J345" s="6" t="str">
        <s:f>IF(AND(COUNT(C345:I345)=7,COUNT('Потребление (МВт·ч)'!C345:I345)=7,SUM('Потребление (МВт·ч)'!C345:I345)&gt;0),SUMPRODUCT(C345:I345,'Потребление (МВт·ч)'!C345:I345)/SUM('Потребление (МВт·ч)'!C345:I345),"")</s:f>
      </s:c>
      <s:c r="K345" s="6" t="n">
        <s:f>IF(SUMIF(C345:I345,"&lt;&gt;",'Потребление (МВт·ч)'!C345:I345)&gt;0,SUMPRODUCT(C345:I345,'Потребление (МВт·ч)'!C345:I345)/SUMIF(C345:I345,"&lt;&gt;",'Потребление (МВт·ч)'!C345:I345),"")</s:f>
        <s:v>1295.7138849529922</s:v>
      </s:c>
      <s:c r="L345" s="6" t="n">
        <s:f>IF(COUNT(C345:I345)&gt;0,AVERAGE(C345:I345),"")</s:f>
        <s:v>1180.6922793333335</s:v>
      </s:c>
      <s:c r="M345" s="10" t="n">
        <s:f>COUNT(C345:I345)</s:f>
        <s:v>6</s:v>
      </s:c>
      <s:c r="N345" s="11" t="n">
        <s:f>IF(AND(COUNT('Потребление (МВт·ч)'!C345:I345)=7,SUM('Потребление (МВт·ч)'!C345:I345)&gt;0),SUMIF(C345:I345,"&lt;&gt;",'Потребление (МВт·ч)'!C345:I345)/SUM('Потребление (МВт·ч)'!C345:I345),"")</s:f>
        <s:v>0.9526942796352014</s:v>
      </s:c>
    </s:row>
    <s:row r="346">
      <s:c r="A346" s="5" t="n">
        <s:v>46280</s:v>
      </s:c>
      <s:c r="B346" s="2" t="n">
        <s:v>5</s:v>
      </s:c>
      <s:c r="C346" s="6" t="n">
        <s:v>483.35553</s:v>
      </s:c>
      <s:c r="D346" s="6" t="n">
        <s:v>1824.572</s:v>
      </s:c>
      <s:c r="E346" s="6" t="n">
        <s:v>1496.02686</s:v>
      </s:c>
      <s:c r="F346" s="6" t="n">
        <s:v>1981.41553</s:v>
      </s:c>
      <s:c r="G346" s="6" t="n">
        <s:v>1960.2063</s:v>
      </s:c>
      <s:c r="H346" s="6" t="n">
        <s:v>1231.64587</s:v>
      </s:c>
      <s:c r="I346" s="6" t="n"/>
      <s:c r="J346" s="6" t="str">
        <s:f>IF(AND(COUNT(C346:I346)=7,COUNT('Потребление (МВт·ч)'!C346:I346)=7,SUM('Потребление (МВт·ч)'!C346:I346)&gt;0),SUMPRODUCT(C346:I346,'Потребление (МВт·ч)'!C346:I346)/SUM('Потребление (МВт·ч)'!C346:I346),"")</s:f>
      </s:c>
      <s:c r="K346" s="6" t="n">
        <s:f>IF(SUMIF(C346:I346,"&lt;&gt;",'Потребление (МВт·ч)'!C346:I346)&gt;0,SUMPRODUCT(C346:I346,'Потребление (МВт·ч)'!C346:I346)/SUMIF(C346:I346,"&lt;&gt;",'Потребление (МВт·ч)'!C346:I346),"")</s:f>
        <s:v>1587.440005310906</s:v>
      </s:c>
      <s:c r="L346" s="6" t="n">
        <s:f>IF(COUNT(C346:I346)&gt;0,AVERAGE(C346:I346),"")</s:f>
        <s:v>1496.2036816666666</s:v>
      </s:c>
      <s:c r="M346" s="10" t="n">
        <s:f>COUNT(C346:I346)</s:f>
        <s:v>6</s:v>
      </s:c>
      <s:c r="N346" s="11" t="n">
        <s:f>IF(AND(COUNT('Потребление (МВт·ч)'!C346:I346)=7,SUM('Потребление (МВт·ч)'!C346:I346)&gt;0),SUMIF(C346:I346,"&lt;&gt;",'Потребление (МВт·ч)'!C346:I346)/SUM('Потребление (МВт·ч)'!C346:I346),"")</s:f>
        <s:v>0.9549428379287155</s:v>
      </s:c>
    </s:row>
    <s:row r="347">
      <s:c r="A347" s="5" t="n">
        <s:v>46280</s:v>
      </s:c>
      <s:c r="B347" s="2" t="n">
        <s:v>6</s:v>
      </s:c>
      <s:c r="C347" s="6" t="n">
        <s:v>580.6126</s:v>
      </s:c>
      <s:c r="D347" s="6" t="n">
        <s:v>1955.47412</s:v>
      </s:c>
      <s:c r="E347" s="6" t="n">
        <s:v>1575.53467</s:v>
      </s:c>
      <s:c r="F347" s="6" t="n">
        <s:v>2166.53125</s:v>
      </s:c>
      <s:c r="G347" s="6" t="n">
        <s:v>2106.2334</s:v>
      </s:c>
      <s:c r="H347" s="6" t="n">
        <s:v>1234.85913</s:v>
      </s:c>
      <s:c r="I347" s="6" t="n"/>
      <s:c r="J347" s="6" t="str">
        <s:f>IF(AND(COUNT(C347:I347)=7,COUNT('Потребление (МВт·ч)'!C347:I347)=7,SUM('Потребление (МВт·ч)'!C347:I347)&gt;0),SUMPRODUCT(C347:I347,'Потребление (МВт·ч)'!C347:I347)/SUM('Потребление (МВт·ч)'!C347:I347),"")</s:f>
      </s:c>
      <s:c r="K347" s="6" t="n">
        <s:f>IF(SUMIF(C347:I347,"&lt;&gt;",'Потребление (МВт·ч)'!C347:I347)&gt;0,SUMPRODUCT(C347:I347,'Потребление (МВт·ч)'!C347:I347)/SUMIF(C347:I347,"&lt;&gt;",'Потребление (МВт·ч)'!C347:I347),"")</s:f>
        <s:v>1698.9155550759526</s:v>
      </s:c>
      <s:c r="L347" s="6" t="n">
        <s:f>IF(COUNT(C347:I347)&gt;0,AVERAGE(C347:I347),"")</s:f>
        <s:v>1603.2075283333336</s:v>
      </s:c>
      <s:c r="M347" s="10" t="n">
        <s:f>COUNT(C347:I347)</s:f>
        <s:v>6</s:v>
      </s:c>
      <s:c r="N347" s="11" t="n">
        <s:f>IF(AND(COUNT('Потребление (МВт·ч)'!C347:I347)=7,SUM('Потребление (МВт·ч)'!C347:I347)&gt;0),SUMIF(C347:I347,"&lt;&gt;",'Потребление (МВт·ч)'!C347:I347)/SUM('Потребление (МВт·ч)'!C347:I347),"")</s:f>
        <s:v>0.9559639752853702</s:v>
      </s:c>
    </s:row>
    <s:row r="348">
      <s:c r="A348" s="5" t="n">
        <s:v>46280</s:v>
      </s:c>
      <s:c r="B348" s="2" t="n">
        <s:v>7</s:v>
      </s:c>
      <s:c r="C348" s="6" t="n">
        <s:v>972.9479</s:v>
      </s:c>
      <s:c r="D348" s="6" t="n">
        <s:v>2212.63428</s:v>
      </s:c>
      <s:c r="E348" s="6" t="n">
        <s:v>1978.84314</s:v>
      </s:c>
      <s:c r="F348" s="6" t="n">
        <s:v>2483.57813</s:v>
      </s:c>
      <s:c r="G348" s="6" t="n">
        <s:v>2297.48853</s:v>
      </s:c>
      <s:c r="H348" s="6" t="n">
        <s:v>1268.45032</s:v>
      </s:c>
      <s:c r="I348" s="6" t="n"/>
      <s:c r="J348" s="6" t="str">
        <s:f>IF(AND(COUNT(C348:I348)=7,COUNT('Потребление (МВт·ч)'!C348:I348)=7,SUM('Потребление (МВт·ч)'!C348:I348)&gt;0),SUMPRODUCT(C348:I348,'Потребление (МВт·ч)'!C348:I348)/SUM('Потребление (МВт·ч)'!C348:I348),"")</s:f>
      </s:c>
      <s:c r="K348" s="6" t="n">
        <s:f>IF(SUMIF(C348:I348,"&lt;&gt;",'Потребление (МВт·ч)'!C348:I348)&gt;0,SUMPRODUCT(C348:I348,'Потребление (МВт·ч)'!C348:I348)/SUMIF(C348:I348,"&lt;&gt;",'Потребление (МВт·ч)'!C348:I348),"")</s:f>
        <s:v>1928.6546151957273</s:v>
      </s:c>
      <s:c r="L348" s="6" t="n">
        <s:f>IF(COUNT(C348:I348)&gt;0,AVERAGE(C348:I348),"")</s:f>
        <s:v>1868.9903833333335</s:v>
      </s:c>
      <s:c r="M348" s="10" t="n">
        <s:f>COUNT(C348:I348)</s:f>
        <s:v>6</s:v>
      </s:c>
      <s:c r="N348" s="11" t="n">
        <s:f>IF(AND(COUNT('Потребление (МВт·ч)'!C348:I348)=7,SUM('Потребление (МВт·ч)'!C348:I348)&gt;0),SUMIF(C348:I348,"&lt;&gt;",'Потребление (МВт·ч)'!C348:I348)/SUM('Потребление (МВт·ч)'!C348:I348),"")</s:f>
        <s:v>0.9577230976657959</s:v>
      </s:c>
    </s:row>
    <s:row r="349">
      <s:c r="A349" s="5" t="n">
        <s:v>46280</s:v>
      </s:c>
      <s:c r="B349" s="2" t="n">
        <s:v>8</s:v>
      </s:c>
      <s:c r="C349" s="6" t="n">
        <s:v>802.718567</s:v>
      </s:c>
      <s:c r="D349" s="6" t="n">
        <s:v>2573.455</s:v>
      </s:c>
      <s:c r="E349" s="6" t="n">
        <s:v>2537.853</s:v>
      </s:c>
      <s:c r="F349" s="6" t="n">
        <s:v>2869.07666</s:v>
      </s:c>
      <s:c r="G349" s="6" t="n">
        <s:v>2541.6748</s:v>
      </s:c>
      <s:c r="H349" s="6" t="n">
        <s:v>1011.197</s:v>
      </s:c>
      <s:c r="I349" s="6" t="n"/>
      <s:c r="J349" s="6" t="str">
        <s:f>IF(AND(COUNT(C349:I349)=7,COUNT('Потребление (МВт·ч)'!C349:I349)=7,SUM('Потребление (МВт·ч)'!C349:I349)&gt;0),SUMPRODUCT(C349:I349,'Потребление (МВт·ч)'!C349:I349)/SUM('Потребление (МВт·ч)'!C349:I349),"")</s:f>
      </s:c>
      <s:c r="K349" s="6" t="n">
        <s:f>IF(SUMIF(C349:I349,"&lt;&gt;",'Потребление (МВт·ч)'!C349:I349)&gt;0,SUMPRODUCT(C349:I349,'Потребление (МВт·ч)'!C349:I349)/SUMIF(C349:I349,"&lt;&gt;",'Потребление (МВт·ч)'!C349:I349),"")</s:f>
        <s:v>2107.6423873687477</s:v>
      </s:c>
      <s:c r="L349" s="6" t="n">
        <s:f>IF(COUNT(C349:I349)&gt;0,AVERAGE(C349:I349),"")</s:f>
        <s:v>2055.9958378333336</s:v>
      </s:c>
      <s:c r="M349" s="10" t="n">
        <s:f>COUNT(C349:I349)</s:f>
        <s:v>6</s:v>
      </s:c>
      <s:c r="N349" s="11" t="n">
        <s:f>IF(AND(COUNT('Потребление (МВт·ч)'!C349:I349)=7,SUM('Потребление (МВт·ч)'!C349:I349)&gt;0),SUMIF(C349:I349,"&lt;&gt;",'Потребление (МВт·ч)'!C349:I349)/SUM('Потребление (МВт·ч)'!C349:I349),"")</s:f>
        <s:v>0.9594909584604437</s:v>
      </s:c>
    </s:row>
    <s:row r="350">
      <s:c r="A350" s="5" t="n">
        <s:v>46280</s:v>
      </s:c>
      <s:c r="B350" s="2" t="n">
        <s:v>9</s:v>
      </s:c>
      <s:c r="C350" s="6" t="n">
        <s:v>1007.54492</s:v>
      </s:c>
      <s:c r="D350" s="6" t="n">
        <s:v>2689.92578</s:v>
      </s:c>
      <s:c r="E350" s="6" t="n">
        <s:v>2397.43</s:v>
      </s:c>
      <s:c r="F350" s="6" t="n">
        <s:v>2865.19434</s:v>
      </s:c>
      <s:c r="G350" s="6" t="n">
        <s:v>2492.34448</s:v>
      </s:c>
      <s:c r="H350" s="6" t="n">
        <s:v>970.8920000000001</s:v>
      </s:c>
      <s:c r="I350" s="6" t="n"/>
      <s:c r="J350" s="6" t="str">
        <s:f>IF(AND(COUNT(C350:I350)=7,COUNT('Потребление (МВт·ч)'!C350:I350)=7,SUM('Потребление (МВт·ч)'!C350:I350)&gt;0),SUMPRODUCT(C350:I350,'Потребление (МВт·ч)'!C350:I350)/SUM('Потребление (МВт·ч)'!C350:I350),"")</s:f>
      </s:c>
      <s:c r="K350" s="6" t="n">
        <s:f>IF(SUMIF(C350:I350,"&lt;&gt;",'Потребление (МВт·ч)'!C350:I350)&gt;0,SUMPRODUCT(C350:I350,'Потребление (МВт·ч)'!C350:I350)/SUMIF(C350:I350,"&lt;&gt;",'Потребление (МВт·ч)'!C350:I350),"")</s:f>
        <s:v>2121.6789408549384</s:v>
      </s:c>
      <s:c r="L350" s="6" t="n">
        <s:f>IF(COUNT(C350:I350)&gt;0,AVERAGE(C350:I350),"")</s:f>
        <s:v>2070.5552533333334</s:v>
      </s:c>
      <s:c r="M350" s="10" t="n">
        <s:f>COUNT(C350:I350)</s:f>
        <s:v>6</s:v>
      </s:c>
      <s:c r="N350" s="11" t="n">
        <s:f>IF(AND(COUNT('Потребление (МВт·ч)'!C350:I350)=7,SUM('Потребление (МВт·ч)'!C350:I350)&gt;0),SUMIF(C350:I350,"&lt;&gt;",'Потребление (МВт·ч)'!C350:I350)/SUM('Потребление (МВт·ч)'!C350:I350),"")</s:f>
        <s:v>0.9604562737642586</s:v>
      </s:c>
    </s:row>
    <s:row r="351">
      <s:c r="A351" s="5" t="n">
        <s:v>46280</s:v>
      </s:c>
      <s:c r="B351" s="2" t="n">
        <s:v>10</s:v>
      </s:c>
      <s:c r="C351" s="6" t="n">
        <s:v>1074.97534</s:v>
      </s:c>
      <s:c r="D351" s="6" t="n">
        <s:v>2868.62744</s:v>
      </s:c>
      <s:c r="E351" s="6" t="n">
        <s:v>2736.06348</s:v>
      </s:c>
      <s:c r="F351" s="6" t="n">
        <s:v>2903.417</s:v>
      </s:c>
      <s:c r="G351" s="6" t="n">
        <s:v>2672.64429</s:v>
      </s:c>
      <s:c r="H351" s="6" t="n">
        <s:v>1064.76111</s:v>
      </s:c>
      <s:c r="I351" s="6" t="n"/>
      <s:c r="J351" s="6" t="str">
        <s:f>IF(AND(COUNT(C351:I351)=7,COUNT('Потребление (МВт·ч)'!C351:I351)=7,SUM('Потребление (МВт·ч)'!C351:I351)&gt;0),SUMPRODUCT(C351:I351,'Потребление (МВт·ч)'!C351:I351)/SUM('Потребление (МВт·ч)'!C351:I351),"")</s:f>
      </s:c>
      <s:c r="K351" s="6" t="n">
        <s:f>IF(SUMIF(C351:I351,"&lt;&gt;",'Потребление (МВт·ч)'!C351:I351)&gt;0,SUMPRODUCT(C351:I351,'Потребление (МВт·ч)'!C351:I351)/SUMIF(C351:I351,"&lt;&gt;",'Потребление (МВт·ч)'!C351:I351),"")</s:f>
        <s:v>2273.7077552672927</s:v>
      </s:c>
      <s:c r="L351" s="6" t="n">
        <s:f>IF(COUNT(C351:I351)&gt;0,AVERAGE(C351:I351),"")</s:f>
        <s:v>2220.081443333333</s:v>
      </s:c>
      <s:c r="M351" s="10" t="n">
        <s:f>COUNT(C351:I351)</s:f>
        <s:v>6</s:v>
      </s:c>
      <s:c r="N351" s="11" t="n">
        <s:f>IF(AND(COUNT('Потребление (МВт·ч)'!C351:I351)=7,SUM('Потребление (МВт·ч)'!C351:I351)&gt;0),SUMIF(C351:I351,"&lt;&gt;",'Потребление (МВт·ч)'!C351:I351)/SUM('Потребление (МВт·ч)'!C351:I351),"")</s:f>
        <s:v>0.9594275561613163</s:v>
      </s:c>
    </s:row>
    <s:row r="352">
      <s:c r="A352" s="5" t="n">
        <s:v>46280</s:v>
      </s:c>
      <s:c r="B352" s="2" t="n">
        <s:v>11</s:v>
      </s:c>
      <s:c r="C352" s="6" t="n">
        <s:v>675.3892</s:v>
      </s:c>
      <s:c r="D352" s="6" t="n">
        <s:v>2747.57446</s:v>
      </s:c>
      <s:c r="E352" s="6" t="n">
        <s:v>2332.456</s:v>
      </s:c>
      <s:c r="F352" s="6" t="n">
        <s:v>2861.68774</s:v>
      </s:c>
      <s:c r="G352" s="6" t="n">
        <s:v>2630.809</s:v>
      </s:c>
      <s:c r="H352" s="6" t="n">
        <s:v>1196.91785</s:v>
      </s:c>
      <s:c r="I352" s="6" t="n"/>
      <s:c r="J352" s="6" t="str">
        <s:f>IF(AND(COUNT(C352:I352)=7,COUNT('Потребление (МВт·ч)'!C352:I352)=7,SUM('Потребление (МВт·ч)'!C352:I352)&gt;0),SUMPRODUCT(C352:I352,'Потребление (МВт·ч)'!C352:I352)/SUM('Потребление (МВт·ч)'!C352:I352),"")</s:f>
      </s:c>
      <s:c r="K352" s="6" t="n">
        <s:f>IF(SUMIF(C352:I352,"&lt;&gt;",'Потребление (МВт·ч)'!C352:I352)&gt;0,SUMPRODUCT(C352:I352,'Потребление (МВт·ч)'!C352:I352)/SUMIF(C352:I352,"&lt;&gt;",'Потребление (МВт·ч)'!C352:I352),"")</s:f>
        <s:v>2180.0112636637054</s:v>
      </s:c>
      <s:c r="L352" s="6" t="n">
        <s:f>IF(COUNT(C352:I352)&gt;0,AVERAGE(C352:I352),"")</s:f>
        <s:v>2074.1390416666663</s:v>
      </s:c>
      <s:c r="M352" s="10" t="n">
        <s:f>COUNT(C352:I352)</s:f>
        <s:v>6</s:v>
      </s:c>
      <s:c r="N352" s="11" t="n">
        <s:f>IF(AND(COUNT('Потребление (МВт·ч)'!C352:I352)=7,SUM('Потребление (МВт·ч)'!C352:I352)&gt;0),SUMIF(C352:I352,"&lt;&gt;",'Потребление (МВт·ч)'!C352:I352)/SUM('Потребление (МВт·ч)'!C352:I352),"")</s:f>
        <s:v>0.9591051593310795</s:v>
      </s:c>
    </s:row>
    <s:row r="353">
      <s:c r="A353" s="5" t="n">
        <s:v>46280</s:v>
      </s:c>
      <s:c r="B353" s="2" t="n">
        <s:v>12</s:v>
      </s:c>
      <s:c r="C353" s="6" t="n">
        <s:v>1117.13416</s:v>
      </s:c>
      <s:c r="D353" s="6" t="n">
        <s:v>2804.35938</s:v>
      </s:c>
      <s:c r="E353" s="6" t="n">
        <s:v>2227.556</s:v>
      </s:c>
      <s:c r="F353" s="6" t="n">
        <s:v>2980.78882</s:v>
      </s:c>
      <s:c r="G353" s="6" t="n">
        <s:v>2720.2356</s:v>
      </s:c>
      <s:c r="H353" s="6" t="n">
        <s:v>1438.28772</s:v>
      </s:c>
      <s:c r="I353" s="6" t="n"/>
      <s:c r="J353" s="6" t="str">
        <s:f>IF(AND(COUNT(C353:I353)=7,COUNT('Потребление (МВт·ч)'!C353:I353)=7,SUM('Потребление (МВт·ч)'!C353:I353)&gt;0),SUMPRODUCT(C353:I353,'Потребление (МВт·ч)'!C353:I353)/SUM('Потребление (МВт·ч)'!C353:I353),"")</s:f>
      </s:c>
      <s:c r="K353" s="6" t="n">
        <s:f>IF(SUMIF(C353:I353,"&lt;&gt;",'Потребление (МВт·ч)'!C353:I353)&gt;0,SUMPRODUCT(C353:I353,'Потребление (МВт·ч)'!C353:I353)/SUMIF(C353:I353,"&lt;&gt;",'Потребление (МВт·ч)'!C353:I353),"")</s:f>
        <s:v>2307.2562874031173</s:v>
      </s:c>
      <s:c r="L353" s="6" t="n">
        <s:f>IF(COUNT(C353:I353)&gt;0,AVERAGE(C353:I353),"")</s:f>
        <s:v>2214.7269466666667</s:v>
      </s:c>
      <s:c r="M353" s="10" t="n">
        <s:f>COUNT(C353:I353)</s:f>
        <s:v>6</s:v>
      </s:c>
      <s:c r="N353" s="11" t="n">
        <s:f>IF(AND(COUNT('Потребление (МВт·ч)'!C353:I353)=7,SUM('Потребление (МВт·ч)'!C353:I353)&gt;0),SUMIF(C353:I353,"&lt;&gt;",'Потребление (МВт·ч)'!C353:I353)/SUM('Потребление (МВт·ч)'!C353:I353),"")</s:f>
        <s:v>0.9577532679738562</s:v>
      </s:c>
    </s:row>
    <s:row r="354">
      <s:c r="A354" s="5" t="n">
        <s:v>46280</s:v>
      </s:c>
      <s:c r="B354" s="2" t="n">
        <s:v>13</s:v>
      </s:c>
      <s:c r="C354" s="6" t="n">
        <s:v>1284.55945</s:v>
      </s:c>
      <s:c r="D354" s="6" t="n">
        <s:v>2905.42871</s:v>
      </s:c>
      <s:c r="E354" s="6" t="n">
        <s:v>2454.91577</s:v>
      </s:c>
      <s:c r="F354" s="6" t="n">
        <s:v>3147.292</s:v>
      </s:c>
      <s:c r="G354" s="6" t="n">
        <s:v>2896.48</s:v>
      </s:c>
      <s:c r="H354" s="6" t="n">
        <s:v>1590.27112</s:v>
      </s:c>
      <s:c r="I354" s="6" t="n"/>
      <s:c r="J354" s="6" t="str">
        <s:f>IF(AND(COUNT(C354:I354)=7,COUNT('Потребление (МВт·ч)'!C354:I354)=7,SUM('Потребление (МВт·ч)'!C354:I354)&gt;0),SUMPRODUCT(C354:I354,'Потребление (МВт·ч)'!C354:I354)/SUM('Потребление (МВт·ч)'!C354:I354),"")</s:f>
      </s:c>
      <s:c r="K354" s="6" t="n">
        <s:f>IF(SUMIF(C354:I354,"&lt;&gt;",'Потребление (МВт·ч)'!C354:I354)&gt;0,SUMPRODUCT(C354:I354,'Потребление (МВт·ч)'!C354:I354)/SUMIF(C354:I354,"&lt;&gt;",'Потребление (МВт·ч)'!C354:I354),"")</s:f>
        <s:v>2460.7977116799066</s:v>
      </s:c>
      <s:c r="L354" s="6" t="n">
        <s:f>IF(COUNT(C354:I354)&gt;0,AVERAGE(C354:I354),"")</s:f>
        <s:v>2379.824508333333</s:v>
      </s:c>
      <s:c r="M354" s="10" t="n">
        <s:f>COUNT(C354:I354)</s:f>
        <s:v>6</s:v>
      </s:c>
      <s:c r="N354" s="11" t="n">
        <s:f>IF(AND(COUNT('Потребление (МВт·ч)'!C354:I354)=7,SUM('Потребление (МВт·ч)'!C354:I354)&gt;0),SUMIF(C354:I354,"&lt;&gt;",'Потребление (МВт·ч)'!C354:I354)/SUM('Потребление (МВт·ч)'!C354:I354),"")</s:f>
        <s:v>0.957336344949179</s:v>
      </s:c>
    </s:row>
    <s:row r="355">
      <s:c r="A355" s="5" t="n">
        <s:v>46280</s:v>
      </s:c>
      <s:c r="B355" s="2" t="n">
        <s:v>14</s:v>
      </s:c>
      <s:c r="C355" s="6" t="n">
        <s:v>1147.07214</s:v>
      </s:c>
      <s:c r="D355" s="6" t="n">
        <s:v>2833.75854</s:v>
      </s:c>
      <s:c r="E355" s="6" t="n">
        <s:v>2432.835</s:v>
      </s:c>
      <s:c r="F355" s="6" t="n">
        <s:v>3071.15576</s:v>
      </s:c>
      <s:c r="G355" s="6" t="n">
        <s:v>2862.57422</s:v>
      </s:c>
      <s:c r="H355" s="6" t="n">
        <s:v>1584.01733</s:v>
      </s:c>
      <s:c r="I355" s="6" t="n"/>
      <s:c r="J355" s="6" t="str">
        <s:f>IF(AND(COUNT(C355:I355)=7,COUNT('Потребление (МВт·ч)'!C355:I355)=7,SUM('Потребление (МВт·ч)'!C355:I355)&gt;0),SUMPRODUCT(C355:I355,'Потребление (МВт·ч)'!C355:I355)/SUM('Потребление (МВт·ч)'!C355:I355),"")</s:f>
      </s:c>
      <s:c r="K355" s="6" t="n">
        <s:f>IF(SUMIF(C355:I355,"&lt;&gt;",'Потребление (МВт·ч)'!C355:I355)&gt;0,SUMPRODUCT(C355:I355,'Потребление (МВт·ч)'!C355:I355)/SUMIF(C355:I355,"&lt;&gt;",'Потребление (МВт·ч)'!C355:I355),"")</s:f>
        <s:v>2406.3524591343776</s:v>
      </s:c>
      <s:c r="L355" s="6" t="n">
        <s:f>IF(COUNT(C355:I355)&gt;0,AVERAGE(C355:I355),"")</s:f>
        <s:v>2321.902165</s:v>
      </s:c>
      <s:c r="M355" s="10" t="n">
        <s:f>COUNT(C355:I355)</s:f>
        <s:v>6</s:v>
      </s:c>
      <s:c r="N355" s="11" t="n">
        <s:f>IF(AND(COUNT('Потребление (МВт·ч)'!C355:I355)=7,SUM('Потребление (МВт·ч)'!C355:I355)&gt;0),SUMIF(C355:I355,"&lt;&gt;",'Потребление (МВт·ч)'!C355:I355)/SUM('Потребление (МВт·ч)'!C355:I355),"")</s:f>
        <s:v>0.9578070082445138</s:v>
      </s:c>
    </s:row>
    <s:row r="356">
      <s:c r="A356" s="5" t="n">
        <s:v>46280</s:v>
      </s:c>
      <s:c r="B356" s="2" t="n">
        <s:v>15</s:v>
      </s:c>
      <s:c r="C356" s="6" t="n">
        <s:v>1160.27478</s:v>
      </s:c>
      <s:c r="D356" s="6" t="n">
        <s:v>2837.04858</s:v>
      </s:c>
      <s:c r="E356" s="6" t="n">
        <s:v>2439.356</s:v>
      </s:c>
      <s:c r="F356" s="6" t="n">
        <s:v>3092.59937</s:v>
      </s:c>
      <s:c r="G356" s="6" t="n">
        <s:v>2935.652</s:v>
      </s:c>
      <s:c r="H356" s="6" t="n">
        <s:v>1593.44568</s:v>
      </s:c>
      <s:c r="I356" s="6" t="n"/>
      <s:c r="J356" s="6" t="str">
        <s:f>IF(AND(COUNT(C356:I356)=7,COUNT('Потребление (МВт·ч)'!C356:I356)=7,SUM('Потребление (МВт·ч)'!C356:I356)&gt;0),SUMPRODUCT(C356:I356,'Потребление (МВт·ч)'!C356:I356)/SUM('Потребление (МВт·ч)'!C356:I356),"")</s:f>
      </s:c>
      <s:c r="K356" s="6" t="n">
        <s:f>IF(SUMIF(C356:I356,"&lt;&gt;",'Потребление (МВт·ч)'!C356:I356)&gt;0,SUMPRODUCT(C356:I356,'Потребление (МВт·ч)'!C356:I356)/SUMIF(C356:I356,"&lt;&gt;",'Потребление (МВт·ч)'!C356:I356),"")</s:f>
        <s:v>2428.9777365237483</s:v>
      </s:c>
      <s:c r="L356" s="6" t="n">
        <s:f>IF(COUNT(C356:I356)&gt;0,AVERAGE(C356:I356),"")</s:f>
        <s:v>2343.062735</s:v>
      </s:c>
      <s:c r="M356" s="10" t="n">
        <s:f>COUNT(C356:I356)</s:f>
        <s:v>6</s:v>
      </s:c>
      <s:c r="N356" s="11" t="n">
        <s:f>IF(AND(COUNT('Потребление (МВт·ч)'!C356:I356)=7,SUM('Потребление (МВт·ч)'!C356:I356)&gt;0),SUMIF(C356:I356,"&lt;&gt;",'Потребление (МВт·ч)'!C356:I356)/SUM('Потребление (МВт·ч)'!C356:I356),"")</s:f>
        <s:v>0.9592239985629603</s:v>
      </s:c>
    </s:row>
    <s:row r="357">
      <s:c r="A357" s="5" t="n">
        <s:v>46280</s:v>
      </s:c>
      <s:c r="B357" s="2" t="n">
        <s:v>16</s:v>
      </s:c>
      <s:c r="C357" s="6" t="n">
        <s:v>1219.0437</s:v>
      </s:c>
      <s:c r="D357" s="6" t="n">
        <s:v>2771.18945</s:v>
      </s:c>
      <s:c r="E357" s="6" t="n">
        <s:v>2378.543</s:v>
      </s:c>
      <s:c r="F357" s="6" t="n">
        <s:v>3020.50024</s:v>
      </s:c>
      <s:c r="G357" s="6" t="n">
        <s:v>2920.51</s:v>
      </s:c>
      <s:c r="H357" s="6" t="n">
        <s:v>1667.7771</s:v>
      </s:c>
      <s:c r="I357" s="6" t="n"/>
      <s:c r="J357" s="6" t="str">
        <s:f>IF(AND(COUNT(C357:I357)=7,COUNT('Потребление (МВт·ч)'!C357:I357)=7,SUM('Потребление (МВт·ч)'!C357:I357)&gt;0),SUMPRODUCT(C357:I357,'Потребление (МВт·ч)'!C357:I357)/SUM('Потребление (МВт·ч)'!C357:I357),"")</s:f>
      </s:c>
      <s:c r="K357" s="6" t="n">
        <s:f>IF(SUMIF(C357:I357,"&lt;&gt;",'Потребление (МВт·ч)'!C357:I357)&gt;0,SUMPRODUCT(C357:I357,'Потребление (МВт·ч)'!C357:I357)/SUMIF(C357:I357,"&lt;&gt;",'Потребление (МВт·ч)'!C357:I357),"")</s:f>
        <s:v>2415.9210480188763</s:v>
      </s:c>
      <s:c r="L357" s="6" t="n">
        <s:f>IF(COUNT(C357:I357)&gt;0,AVERAGE(C357:I357),"")</s:f>
        <s:v>2329.593915</s:v>
      </s:c>
      <s:c r="M357" s="10" t="n">
        <s:f>COUNT(C357:I357)</s:f>
        <s:v>6</s:v>
      </s:c>
      <s:c r="N357" s="11" t="n">
        <s:f>IF(AND(COUNT('Потребление (МВт·ч)'!C357:I357)=7,SUM('Потребление (МВт·ч)'!C357:I357)&gt;0),SUMIF(C357:I357,"&lt;&gt;",'Потребление (МВт·ч)'!C357:I357)/SUM('Потребление (МВт·ч)'!C357:I357),"")</s:f>
        <s:v>0.9603421141534075</s:v>
      </s:c>
    </s:row>
    <s:row r="358">
      <s:c r="A358" s="5" t="n">
        <s:v>46280</s:v>
      </s:c>
      <s:c r="B358" s="2" t="n">
        <s:v>17</s:v>
      </s:c>
      <s:c r="C358" s="6" t="n">
        <s:v>1283.76233</s:v>
      </s:c>
      <s:c r="D358" s="6" t="n">
        <s:v>2831.12036</s:v>
      </s:c>
      <s:c r="E358" s="6" t="n">
        <s:v>2477.61816</s:v>
      </s:c>
      <s:c r="F358" s="6" t="n">
        <s:v>3080.58521</s:v>
      </s:c>
      <s:c r="G358" s="6" t="n">
        <s:v>2991.26</s:v>
      </s:c>
      <s:c r="H358" s="6" t="n">
        <s:v>1543.2157</s:v>
      </s:c>
      <s:c r="I358" s="6" t="n"/>
      <s:c r="J358" s="6" t="str">
        <s:f>IF(AND(COUNT(C358:I358)=7,COUNT('Потребление (МВт·ч)'!C358:I358)=7,SUM('Потребление (МВт·ч)'!C358:I358)&gt;0),SUMPRODUCT(C358:I358,'Потребление (МВт·ч)'!C358:I358)/SUM('Потребление (МВт·ч)'!C358:I358),"")</s:f>
      </s:c>
      <s:c r="K358" s="6" t="n">
        <s:f>IF(SUMIF(C358:I358,"&lt;&gt;",'Потребление (МВт·ч)'!C358:I358)&gt;0,SUMPRODUCT(C358:I358,'Потребление (МВт·ч)'!C358:I358)/SUMIF(C358:I358,"&lt;&gt;",'Потребление (МВт·ч)'!C358:I358),"")</s:f>
        <s:v>2447.071937072323</s:v>
      </s:c>
      <s:c r="L358" s="6" t="n">
        <s:f>IF(COUNT(C358:I358)&gt;0,AVERAGE(C358:I358),"")</s:f>
        <s:v>2367.9269600000002</s:v>
      </s:c>
      <s:c r="M358" s="10" t="n">
        <s:f>COUNT(C358:I358)</s:f>
        <s:v>6</s:v>
      </s:c>
      <s:c r="N358" s="11" t="n">
        <s:f>IF(AND(COUNT('Потребление (МВт·ч)'!C358:I358)=7,SUM('Потребление (МВт·ч)'!C358:I358)&gt;0),SUMIF(C358:I358,"&lt;&gt;",'Потребление (МВт·ч)'!C358:I358)/SUM('Потребление (МВт·ч)'!C358:I358),"")</s:f>
        <s:v>0.9623536777244157</s:v>
      </s:c>
    </s:row>
    <s:row r="359">
      <s:c r="A359" s="5" t="n">
        <s:v>46280</s:v>
      </s:c>
      <s:c r="B359" s="2" t="n">
        <s:v>18</s:v>
      </s:c>
      <s:c r="C359" s="6" t="n">
        <s:v>1878.39441</s:v>
      </s:c>
      <s:c r="D359" s="6" t="n">
        <s:v>2727.18335</s:v>
      </s:c>
      <s:c r="E359" s="6" t="n">
        <s:v>2870.54688</s:v>
      </s:c>
      <s:c r="F359" s="6" t="n">
        <s:v>2858.024</s:v>
      </s:c>
      <s:c r="G359" s="6" t="n">
        <s:v>2677.61743</s:v>
      </s:c>
      <s:c r="H359" s="6" t="n">
        <s:v>974.5824</s:v>
      </s:c>
      <s:c r="I359" s="6" t="n"/>
      <s:c r="J359" s="6" t="str">
        <s:f>IF(AND(COUNT(C359:I359)=7,COUNT('Потребление (МВт·ч)'!C359:I359)=7,SUM('Потребление (МВт·ч)'!C359:I359)&gt;0),SUMPRODUCT(C359:I359,'Потребление (МВт·ч)'!C359:I359)/SUM('Потребление (МВт·ч)'!C359:I359),"")</s:f>
      </s:c>
      <s:c r="K359" s="6" t="n">
        <s:f>IF(SUMIF(C359:I359,"&lt;&gt;",'Потребление (МВт·ч)'!C359:I359)&gt;0,SUMPRODUCT(C359:I359,'Потребление (МВт·ч)'!C359:I359)/SUMIF(C359:I359,"&lt;&gt;",'Потребление (МВт·ч)'!C359:I359),"")</s:f>
        <s:v>2316.6530975787814</s:v>
      </s:c>
      <s:c r="L359" s="6" t="n">
        <s:f>IF(COUNT(C359:I359)&gt;0,AVERAGE(C359:I359),"")</s:f>
        <s:v>2331.058078333333</s:v>
      </s:c>
      <s:c r="M359" s="10" t="n">
        <s:f>COUNT(C359:I359)</s:f>
        <s:v>6</s:v>
      </s:c>
      <s:c r="N359" s="11" t="n">
        <s:f>IF(AND(COUNT('Потребление (МВт·ч)'!C359:I359)=7,SUM('Потребление (МВт·ч)'!C359:I359)&gt;0),SUMIF(C359:I359,"&lt;&gt;",'Потребление (МВт·ч)'!C359:I359)/SUM('Потребление (МВт·ч)'!C359:I359),"")</s:f>
        <s:v>0.9632719011179187</s:v>
      </s:c>
    </s:row>
    <s:row r="360">
      <s:c r="A360" s="5" t="n">
        <s:v>46280</s:v>
      </s:c>
      <s:c r="B360" s="2" t="n">
        <s:v>19</s:v>
      </s:c>
      <s:c r="C360" s="6" t="n">
        <s:v>1839.3418</s:v>
      </s:c>
      <s:c r="D360" s="6" t="n">
        <s:v>2695.04541</s:v>
      </s:c>
      <s:c r="E360" s="6" t="n">
        <s:v>3022.04517</s:v>
      </s:c>
      <s:c r="F360" s="6" t="n">
        <s:v>2836.04688</s:v>
      </s:c>
      <s:c r="G360" s="6" t="n">
        <s:v>2500.203</s:v>
      </s:c>
      <s:c r="H360" s="6" t="n">
        <s:v>797.278748</s:v>
      </s:c>
      <s:c r="I360" s="6" t="n"/>
      <s:c r="J360" s="6" t="str">
        <s:f>IF(AND(COUNT(C360:I360)=7,COUNT('Потребление (МВт·ч)'!C360:I360)=7,SUM('Потребление (МВт·ч)'!C360:I360)&gt;0),SUMPRODUCT(C360:I360,'Потребление (МВт·ч)'!C360:I360)/SUM('Потребление (МВт·ч)'!C360:I360),"")</s:f>
      </s:c>
      <s:c r="K360" s="6" t="n">
        <s:f>IF(SUMIF(C360:I360,"&lt;&gt;",'Потребление (МВт·ч)'!C360:I360)&gt;0,SUMPRODUCT(C360:I360,'Потребление (МВт·ч)'!C360:I360)/SUMIF(C360:I360,"&lt;&gt;",'Потребление (МВт·ч)'!C360:I360),"")</s:f>
        <s:v>2250.2943722623368</s:v>
      </s:c>
      <s:c r="L360" s="6" t="n">
        <s:f>IF(COUNT(C360:I360)&gt;0,AVERAGE(C360:I360),"")</s:f>
        <s:v>2281.660168</s:v>
      </s:c>
      <s:c r="M360" s="10" t="n">
        <s:f>COUNT(C360:I360)</s:f>
        <s:v>6</s:v>
      </s:c>
      <s:c r="N360" s="11" t="n">
        <s:f>IF(AND(COUNT('Потребление (МВт·ч)'!C360:I360)=7,SUM('Потребление (МВт·ч)'!C360:I360)&gt;0),SUMIF(C360:I360,"&lt;&gt;",'Потребление (МВт·ч)'!C360:I360)/SUM('Потребление (МВт·ч)'!C360:I360),"")</s:f>
        <s:v>0.9638998116511912</s:v>
      </s:c>
    </s:row>
    <s:row r="361">
      <s:c r="A361" s="5" t="n">
        <s:v>46280</s:v>
      </s:c>
      <s:c r="B361" s="2" t="n">
        <s:v>20</s:v>
      </s:c>
      <s:c r="C361" s="6" t="n">
        <s:v>2324.48755</s:v>
      </s:c>
      <s:c r="D361" s="6" t="n">
        <s:v>2634.799</s:v>
      </s:c>
      <s:c r="E361" s="6" t="n">
        <s:v>2745.63086</s:v>
      </s:c>
      <s:c r="F361" s="6" t="n">
        <s:v>2681.23218</s:v>
      </s:c>
      <s:c r="G361" s="6" t="n">
        <s:v>2309.85425</s:v>
      </s:c>
      <s:c r="H361" s="6" t="n">
        <s:v>985.693</s:v>
      </s:c>
      <s:c r="I361" s="6" t="n"/>
      <s:c r="J361" s="6" t="str">
        <s:f>IF(AND(COUNT(C361:I361)=7,COUNT('Потребление (МВт·ч)'!C361:I361)=7,SUM('Потребление (МВт·ч)'!C361:I361)&gt;0),SUMPRODUCT(C361:I361,'Потребление (МВт·ч)'!C361:I361)/SUM('Потребление (МВт·ч)'!C361:I361),"")</s:f>
      </s:c>
      <s:c r="K361" s="6" t="n">
        <s:f>IF(SUMIF(C361:I361,"&lt;&gt;",'Потребление (МВт·ч)'!C361:I361)&gt;0,SUMPRODUCT(C361:I361,'Потребление (МВт·ч)'!C361:I361)/SUMIF(C361:I361,"&lt;&gt;",'Потребление (МВт·ч)'!C361:I361),"")</s:f>
        <s:v>2223.678298556855</s:v>
      </s:c>
      <s:c r="L361" s="6" t="n">
        <s:f>IF(COUNT(C361:I361)&gt;0,AVERAGE(C361:I361),"")</s:f>
        <s:v>2280.2828066666666</s:v>
      </s:c>
      <s:c r="M361" s="10" t="n">
        <s:f>COUNT(C361:I361)</s:f>
        <s:v>6</s:v>
      </s:c>
      <s:c r="N361" s="11" t="n">
        <s:f>IF(AND(COUNT('Потребление (МВт·ч)'!C361:I361)=7,SUM('Потребление (МВт·ч)'!C361:I361)&gt;0),SUMIF(C361:I361,"&lt;&gt;",'Потребление (МВт·ч)'!C361:I361)/SUM('Потребление (МВт·ч)'!C361:I361),"")</s:f>
        <s:v>0.9634047578876329</s:v>
      </s:c>
    </s:row>
    <s:row r="362">
      <s:c r="A362" s="5" t="n">
        <s:v>46280</s:v>
      </s:c>
      <s:c r="B362" s="2" t="n">
        <s:v>21</s:v>
      </s:c>
      <s:c r="C362" s="6" t="n">
        <s:v>2008.059</s:v>
      </s:c>
      <s:c r="D362" s="6" t="n">
        <s:v>2266.58228</s:v>
      </s:c>
      <s:c r="E362" s="6" t="n">
        <s:v>2528.14063</s:v>
      </s:c>
      <s:c r="F362" s="6" t="n">
        <s:v>2373.25562</s:v>
      </s:c>
      <s:c r="G362" s="6" t="n">
        <s:v>2031.03467</s:v>
      </s:c>
      <s:c r="H362" s="6" t="n">
        <s:v>863.1655</s:v>
      </s:c>
      <s:c r="I362" s="6" t="n"/>
      <s:c r="J362" s="6" t="str">
        <s:f>IF(AND(COUNT(C362:I362)=7,COUNT('Потребление (МВт·ч)'!C362:I362)=7,SUM('Потребление (МВт·ч)'!C362:I362)&gt;0),SUMPRODUCT(C362:I362,'Потребление (МВт·ч)'!C362:I362)/SUM('Потребление (МВт·ч)'!C362:I362),"")</s:f>
      </s:c>
      <s:c r="K362" s="6" t="n">
        <s:f>IF(SUMIF(C362:I362,"&lt;&gt;",'Потребление (МВт·ч)'!C362:I362)&gt;0,SUMPRODUCT(C362:I362,'Потребление (МВт·ч)'!C362:I362)/SUMIF(C362:I362,"&lt;&gt;",'Потребление (МВт·ч)'!C362:I362),"")</s:f>
        <s:v>1943.6466007423005</s:v>
      </s:c>
      <s:c r="L362" s="6" t="n">
        <s:f>IF(COUNT(C362:I362)&gt;0,AVERAGE(C362:I362),"")</s:f>
        <s:v>2011.706283333333</s:v>
      </s:c>
      <s:c r="M362" s="10" t="n">
        <s:f>COUNT(C362:I362)</s:f>
        <s:v>6</s:v>
      </s:c>
      <s:c r="N362" s="11" t="n">
        <s:f>IF(AND(COUNT('Потребление (МВт·ч)'!C362:I362)=7,SUM('Потребление (МВт·ч)'!C362:I362)&gt;0),SUMIF(C362:I362,"&lt;&gt;",'Потребление (МВт·ч)'!C362:I362)/SUM('Потребление (МВт·ч)'!C362:I362),"")</s:f>
        <s:v>0.961649097498023</s:v>
      </s:c>
    </s:row>
    <s:row r="363">
      <s:c r="A363" s="5" t="n">
        <s:v>46280</s:v>
      </s:c>
      <s:c r="B363" s="2" t="n">
        <s:v>22</s:v>
      </s:c>
      <s:c r="C363" s="6" t="n">
        <s:v>1197.864</s:v>
      </s:c>
      <s:c r="D363" s="6" t="n">
        <s:v>1490.942</s:v>
      </s:c>
      <s:c r="E363" s="6" t="n">
        <s:v>2188.72778</s:v>
      </s:c>
      <s:c r="F363" s="6" t="n">
        <s:v>1537.5741</s:v>
      </s:c>
      <s:c r="G363" s="6" t="n">
        <s:v>1350.92261</s:v>
      </s:c>
      <s:c r="H363" s="6" t="n">
        <s:v>172.804932</s:v>
      </s:c>
      <s:c r="I363" s="6" t="n"/>
      <s:c r="J363" s="6" t="str">
        <s:f>IF(AND(COUNT(C363:I363)=7,COUNT('Потребление (МВт·ч)'!C363:I363)=7,SUM('Потребление (МВт·ч)'!C363:I363)&gt;0),SUMPRODUCT(C363:I363,'Потребление (МВт·ч)'!C363:I363)/SUM('Потребление (МВт·ч)'!C363:I363),"")</s:f>
      </s:c>
      <s:c r="K363" s="6" t="n">
        <s:f>IF(SUMIF(C363:I363,"&lt;&gt;",'Потребление (МВт·ч)'!C363:I363)&gt;0,SUMPRODUCT(C363:I363,'Потребление (МВт·ч)'!C363:I363)/SUMIF(C363:I363,"&lt;&gt;",'Потребление (МВт·ч)'!C363:I363),"")</s:f>
        <s:v>1232.1971797050176</s:v>
      </s:c>
      <s:c r="L363" s="6" t="n">
        <s:f>IF(COUNT(C363:I363)&gt;0,AVERAGE(C363:I363),"")</s:f>
        <s:v>1323.1392369999999</s:v>
      </s:c>
      <s:c r="M363" s="10" t="n">
        <s:f>COUNT(C363:I363)</s:f>
        <s:v>6</s:v>
      </s:c>
      <s:c r="N363" s="11" t="n">
        <s:f>IF(AND(COUNT('Потребление (МВт·ч)'!C363:I363)=7,SUM('Потребление (МВт·ч)'!C363:I363)&gt;0),SUMIF(C363:I363,"&lt;&gt;",'Потребление (МВт·ч)'!C363:I363)/SUM('Потребление (МВт·ч)'!C363:I363),"")</s:f>
        <s:v>0.9595389277725666</s:v>
      </s:c>
    </s:row>
    <s:row r="364">
      <s:c r="A364" s="5" t="n">
        <s:v>46280</s:v>
      </s:c>
      <s:c r="B364" s="2" t="n">
        <s:v>23</s:v>
      </s:c>
      <s:c r="C364" s="6" t="n">
        <s:v>1268.00464</s:v>
      </s:c>
      <s:c r="D364" s="6" t="n">
        <s:v>1528.53247</s:v>
      </s:c>
      <s:c r="E364" s="6" t="n">
        <s:v>1843.26672</s:v>
      </s:c>
      <s:c r="F364" s="6" t="n">
        <s:v>1583.15674</s:v>
      </s:c>
      <s:c r="G364" s="6" t="n">
        <s:v>1381.95239</s:v>
      </s:c>
      <s:c r="H364" s="6" t="n">
        <s:v>162.237915</s:v>
      </s:c>
      <s:c r="I364" s="6" t="n"/>
      <s:c r="J364" s="6" t="str">
        <s:f>IF(AND(COUNT(C364:I364)=7,COUNT('Потребление (МВт·ч)'!C364:I364)=7,SUM('Потребление (МВт·ч)'!C364:I364)&gt;0),SUMPRODUCT(C364:I364,'Потребление (МВт·ч)'!C364:I364)/SUM('Потребление (МВт·ч)'!C364:I364),"")</s:f>
      </s:c>
      <s:c r="K364" s="6" t="n">
        <s:f>IF(SUMIF(C364:I364,"&lt;&gt;",'Потребление (МВт·ч)'!C364:I364)&gt;0,SUMPRODUCT(C364:I364,'Потребление (МВт·ч)'!C364:I364)/SUMIF(C364:I364,"&lt;&gt;",'Потребление (МВт·ч)'!C364:I364),"")</s:f>
        <s:v>1211.1252564963793</s:v>
      </s:c>
      <s:c r="L364" s="6" t="n">
        <s:f>IF(COUNT(C364:I364)&gt;0,AVERAGE(C364:I364),"")</s:f>
        <s:v>1294.5251458333335</s:v>
      </s:c>
      <s:c r="M364" s="10" t="n">
        <s:f>COUNT(C364:I364)</s:f>
        <s:v>6</s:v>
      </s:c>
      <s:c r="N364" s="11" t="n">
        <s:f>IF(AND(COUNT('Потребление (МВт·ч)'!C364:I364)=7,SUM('Потребление (МВт·ч)'!C364:I364)&gt;0),SUMIF(C364:I364,"&lt;&gt;",'Потребление (МВт·ч)'!C364:I364)/SUM('Потребление (МВт·ч)'!C364:I364),"")</s:f>
        <s:v>0.9559608000672639</s:v>
      </s:c>
    </s:row>
    <s:row r="365">
      <s:c r="A365" s="5" t="n">
        <s:v>46281</s:v>
      </s:c>
      <s:c r="B365" s="2" t="n">
        <s:v>0</s:v>
      </s:c>
      <s:c r="C365" s="6" t="n">
        <s:v>1047.92017</s:v>
      </s:c>
      <s:c r="D365" s="6" t="n">
        <s:v>1740.5426</s:v>
      </s:c>
      <s:c r="E365" s="6" t="n">
        <s:v>1798.80286</s:v>
      </s:c>
      <s:c r="F365" s="6" t="n">
        <s:v>1818.68188</s:v>
      </s:c>
      <s:c r="G365" s="6" t="n">
        <s:v>1618.50708</s:v>
      </s:c>
      <s:c r="H365" s="6" t="n">
        <s:v>795.8368</s:v>
      </s:c>
      <s:c r="I365" s="6" t="n"/>
      <s:c r="J365" s="6" t="str">
        <s:f>IF(AND(COUNT(C365:I365)=7,COUNT('Потребление (МВт·ч)'!C365:I365)=7,SUM('Потребление (МВт·ч)'!C365:I365)&gt;0),SUMPRODUCT(C365:I365,'Потребление (МВт·ч)'!C365:I365)/SUM('Потребление (МВт·ч)'!C365:I365),"")</s:f>
      </s:c>
      <s:c r="K365" s="6" t="n">
        <s:f>IF(SUMIF(C365:I365,"&lt;&gt;",'Потребление (МВт·ч)'!C365:I365)&gt;0,SUMPRODUCT(C365:I365,'Потребление (МВт·ч)'!C365:I365)/SUMIF(C365:I365,"&lt;&gt;",'Потребление (МВт·ч)'!C365:I365),"")</s:f>
        <s:v>1447.9351931618166</s:v>
      </s:c>
      <s:c r="L365" s="6" t="n">
        <s:f>IF(COUNT(C365:I365)&gt;0,AVERAGE(C365:I365),"")</s:f>
        <s:v>1470.048565</s:v>
      </s:c>
      <s:c r="M365" s="10" t="n">
        <s:f>COUNT(C365:I365)</s:f>
        <s:v>6</s:v>
      </s:c>
      <s:c r="N365" s="11" t="n">
        <s:f>IF(AND(COUNT('Потребление (МВт·ч)'!C365:I365)=7,SUM('Потребление (МВт·ч)'!C365:I365)&gt;0),SUMIF(C365:I365,"&lt;&gt;",'Потребление (МВт·ч)'!C365:I365)/SUM('Потребление (МВт·ч)'!C365:I365),"")</s:f>
        <s:v>0.9538828493233997</s:v>
      </s:c>
    </s:row>
    <s:row r="366">
      <s:c r="A366" s="5" t="n">
        <s:v>46281</s:v>
      </s:c>
      <s:c r="B366" s="2" t="n">
        <s:v>1</s:v>
      </s:c>
      <s:c r="C366" s="6" t="n">
        <s:v>1407.847</s:v>
      </s:c>
      <s:c r="D366" s="6" t="n">
        <s:v>1641.8252</s:v>
      </s:c>
      <s:c r="E366" s="6" t="n">
        <s:v>1735.721</s:v>
      </s:c>
      <s:c r="F366" s="6" t="n">
        <s:v>1764.5564</s:v>
      </s:c>
      <s:c r="G366" s="6" t="n">
        <s:v>1617.93127</s:v>
      </s:c>
      <s:c r="H366" s="6" t="n">
        <s:v>792.9939000000001</s:v>
      </s:c>
      <s:c r="I366" s="6" t="n"/>
      <s:c r="J366" s="6" t="str">
        <s:f>IF(AND(COUNT(C366:I366)=7,COUNT('Потребление (МВт·ч)'!C366:I366)=7,SUM('Потребление (МВт·ч)'!C366:I366)&gt;0),SUMPRODUCT(C366:I366,'Потребление (МВт·ч)'!C366:I366)/SUM('Потребление (МВт·ч)'!C366:I366),"")</s:f>
      </s:c>
      <s:c r="K366" s="6" t="n">
        <s:f>IF(SUMIF(C366:I366,"&lt;&gt;",'Потребление (МВт·ч)'!C366:I366)&gt;0,SUMPRODUCT(C366:I366,'Потребление (МВт·ч)'!C366:I366)/SUMIF(C366:I366,"&lt;&gt;",'Потребление (МВт·ч)'!C366:I366),"")</s:f>
        <s:v>1439.5436034945599</s:v>
      </s:c>
      <s:c r="L366" s="6" t="n">
        <s:f>IF(COUNT(C366:I366)&gt;0,AVERAGE(C366:I366),"")</s:f>
        <s:v>1493.4791283333334</s:v>
      </s:c>
      <s:c r="M366" s="10" t="n">
        <s:f>COUNT(C366:I366)</s:f>
        <s:v>6</s:v>
      </s:c>
      <s:c r="N366" s="11" t="n">
        <s:f>IF(AND(COUNT('Потребление (МВт·ч)'!C366:I366)=7,SUM('Потребление (МВт·ч)'!C366:I366)&gt;0),SUMIF(C366:I366,"&lt;&gt;",'Потребление (МВт·ч)'!C366:I366)/SUM('Потребление (МВт·ч)'!C366:I366),"")</s:f>
        <s:v>0.9512176458209783</s:v>
      </s:c>
    </s:row>
    <s:row r="367">
      <s:c r="A367" s="5" t="n">
        <s:v>46281</s:v>
      </s:c>
      <s:c r="B367" s="2" t="n">
        <s:v>2</s:v>
      </s:c>
      <s:c r="C367" s="6" t="n">
        <s:v>988.1204</s:v>
      </s:c>
      <s:c r="D367" s="6" t="n">
        <s:v>1646.12207</s:v>
      </s:c>
      <s:c r="E367" s="6" t="n">
        <s:v>1681.63232</s:v>
      </s:c>
      <s:c r="F367" s="6" t="n">
        <s:v>1719.53955</s:v>
      </s:c>
      <s:c r="G367" s="6" t="n">
        <s:v>1634.02869</s:v>
      </s:c>
      <s:c r="H367" s="6" t="n">
        <s:v>884.147949</s:v>
      </s:c>
      <s:c r="I367" s="6" t="n"/>
      <s:c r="J367" s="6" t="str">
        <s:f>IF(AND(COUNT(C367:I367)=7,COUNT('Потребление (МВт·ч)'!C367:I367)=7,SUM('Потребление (МВт·ч)'!C367:I367)&gt;0),SUMPRODUCT(C367:I367,'Потребление (МВт·ч)'!C367:I367)/SUM('Потребление (МВт·ч)'!C367:I367),"")</s:f>
      </s:c>
      <s:c r="K367" s="6" t="n">
        <s:f>IF(SUMIF(C367:I367,"&lt;&gt;",'Потребление (МВт·ч)'!C367:I367)&gt;0,SUMPRODUCT(C367:I367,'Потребление (МВт·ч)'!C367:I367)/SUMIF(C367:I367,"&lt;&gt;",'Потребление (МВт·ч)'!C367:I367),"")</s:f>
        <s:v>1414.1399243357032</s:v>
      </s:c>
      <s:c r="L367" s="6" t="n">
        <s:f>IF(COUNT(C367:I367)&gt;0,AVERAGE(C367:I367),"")</s:f>
        <s:v>1425.5984964999998</s:v>
      </s:c>
      <s:c r="M367" s="10" t="n">
        <s:f>COUNT(C367:I367)</s:f>
        <s:v>6</s:v>
      </s:c>
      <s:c r="N367" s="11" t="n">
        <s:f>IF(AND(COUNT('Потребление (МВт·ч)'!C367:I367)=7,SUM('Потребление (МВт·ч)'!C367:I367)&gt;0),SUMIF(C367:I367,"&lt;&gt;",'Потребление (МВт·ч)'!C367:I367)/SUM('Потребление (МВт·ч)'!C367:I367),"")</s:f>
        <s:v>0.9506930806337827</s:v>
      </s:c>
    </s:row>
    <s:row r="368">
      <s:c r="A368" s="5" t="n">
        <s:v>46281</s:v>
      </s:c>
      <s:c r="B368" s="2" t="n">
        <s:v>3</s:v>
      </s:c>
      <s:c r="C368" s="6" t="n">
        <s:v>1346.10608</s:v>
      </s:c>
      <s:c r="D368" s="6" t="n">
        <s:v>1609.36084</s:v>
      </s:c>
      <s:c r="E368" s="6" t="n">
        <s:v>1623.00049</s:v>
      </s:c>
      <s:c r="F368" s="6" t="n">
        <s:v>1755.34937</s:v>
      </s:c>
      <s:c r="G368" s="6" t="n">
        <s:v>1650.0354</s:v>
      </s:c>
      <s:c r="H368" s="6" t="n">
        <s:v>1052.64331</s:v>
      </s:c>
      <s:c r="I368" s="6" t="n"/>
      <s:c r="J368" s="6" t="str">
        <s:f>IF(AND(COUNT(C368:I368)=7,COUNT('Потребление (МВт·ч)'!C368:I368)=7,SUM('Потребление (МВт·ч)'!C368:I368)&gt;0),SUMPRODUCT(C368:I368,'Потребление (МВт·ч)'!C368:I368)/SUM('Потребление (МВт·ч)'!C368:I368),"")</s:f>
      </s:c>
      <s:c r="K368" s="6" t="n">
        <s:f>IF(SUMIF(C368:I368,"&lt;&gt;",'Потребление (МВт·ч)'!C368:I368)&gt;0,SUMPRODUCT(C368:I368,'Потребление (МВт·ч)'!C368:I368)/SUMIF(C368:I368,"&lt;&gt;",'Потребление (МВт·ч)'!C368:I368),"")</s:f>
        <s:v>1480.1637713703756</s:v>
      </s:c>
      <s:c r="L368" s="6" t="n">
        <s:f>IF(COUNT(C368:I368)&gt;0,AVERAGE(C368:I368),"")</s:f>
        <s:v>1506.0825816666666</s:v>
      </s:c>
      <s:c r="M368" s="10" t="n">
        <s:f>COUNT(C368:I368)</s:f>
        <s:v>6</s:v>
      </s:c>
      <s:c r="N368" s="11" t="n">
        <s:f>IF(AND(COUNT('Потребление (МВт·ч)'!C368:I368)=7,SUM('Потребление (МВт·ч)'!C368:I368)&gt;0),SUMIF(C368:I368,"&lt;&gt;",'Потребление (МВт·ч)'!C368:I368)/SUM('Потребление (МВт·ч)'!C368:I368),"")</s:f>
        <s:v>0.9511644238616737</s:v>
      </s:c>
    </s:row>
    <s:row r="369">
      <s:c r="A369" s="5" t="n">
        <s:v>46281</s:v>
      </s:c>
      <s:c r="B369" s="2" t="n">
        <s:v>4</s:v>
      </s:c>
      <s:c r="C369" s="6" t="n">
        <s:v>1490.84045</s:v>
      </s:c>
      <s:c r="D369" s="6" t="n">
        <s:v>1744.82788</s:v>
      </s:c>
      <s:c r="E369" s="6" t="n">
        <s:v>1776.00146</s:v>
      </s:c>
      <s:c r="F369" s="6" t="n">
        <s:v>1886.56665</s:v>
      </s:c>
      <s:c r="G369" s="6" t="n">
        <s:v>1761.31848</s:v>
      </s:c>
      <s:c r="H369" s="6" t="n">
        <s:v>787.516846</s:v>
      </s:c>
      <s:c r="I369" s="6" t="n"/>
      <s:c r="J369" s="6" t="str">
        <s:f>IF(AND(COUNT(C369:I369)=7,COUNT('Потребление (МВт·ч)'!C369:I369)=7,SUM('Потребление (МВт·ч)'!C369:I369)&gt;0),SUMPRODUCT(C369:I369,'Потребление (МВт·ч)'!C369:I369)/SUM('Потребление (МВт·ч)'!C369:I369),"")</s:f>
      </s:c>
      <s:c r="K369" s="6" t="n">
        <s:f>IF(SUMIF(C369:I369,"&lt;&gt;",'Потребление (МВт·ч)'!C369:I369)&gt;0,SUMPRODUCT(C369:I369,'Потребление (МВт·ч)'!C369:I369)/SUMIF(C369:I369,"&lt;&gt;",'Потребление (МВт·ч)'!C369:I369),"")</s:f>
        <s:v>1516.4544805942303</s:v>
      </s:c>
      <s:c r="L369" s="6" t="n">
        <s:f>IF(COUNT(C369:I369)&gt;0,AVERAGE(C369:I369),"")</s:f>
        <s:v>1574.511961</s:v>
      </s:c>
      <s:c r="M369" s="10" t="n">
        <s:f>COUNT(C369:I369)</s:f>
        <s:v>6</s:v>
      </s:c>
      <s:c r="N369" s="11" t="n">
        <s:f>IF(AND(COUNT('Потребление (МВт·ч)'!C369:I369)=7,SUM('Потребление (МВт·ч)'!C369:I369)&gt;0),SUMIF(C369:I369,"&lt;&gt;",'Потребление (МВт·ч)'!C369:I369)/SUM('Потребление (МВт·ч)'!C369:I369),"")</s:f>
        <s:v>0.9525157086339306</s:v>
      </s:c>
    </s:row>
    <s:row r="370">
      <s:c r="A370" s="5" t="n">
        <s:v>46281</s:v>
      </s:c>
      <s:c r="B370" s="2" t="n">
        <s:v>5</s:v>
      </s:c>
      <s:c r="C370" s="6" t="n">
        <s:v>1460.69</s:v>
      </s:c>
      <s:c r="D370" s="6" t="n">
        <s:v>1802.6521</s:v>
      </s:c>
      <s:c r="E370" s="6" t="n">
        <s:v>1818.50989</s:v>
      </s:c>
      <s:c r="F370" s="6" t="n">
        <s:v>1952.19678</s:v>
      </s:c>
      <s:c r="G370" s="6" t="n">
        <s:v>1798.638</s:v>
      </s:c>
      <s:c r="H370" s="6" t="n">
        <s:v>948.783447</s:v>
      </s:c>
      <s:c r="I370" s="6" t="n"/>
      <s:c r="J370" s="6" t="str">
        <s:f>IF(AND(COUNT(C370:I370)=7,COUNT('Потребление (МВт·ч)'!C370:I370)=7,SUM('Потребление (МВт·ч)'!C370:I370)&gt;0),SUMPRODUCT(C370:I370,'Потребление (МВт·ч)'!C370:I370)/SUM('Потребление (МВт·ч)'!C370:I370),"")</s:f>
      </s:c>
      <s:c r="K370" s="6" t="n">
        <s:f>IF(SUMIF(C370:I370,"&lt;&gt;",'Потребление (МВт·ч)'!C370:I370)&gt;0,SUMPRODUCT(C370:I370,'Потребление (МВт·ч)'!C370:I370)/SUMIF(C370:I370,"&lt;&gt;",'Потребление (МВт·ч)'!C370:I370),"")</s:f>
        <s:v>1590.3653945493775</s:v>
      </s:c>
      <s:c r="L370" s="6" t="n">
        <s:f>IF(COUNT(C370:I370)&gt;0,AVERAGE(C370:I370),"")</s:f>
        <s:v>1630.2450361666668</s:v>
      </s:c>
      <s:c r="M370" s="10" t="n">
        <s:f>COUNT(C370:I370)</s:f>
        <s:v>6</s:v>
      </s:c>
      <s:c r="N370" s="11" t="n">
        <s:f>IF(AND(COUNT('Потребление (МВт·ч)'!C370:I370)=7,SUM('Потребление (МВт·ч)'!C370:I370)&gt;0),SUMIF(C370:I370,"&lt;&gt;",'Потребление (МВт·ч)'!C370:I370)/SUM('Потребление (МВт·ч)'!C370:I370),"")</s:f>
        <s:v>0.9549225961711145</s:v>
      </s:c>
    </s:row>
    <s:row r="371">
      <s:c r="A371" s="5" t="n">
        <s:v>46281</s:v>
      </s:c>
      <s:c r="B371" s="2" t="n">
        <s:v>6</s:v>
      </s:c>
      <s:c r="C371" s="6" t="n">
        <s:v>1622.78955</s:v>
      </s:c>
      <s:c r="D371" s="6" t="n">
        <s:v>1948.84985</s:v>
      </s:c>
      <s:c r="E371" s="6" t="n">
        <s:v>2059.641</s:v>
      </s:c>
      <s:c r="F371" s="6" t="n">
        <s:v>2143.70068</s:v>
      </s:c>
      <s:c r="G371" s="6" t="n">
        <s:v>1951.81238</s:v>
      </s:c>
      <s:c r="H371" s="6" t="n">
        <s:v>850.753662</s:v>
      </s:c>
      <s:c r="I371" s="6" t="n"/>
      <s:c r="J371" s="6" t="str">
        <s:f>IF(AND(COUNT(C371:I371)=7,COUNT('Потребление (МВт·ч)'!C371:I371)=7,SUM('Потребление (МВт·ч)'!C371:I371)&gt;0),SUMPRODUCT(C371:I371,'Потребление (МВт·ч)'!C371:I371)/SUM('Потребление (МВт·ч)'!C371:I371),"")</s:f>
      </s:c>
      <s:c r="K371" s="6" t="n">
        <s:f>IF(SUMIF(C371:I371,"&lt;&gt;",'Потребление (МВт·ч)'!C371:I371)&gt;0,SUMPRODUCT(C371:I371,'Потребление (МВт·ч)'!C371:I371)/SUMIF(C371:I371,"&lt;&gt;",'Потребление (МВт·ч)'!C371:I371),"")</s:f>
        <s:v>1708.3885169645564</s:v>
      </s:c>
      <s:c r="L371" s="6" t="n">
        <s:f>IF(COUNT(C371:I371)&gt;0,AVERAGE(C371:I371),"")</s:f>
        <s:v>1762.924520333333</s:v>
      </s:c>
      <s:c r="M371" s="10" t="n">
        <s:f>COUNT(C371:I371)</s:f>
        <s:v>6</s:v>
      </s:c>
      <s:c r="N371" s="11" t="n">
        <s:f>IF(AND(COUNT('Потребление (МВт·ч)'!C371:I371)=7,SUM('Потребление (МВт·ч)'!C371:I371)&gt;0),SUMIF(C371:I371,"&lt;&gt;",'Потребление (МВт·ч)'!C371:I371)/SUM('Потребление (МВт·ч)'!C371:I371),"")</s:f>
        <s:v>0.9567575047350533</s:v>
      </s:c>
    </s:row>
    <s:row r="372">
      <s:c r="A372" s="5" t="n">
        <s:v>46281</s:v>
      </s:c>
      <s:c r="B372" s="2" t="n">
        <s:v>7</s:v>
      </s:c>
      <s:c r="C372" s="6" t="n">
        <s:v>1717.13</s:v>
      </s:c>
      <s:c r="D372" s="6" t="n">
        <s:v>2342.07666</s:v>
      </s:c>
      <s:c r="E372" s="6" t="n">
        <s:v>2609.354</s:v>
      </s:c>
      <s:c r="F372" s="6" t="n">
        <s:v>2584.73657</s:v>
      </s:c>
      <s:c r="G372" s="6" t="n">
        <s:v>2233.035</s:v>
      </s:c>
      <s:c r="H372" s="6" t="n">
        <s:v>1018.361</s:v>
      </s:c>
      <s:c r="I372" s="6" t="n"/>
      <s:c r="J372" s="6" t="str">
        <s:f>IF(AND(COUNT(C372:I372)=7,COUNT('Потребление (МВт·ч)'!C372:I372)=7,SUM('Потребление (МВт·ч)'!C372:I372)&gt;0),SUMPRODUCT(C372:I372,'Потребление (МВт·ч)'!C372:I372)/SUM('Потребление (МВт·ч)'!C372:I372),"")</s:f>
      </s:c>
      <s:c r="K372" s="6" t="n">
        <s:f>IF(SUMIF(C372:I372,"&lt;&gt;",'Потребление (МВт·ч)'!C372:I372)&gt;0,SUMPRODUCT(C372:I372,'Потребление (МВт·ч)'!C372:I372)/SUMIF(C372:I372,"&lt;&gt;",'Потребление (МВт·ч)'!C372:I372),"")</s:f>
        <s:v>2030.437511594489</s:v>
      </s:c>
      <s:c r="L372" s="6" t="n">
        <s:f>IF(COUNT(C372:I372)&gt;0,AVERAGE(C372:I372),"")</s:f>
        <s:v>2084.1155383333335</s:v>
      </s:c>
      <s:c r="M372" s="10" t="n">
        <s:f>COUNT(C372:I372)</s:f>
        <s:v>6</s:v>
      </s:c>
      <s:c r="N372" s="11" t="n">
        <s:f>IF(AND(COUNT('Потребление (МВт·ч)'!C372:I372)=7,SUM('Потребление (МВт·ч)'!C372:I372)&gt;0),SUMIF(C372:I372,"&lt;&gt;",'Потребление (МВт·ч)'!C372:I372)/SUM('Потребление (МВт·ч)'!C372:I372),"")</s:f>
        <s:v>0.9576570395903752</s:v>
      </s:c>
    </s:row>
    <s:row r="373">
      <s:c r="A373" s="5" t="n">
        <s:v>46281</s:v>
      </s:c>
      <s:c r="B373" s="2" t="n">
        <s:v>8</s:v>
      </s:c>
      <s:c r="C373" s="6" t="n">
        <s:v>1953.58826</s:v>
      </s:c>
      <s:c r="D373" s="6" t="n">
        <s:v>2726.07813</s:v>
      </s:c>
      <s:c r="E373" s="6" t="n">
        <s:v>2879.72534</s:v>
      </s:c>
      <s:c r="F373" s="6" t="n">
        <s:v>2774.48682</s:v>
      </s:c>
      <s:c r="G373" s="6" t="n">
        <s:v>2119.032</s:v>
      </s:c>
      <s:c r="H373" s="6" t="n">
        <s:v>1009.4834</s:v>
      </s:c>
      <s:c r="I373" s="6" t="n"/>
      <s:c r="J373" s="6" t="str">
        <s:f>IF(AND(COUNT(C373:I373)=7,COUNT('Потребление (МВт·ч)'!C373:I373)=7,SUM('Потребление (МВт·ч)'!C373:I373)&gt;0),SUMPRODUCT(C373:I373,'Потребление (МВт·ч)'!C373:I373)/SUM('Потребление (МВт·ч)'!C373:I373),"")</s:f>
      </s:c>
      <s:c r="K373" s="6" t="n">
        <s:f>IF(SUMIF(C373:I373,"&lt;&gt;",'Потребление (МВт·ч)'!C373:I373)&gt;0,SUMPRODUCT(C373:I373,'Потребление (МВт·ч)'!C373:I373)/SUMIF(C373:I373,"&lt;&gt;",'Потребление (МВт·ч)'!C373:I373),"")</s:f>
        <s:v>2175.1306659717034</s:v>
      </s:c>
      <s:c r="L373" s="6" t="n">
        <s:f>IF(COUNT(C373:I373)&gt;0,AVERAGE(C373:I373),"")</s:f>
        <s:v>2243.732325</s:v>
      </s:c>
      <s:c r="M373" s="10" t="n">
        <s:f>COUNT(C373:I373)</s:f>
        <s:v>6</s:v>
      </s:c>
      <s:c r="N373" s="11" t="n">
        <s:f>IF(AND(COUNT('Потребление (МВт·ч)'!C373:I373)=7,SUM('Потребление (МВт·ч)'!C373:I373)&gt;0),SUMIF(C373:I373,"&lt;&gt;",'Потребление (МВт·ч)'!C373:I373)/SUM('Потребление (МВт·ч)'!C373:I373),"")</s:f>
        <s:v>0.9595622064022471</s:v>
      </s:c>
    </s:row>
    <s:row r="374">
      <s:c r="A374" s="5" t="n">
        <s:v>46281</s:v>
      </s:c>
      <s:c r="B374" s="2" t="n">
        <s:v>9</s:v>
      </s:c>
      <s:c r="C374" s="6" t="n">
        <s:v>1873.04529</s:v>
      </s:c>
      <s:c r="D374" s="6" t="n">
        <s:v>2770.26074</s:v>
      </s:c>
      <s:c r="E374" s="6" t="n">
        <s:v>2732.46924</s:v>
      </s:c>
      <s:c r="F374" s="6" t="n">
        <s:v>2787.4</s:v>
      </s:c>
      <s:c r="G374" s="6" t="n">
        <s:v>2113.78638</s:v>
      </s:c>
      <s:c r="H374" s="6" t="n">
        <s:v>1010.59613</s:v>
      </s:c>
      <s:c r="I374" s="6" t="n"/>
      <s:c r="J374" s="6" t="str">
        <s:f>IF(AND(COUNT(C374:I374)=7,COUNT('Потребление (МВт·ч)'!C374:I374)=7,SUM('Потребление (МВт·ч)'!C374:I374)&gt;0),SUMPRODUCT(C374:I374,'Потребление (МВт·ч)'!C374:I374)/SUM('Потребление (МВт·ч)'!C374:I374),"")</s:f>
      </s:c>
      <s:c r="K374" s="6" t="n">
        <s:f>IF(SUMIF(C374:I374,"&lt;&gt;",'Потребление (МВт·ч)'!C374:I374)&gt;0,SUMPRODUCT(C374:I374,'Потребление (МВт·ч)'!C374:I374)/SUMIF(C374:I374,"&lt;&gt;",'Потребление (МВт·ч)'!C374:I374),"")</s:f>
        <s:v>2169.0020651618424</s:v>
      </s:c>
      <s:c r="L374" s="6" t="n">
        <s:f>IF(COUNT(C374:I374)&gt;0,AVERAGE(C374:I374),"")</s:f>
        <s:v>2214.592963333333</s:v>
      </s:c>
      <s:c r="M374" s="10" t="n">
        <s:f>COUNT(C374:I374)</s:f>
        <s:v>6</s:v>
      </s:c>
      <s:c r="N374" s="11" t="n">
        <s:f>IF(AND(COUNT('Потребление (МВт·ч)'!C374:I374)=7,SUM('Потребление (МВт·ч)'!C374:I374)&gt;0),SUMIF(C374:I374,"&lt;&gt;",'Потребление (МВт·ч)'!C374:I374)/SUM('Потребление (МВт·ч)'!C374:I374),"")</s:f>
        <s:v>0.959349463227047</s:v>
      </s:c>
    </s:row>
    <s:row r="375">
      <s:c r="A375" s="5" t="n">
        <s:v>46281</s:v>
      </s:c>
      <s:c r="B375" s="2" t="n">
        <s:v>10</s:v>
      </s:c>
      <s:c r="C375" s="6" t="n">
        <s:v>1908.62646</s:v>
      </s:c>
      <s:c r="D375" s="6" t="n">
        <s:v>2767.01636</s:v>
      </s:c>
      <s:c r="E375" s="6" t="n">
        <s:v>2690.30273</s:v>
      </s:c>
      <s:c r="F375" s="6" t="n">
        <s:v>2783.344</s:v>
      </s:c>
      <s:c r="G375" s="6" t="n">
        <s:v>2134.1084</s:v>
      </s:c>
      <s:c r="H375" s="6" t="n">
        <s:v>1076.74829</s:v>
      </s:c>
      <s:c r="I375" s="6" t="n"/>
      <s:c r="J375" s="6" t="str">
        <s:f>IF(AND(COUNT(C375:I375)=7,COUNT('Потребление (МВт·ч)'!C375:I375)=7,SUM('Потребление (МВт·ч)'!C375:I375)&gt;0),SUMPRODUCT(C375:I375,'Потребление (МВт·ч)'!C375:I375)/SUM('Потребление (МВт·ч)'!C375:I375),"")</s:f>
      </s:c>
      <s:c r="K375" s="6" t="n">
        <s:f>IF(SUMIF(C375:I375,"&lt;&gt;",'Потребление (МВт·ч)'!C375:I375)&gt;0,SUMPRODUCT(C375:I375,'Потребление (МВт·ч)'!C375:I375)/SUMIF(C375:I375,"&lt;&gt;",'Потребление (МВт·ч)'!C375:I375),"")</s:f>
        <s:v>2183.698801981268</s:v>
      </s:c>
      <s:c r="L375" s="6" t="n">
        <s:f>IF(COUNT(C375:I375)&gt;0,AVERAGE(C375:I375),"")</s:f>
        <s:v>2226.69104</s:v>
      </s:c>
      <s:c r="M375" s="10" t="n">
        <s:f>COUNT(C375:I375)</s:f>
        <s:v>6</s:v>
      </s:c>
      <s:c r="N375" s="11" t="n">
        <s:f>IF(AND(COUNT('Потребление (МВт·ч)'!C375:I375)=7,SUM('Потребление (МВт·ч)'!C375:I375)&gt;0),SUMIF(C375:I375,"&lt;&gt;",'Потребление (МВт·ч)'!C375:I375)/SUM('Потребление (МВт·ч)'!C375:I375),"")</s:f>
        <s:v>0.95878340422117</s:v>
      </s:c>
    </s:row>
    <s:row r="376">
      <s:c r="A376" s="5" t="n">
        <s:v>46281</s:v>
      </s:c>
      <s:c r="B376" s="2" t="n">
        <s:v>11</s:v>
      </s:c>
      <s:c r="C376" s="6" t="n">
        <s:v>1813.38977</s:v>
      </s:c>
      <s:c r="D376" s="6" t="n">
        <s:v>2753.982</s:v>
      </s:c>
      <s:c r="E376" s="6" t="n">
        <s:v>2687.009</s:v>
      </s:c>
      <s:c r="F376" s="6" t="n">
        <s:v>2816.78</s:v>
      </s:c>
      <s:c r="G376" s="6" t="n">
        <s:v>2178.76636</s:v>
      </s:c>
      <s:c r="H376" s="6" t="n">
        <s:v>1006.23059</s:v>
      </s:c>
      <s:c r="I376" s="6" t="n"/>
      <s:c r="J376" s="6" t="str">
        <s:f>IF(AND(COUNT(C376:I376)=7,COUNT('Потребление (МВт·ч)'!C376:I376)=7,SUM('Потребление (МВт·ч)'!C376:I376)&gt;0),SUMPRODUCT(C376:I376,'Потребление (МВт·ч)'!C376:I376)/SUM('Потребление (МВт·ч)'!C376:I376),"")</s:f>
      </s:c>
      <s:c r="K376" s="6" t="n">
        <s:f>IF(SUMIF(C376:I376,"&lt;&gt;",'Потребление (МВт·ч)'!C376:I376)&gt;0,SUMPRODUCT(C376:I376,'Потребление (МВт·ч)'!C376:I376)/SUMIF(C376:I376,"&lt;&gt;",'Потребление (МВт·ч)'!C376:I376),"")</s:f>
        <s:v>2172.164251959071</s:v>
      </s:c>
      <s:c r="L376" s="6" t="n">
        <s:f>IF(COUNT(C376:I376)&gt;0,AVERAGE(C376:I376),"")</s:f>
        <s:v>2209.3596199999997</s:v>
      </s:c>
      <s:c r="M376" s="10" t="n">
        <s:f>COUNT(C376:I376)</s:f>
        <s:v>6</s:v>
      </s:c>
      <s:c r="N376" s="11" t="n">
        <s:f>IF(AND(COUNT('Потребление (МВт·ч)'!C376:I376)=7,SUM('Потребление (МВт·ч)'!C376:I376)&gt;0),SUMIF(C376:I376,"&lt;&gt;",'Потребление (МВт·ч)'!C376:I376)/SUM('Потребление (МВт·ч)'!C376:I376),"")</s:f>
        <s:v>0.9579454746904544</s:v>
      </s:c>
    </s:row>
    <s:row r="377">
      <s:c r="A377" s="5" t="n">
        <s:v>46281</s:v>
      </s:c>
      <s:c r="B377" s="2" t="n">
        <s:v>12</s:v>
      </s:c>
      <s:c r="C377" s="6" t="n">
        <s:v>2145.45654</s:v>
      </s:c>
      <s:c r="D377" s="6" t="n">
        <s:v>2764.42065</s:v>
      </s:c>
      <s:c r="E377" s="6" t="n">
        <s:v>2668.9</s:v>
      </s:c>
      <s:c r="F377" s="6" t="n">
        <s:v>2817.74268</s:v>
      </s:c>
      <s:c r="G377" s="6" t="n">
        <s:v>2185.82837</s:v>
      </s:c>
      <s:c r="H377" s="6" t="n">
        <s:v>1547.99426</s:v>
      </s:c>
      <s:c r="I377" s="6" t="n"/>
      <s:c r="J377" s="6" t="str">
        <s:f>IF(AND(COUNT(C377:I377)=7,COUNT('Потребление (МВт·ч)'!C377:I377)=7,SUM('Потребление (МВт·ч)'!C377:I377)&gt;0),SUMPRODUCT(C377:I377,'Потребление (МВт·ч)'!C377:I377)/SUM('Потребление (МВт·ч)'!C377:I377),"")</s:f>
      </s:c>
      <s:c r="K377" s="6" t="n">
        <s:f>IF(SUMIF(C377:I377,"&lt;&gt;",'Потребление (МВт·ч)'!C377:I377)&gt;0,SUMPRODUCT(C377:I377,'Потребление (МВт·ч)'!C377:I377)/SUMIF(C377:I377,"&lt;&gt;",'Потребление (МВт·ч)'!C377:I377),"")</s:f>
        <s:v>2318.4310990208674</s:v>
      </s:c>
      <s:c r="L377" s="6" t="n">
        <s:f>IF(COUNT(C377:I377)&gt;0,AVERAGE(C377:I377),"")</s:f>
        <s:v>2355.057083333333</s:v>
      </s:c>
      <s:c r="M377" s="10" t="n">
        <s:f>COUNT(C377:I377)</s:f>
        <s:v>6</s:v>
      </s:c>
      <s:c r="N377" s="11" t="n">
        <s:f>IF(AND(COUNT('Потребление (МВт·ч)'!C377:I377)=7,SUM('Потребление (МВт·ч)'!C377:I377)&gt;0),SUMIF(C377:I377,"&lt;&gt;",'Потребление (МВт·ч)'!C377:I377)/SUM('Потребление (МВт·ч)'!C377:I377),"")</s:f>
        <s:v>0.9567822271159545</s:v>
      </s:c>
    </s:row>
    <s:row r="378">
      <s:c r="A378" s="5" t="n">
        <s:v>46281</s:v>
      </s:c>
      <s:c r="B378" s="2" t="n">
        <s:v>13</s:v>
      </s:c>
      <s:c r="C378" s="6" t="n">
        <s:v>2259.8833</s:v>
      </s:c>
      <s:c r="D378" s="6" t="n">
        <s:v>2803.41357</s:v>
      </s:c>
      <s:c r="E378" s="6" t="n">
        <s:v>2788.153</s:v>
      </s:c>
      <s:c r="F378" s="6" t="n">
        <s:v>2832.88965</s:v>
      </s:c>
      <s:c r="G378" s="6" t="n">
        <s:v>2361.38086</s:v>
      </s:c>
      <s:c r="H378" s="6" t="n">
        <s:v>1923.80249</s:v>
      </s:c>
      <s:c r="I378" s="6" t="n"/>
      <s:c r="J378" s="6" t="str">
        <s:f>IF(AND(COUNT(C378:I378)=7,COUNT('Потребление (МВт·ч)'!C378:I378)=7,SUM('Потребление (МВт·ч)'!C378:I378)&gt;0),SUMPRODUCT(C378:I378,'Потребление (МВт·ч)'!C378:I378)/SUM('Потребление (МВт·ч)'!C378:I378),"")</s:f>
      </s:c>
      <s:c r="K378" s="6" t="n">
        <s:f>IF(SUMIF(C378:I378,"&lt;&gt;",'Потребление (МВт·ч)'!C378:I378)&gt;0,SUMPRODUCT(C378:I378,'Потребление (МВт·ч)'!C378:I378)/SUMIF(C378:I378,"&lt;&gt;",'Потребление (МВт·ч)'!C378:I378),"")</s:f>
        <s:v>2470.00152794983</s:v>
      </s:c>
      <s:c r="L378" s="6" t="n">
        <s:f>IF(COUNT(C378:I378)&gt;0,AVERAGE(C378:I378),"")</s:f>
        <s:v>2494.920478333334</s:v>
      </s:c>
      <s:c r="M378" s="10" t="n">
        <s:f>COUNT(C378:I378)</s:f>
        <s:v>6</s:v>
      </s:c>
      <s:c r="N378" s="11" t="n">
        <s:f>IF(AND(COUNT('Потребление (МВт·ч)'!C378:I378)=7,SUM('Потребление (МВт·ч)'!C378:I378)&gt;0),SUMIF(C378:I378,"&lt;&gt;",'Потребление (МВт·ч)'!C378:I378)/SUM('Потребление (МВт·ч)'!C378:I378),"")</s:f>
        <s:v>0.9561909525845724</s:v>
      </s:c>
    </s:row>
    <s:row r="379">
      <s:c r="A379" s="5" t="n">
        <s:v>46281</s:v>
      </s:c>
      <s:c r="B379" s="2" t="n">
        <s:v>14</s:v>
      </s:c>
      <s:c r="C379" s="6" t="n">
        <s:v>2232.74268</s:v>
      </s:c>
      <s:c r="D379" s="6" t="n">
        <s:v>2746.17114</s:v>
      </s:c>
      <s:c r="E379" s="6" t="n">
        <s:v>2742.99951</s:v>
      </s:c>
      <s:c r="F379" s="6" t="n">
        <s:v>2795.81665</s:v>
      </s:c>
      <s:c r="G379" s="6" t="n">
        <s:v>2304.594</s:v>
      </s:c>
      <s:c r="H379" s="6" t="n">
        <s:v>1940.092</s:v>
      </s:c>
      <s:c r="I379" s="6" t="n"/>
      <s:c r="J379" s="6" t="str">
        <s:f>IF(AND(COUNT(C379:I379)=7,COUNT('Потребление (МВт·ч)'!C379:I379)=7,SUM('Потребление (МВт·ч)'!C379:I379)&gt;0),SUMPRODUCT(C379:I379,'Потребление (МВт·ч)'!C379:I379)/SUM('Потребление (МВт·ч)'!C379:I379),"")</s:f>
      </s:c>
      <s:c r="K379" s="6" t="n">
        <s:f>IF(SUMIF(C379:I379,"&lt;&gt;",'Потребление (МВт·ч)'!C379:I379)&gt;0,SUMPRODUCT(C379:I379,'Потребление (МВт·ч)'!C379:I379)/SUMIF(C379:I379,"&lt;&gt;",'Потребление (МВт·ч)'!C379:I379),"")</s:f>
        <s:v>2432.918290078559</s:v>
      </s:c>
      <s:c r="L379" s="6" t="n">
        <s:f>IF(COUNT(C379:I379)&gt;0,AVERAGE(C379:I379),"")</s:f>
        <s:v>2460.4026633333337</s:v>
      </s:c>
      <s:c r="M379" s="10" t="n">
        <s:f>COUNT(C379:I379)</s:f>
        <s:v>6</s:v>
      </s:c>
      <s:c r="N379" s="11" t="n">
        <s:f>IF(AND(COUNT('Потребление (МВт·ч)'!C379:I379)=7,SUM('Потребление (МВт·ч)'!C379:I379)&gt;0),SUMIF(C379:I379,"&lt;&gt;",'Потребление (МВт·ч)'!C379:I379)/SUM('Потребление (МВт·ч)'!C379:I379),"")</s:f>
        <s:v>0.9569683217726241</s:v>
      </s:c>
    </s:row>
    <s:row r="380">
      <s:c r="A380" s="5" t="n">
        <s:v>46281</s:v>
      </s:c>
      <s:c r="B380" s="2" t="n">
        <s:v>15</s:v>
      </s:c>
      <s:c r="C380" s="6" t="n">
        <s:v>2042.322</s:v>
      </s:c>
      <s:c r="D380" s="6" t="n">
        <s:v>2609.09375</s:v>
      </s:c>
      <s:c r="E380" s="6" t="n">
        <s:v>2716.97</s:v>
      </s:c>
      <s:c r="F380" s="6" t="n">
        <s:v>2743.83887</s:v>
      </s:c>
      <s:c r="G380" s="6" t="n">
        <s:v>2317.86865</s:v>
      </s:c>
      <s:c r="H380" s="6" t="n">
        <s:v>1999.73462</s:v>
      </s:c>
      <s:c r="I380" s="6" t="n"/>
      <s:c r="J380" s="6" t="str">
        <s:f>IF(AND(COUNT(C380:I380)=7,COUNT('Потребление (МВт·ч)'!C380:I380)=7,SUM('Потребление (МВт·ч)'!C380:I380)&gt;0),SUMPRODUCT(C380:I380,'Потребление (МВт·ч)'!C380:I380)/SUM('Потребление (МВт·ч)'!C380:I380),"")</s:f>
      </s:c>
      <s:c r="K380" s="6" t="n">
        <s:f>IF(SUMIF(C380:I380,"&lt;&gt;",'Потребление (МВт·ч)'!C380:I380)&gt;0,SUMPRODUCT(C380:I380,'Потребление (МВт·ч)'!C380:I380)/SUMIF(C380:I380,"&lt;&gt;",'Потребление (МВт·ч)'!C380:I380),"")</s:f>
        <s:v>2387.055777088401</s:v>
      </s:c>
      <s:c r="L380" s="6" t="n">
        <s:f>IF(COUNT(C380:I380)&gt;0,AVERAGE(C380:I380),"")</s:f>
        <s:v>2404.971315</s:v>
      </s:c>
      <s:c r="M380" s="10" t="n">
        <s:f>COUNT(C380:I380)</s:f>
        <s:v>6</s:v>
      </s:c>
      <s:c r="N380" s="11" t="n">
        <s:f>IF(AND(COUNT('Потребление (МВт·ч)'!C380:I380)=7,SUM('Потребление (МВт·ч)'!C380:I380)&gt;0),SUMIF(C380:I380,"&lt;&gt;",'Потребление (МВт·ч)'!C380:I380)/SUM('Потребление (МВт·ч)'!C380:I380),"")</s:f>
        <s:v>0.959083296749752</s:v>
      </s:c>
    </s:row>
    <s:row r="381">
      <s:c r="A381" s="5" t="n">
        <s:v>46281</s:v>
      </s:c>
      <s:c r="B381" s="2" t="n">
        <s:v>16</s:v>
      </s:c>
      <s:c r="C381" s="6" t="n">
        <s:v>2078.9646</s:v>
      </s:c>
      <s:c r="D381" s="6" t="n">
        <s:v>2503.082</s:v>
      </s:c>
      <s:c r="E381" s="6" t="n">
        <s:v>2574.98657</s:v>
      </s:c>
      <s:c r="F381" s="6" t="n">
        <s:v>2662.935</s:v>
      </s:c>
      <s:c r="G381" s="6" t="n">
        <s:v>2302.844</s:v>
      </s:c>
      <s:c r="H381" s="6" t="n">
        <s:v>2064.28467</s:v>
      </s:c>
      <s:c r="I381" s="6" t="n"/>
      <s:c r="J381" s="6" t="str">
        <s:f>IF(AND(COUNT(C381:I381)=7,COUNT('Потребление (МВт·ч)'!C381:I381)=7,SUM('Потребление (МВт·ч)'!C381:I381)&gt;0),SUMPRODUCT(C381:I381,'Потребление (МВт·ч)'!C381:I381)/SUM('Потребление (МВт·ч)'!C381:I381),"")</s:f>
      </s:c>
      <s:c r="K381" s="6" t="n">
        <s:f>IF(SUMIF(C381:I381,"&lt;&gt;",'Потребление (МВт·ч)'!C381:I381)&gt;0,SUMPRODUCT(C381:I381,'Потребление (МВт·ч)'!C381:I381)/SUMIF(C381:I381,"&lt;&gt;",'Потребление (МВт·ч)'!C381:I381),"")</s:f>
        <s:v>2350.030501137553</s:v>
      </s:c>
      <s:c r="L381" s="6" t="n">
        <s:f>IF(COUNT(C381:I381)&gt;0,AVERAGE(C381:I381),"")</s:f>
        <s:v>2364.51614</s:v>
      </s:c>
      <s:c r="M381" s="10" t="n">
        <s:f>COUNT(C381:I381)</s:f>
        <s:v>6</s:v>
      </s:c>
      <s:c r="N381" s="11" t="n">
        <s:f>IF(AND(COUNT('Потребление (МВт·ч)'!C381:I381)=7,SUM('Потребление (МВт·ч)'!C381:I381)&gt;0),SUMIF(C381:I381,"&lt;&gt;",'Потребление (МВт·ч)'!C381:I381)/SUM('Потребление (МВт·ч)'!C381:I381),"")</s:f>
        <s:v>0.9608903647931085</s:v>
      </s:c>
    </s:row>
    <s:row r="382">
      <s:c r="A382" s="5" t="n">
        <s:v>46281</s:v>
      </s:c>
      <s:c r="B382" s="2" t="n">
        <s:v>17</s:v>
      </s:c>
      <s:c r="C382" s="6" t="n">
        <s:v>1633.37341</s:v>
      </s:c>
      <s:c r="D382" s="6" t="n">
        <s:v>2523.92358</s:v>
      </s:c>
      <s:c r="E382" s="6" t="n">
        <s:v>2483.33643</s:v>
      </s:c>
      <s:c r="F382" s="6" t="n">
        <s:v>2609.82056</s:v>
      </s:c>
      <s:c r="G382" s="6" t="n">
        <s:v>2289.539</s:v>
      </s:c>
      <s:c r="H382" s="6" t="n">
        <s:v>1847.40039</s:v>
      </s:c>
      <s:c r="I382" s="6" t="n"/>
      <s:c r="J382" s="6" t="str">
        <s:f>IF(AND(COUNT(C382:I382)=7,COUNT('Потребление (МВт·ч)'!C382:I382)=7,SUM('Потребление (МВт·ч)'!C382:I382)&gt;0),SUMPRODUCT(C382:I382,'Потребление (МВт·ч)'!C382:I382)/SUM('Потребление (МВт·ч)'!C382:I382),"")</s:f>
      </s:c>
      <s:c r="K382" s="6" t="n">
        <s:f>IF(SUMIF(C382:I382,"&lt;&gt;",'Потребление (МВт·ч)'!C382:I382)&gt;0,SUMPRODUCT(C382:I382,'Потребление (МВт·ч)'!C382:I382)/SUMIF(C382:I382,"&lt;&gt;",'Потребление (МВт·ч)'!C382:I382),"")</s:f>
        <s:v>2249.537495777976</s:v>
      </s:c>
      <s:c r="L382" s="6" t="n">
        <s:f>IF(COUNT(C382:I382)&gt;0,AVERAGE(C382:I382),"")</s:f>
        <s:v>2231.2322283333338</s:v>
      </s:c>
      <s:c r="M382" s="10" t="n">
        <s:f>COUNT(C382:I382)</s:f>
        <s:v>6</s:v>
      </s:c>
      <s:c r="N382" s="11" t="n">
        <s:f>IF(AND(COUNT('Потребление (МВт·ч)'!C382:I382)=7,SUM('Потребление (МВт·ч)'!C382:I382)&gt;0),SUMIF(C382:I382,"&lt;&gt;",'Потребление (МВт·ч)'!C382:I382)/SUM('Потребление (МВт·ч)'!C382:I382),"")</s:f>
        <s:v>0.9622265254830868</s:v>
      </s:c>
    </s:row>
    <s:row r="383">
      <s:c r="A383" s="5" t="n">
        <s:v>46281</s:v>
      </s:c>
      <s:c r="B383" s="2" t="n">
        <s:v>18</s:v>
      </s:c>
      <s:c r="C383" s="6" t="n">
        <s:v>2135.755</s:v>
      </s:c>
      <s:c r="D383" s="6" t="n">
        <s:v>2684.61841</s:v>
      </s:c>
      <s:c r="E383" s="6" t="n">
        <s:v>2871.59888</s:v>
      </s:c>
      <s:c r="F383" s="6" t="n">
        <s:v>2778.82056</s:v>
      </s:c>
      <s:c r="G383" s="6" t="n">
        <s:v>2222.21655</s:v>
      </s:c>
      <s:c r="H383" s="6" t="n">
        <s:v>1276.71667</s:v>
      </s:c>
      <s:c r="I383" s="6" t="n"/>
      <s:c r="J383" s="6" t="str">
        <s:f>IF(AND(COUNT(C383:I383)=7,COUNT('Потребление (МВт·ч)'!C383:I383)=7,SUM('Потребление (МВт·ч)'!C383:I383)&gt;0),SUMPRODUCT(C383:I383,'Потребление (МВт·ч)'!C383:I383)/SUM('Потребление (МВт·ч)'!C383:I383),"")</s:f>
      </s:c>
      <s:c r="K383" s="6" t="n">
        <s:f>IF(SUMIF(C383:I383,"&lt;&gt;",'Потребление (МВт·ч)'!C383:I383)&gt;0,SUMPRODUCT(C383:I383,'Потребление (МВт·ч)'!C383:I383)/SUMIF(C383:I383,"&lt;&gt;",'Потребление (МВт·ч)'!C383:I383),"")</s:f>
        <s:v>2273.2519283715283</s:v>
      </s:c>
      <s:c r="L383" s="6" t="n">
        <s:f>IF(COUNT(C383:I383)&gt;0,AVERAGE(C383:I383),"")</s:f>
        <s:v>2328.287678333333</s:v>
      </s:c>
      <s:c r="M383" s="10" t="n">
        <s:f>COUNT(C383:I383)</s:f>
        <s:v>6</s:v>
      </s:c>
      <s:c r="N383" s="11" t="n">
        <s:f>IF(AND(COUNT('Потребление (МВт·ч)'!C383:I383)=7,SUM('Потребление (МВт·ч)'!C383:I383)&gt;0),SUMIF(C383:I383,"&lt;&gt;",'Потребление (МВт·ч)'!C383:I383)/SUM('Потребление (МВт·ч)'!C383:I383),"")</s:f>
        <s:v>0.9625305568500486</s:v>
      </s:c>
    </s:row>
    <s:row r="384">
      <s:c r="A384" s="5" t="n">
        <s:v>46281</s:v>
      </s:c>
      <s:c r="B384" s="2" t="n">
        <s:v>19</s:v>
      </s:c>
      <s:c r="C384" s="6" t="n">
        <s:v>1964.17285</s:v>
      </s:c>
      <s:c r="D384" s="6" t="n">
        <s:v>2764.88721</s:v>
      </s:c>
      <s:c r="E384" s="6" t="n">
        <s:v>2959.32568</s:v>
      </s:c>
      <s:c r="F384" s="6" t="n">
        <s:v>2850.3147</s:v>
      </s:c>
      <s:c r="G384" s="6" t="n">
        <s:v>2252.534</s:v>
      </s:c>
      <s:c r="H384" s="6" t="n">
        <s:v>1204.79285</s:v>
      </s:c>
      <s:c r="I384" s="6" t="n"/>
      <s:c r="J384" s="6" t="str">
        <s:f>IF(AND(COUNT(C384:I384)=7,COUNT('Потребление (МВт·ч)'!C384:I384)=7,SUM('Потребление (МВт·ч)'!C384:I384)&gt;0),SUMPRODUCT(C384:I384,'Потребление (МВт·ч)'!C384:I384)/SUM('Потребление (МВт·ч)'!C384:I384),"")</s:f>
      </s:c>
      <s:c r="K384" s="6" t="n">
        <s:f>IF(SUMIF(C384:I384,"&lt;&gt;",'Потребление (МВт·ч)'!C384:I384)&gt;0,SUMPRODUCT(C384:I384,'Потребление (МВт·ч)'!C384:I384)/SUMIF(C384:I384,"&lt;&gt;",'Потребление (МВт·ч)'!C384:I384),"")</s:f>
        <s:v>2296.1428885505884</s:v>
      </s:c>
      <s:c r="L384" s="6" t="n">
        <s:f>IF(COUNT(C384:I384)&gt;0,AVERAGE(C384:I384),"")</s:f>
        <s:v>2332.671215</s:v>
      </s:c>
      <s:c r="M384" s="10" t="n">
        <s:f>COUNT(C384:I384)</s:f>
        <s:v>6</s:v>
      </s:c>
      <s:c r="N384" s="11" t="n">
        <s:f>IF(AND(COUNT('Потребление (МВт·ч)'!C384:I384)=7,SUM('Потребление (МВт·ч)'!C384:I384)&gt;0),SUMIF(C384:I384,"&lt;&gt;",'Потребление (МВт·ч)'!C384:I384)/SUM('Потребление (МВт·ч)'!C384:I384),"")</s:f>
        <s:v>0.9639447080668455</s:v>
      </s:c>
    </s:row>
    <s:row r="385">
      <s:c r="A385" s="5" t="n">
        <s:v>46281</s:v>
      </s:c>
      <s:c r="B385" s="2" t="n">
        <s:v>20</s:v>
      </s:c>
      <s:c r="C385" s="6" t="n">
        <s:v>2295.5835</s:v>
      </s:c>
      <s:c r="D385" s="6" t="n">
        <s:v>2730.366</s:v>
      </s:c>
      <s:c r="E385" s="6" t="n">
        <s:v>2941.30737</s:v>
      </s:c>
      <s:c r="F385" s="6" t="n">
        <s:v>2795.02832</s:v>
      </s:c>
      <s:c r="G385" s="6" t="n">
        <s:v>2183.11841</s:v>
      </s:c>
      <s:c r="H385" s="6" t="n">
        <s:v>1270.8313</s:v>
      </s:c>
      <s:c r="I385" s="6" t="n"/>
      <s:c r="J385" s="6" t="str">
        <s:f>IF(AND(COUNT(C385:I385)=7,COUNT('Потребление (МВт·ч)'!C385:I385)=7,SUM('Потребление (МВт·ч)'!C385:I385)&gt;0),SUMPRODUCT(C385:I385,'Потребление (МВт·ч)'!C385:I385)/SUM('Потребление (МВт·ч)'!C385:I385),"")</s:f>
      </s:c>
      <s:c r="K385" s="6" t="n">
        <s:f>IF(SUMIF(C385:I385,"&lt;&gt;",'Потребление (МВт·ч)'!C385:I385)&gt;0,SUMPRODUCT(C385:I385,'Потребление (МВт·ч)'!C385:I385)/SUMIF(C385:I385,"&lt;&gt;",'Потребление (МВт·ч)'!C385:I385),"")</s:f>
        <s:v>2304.5991136621114</s:v>
      </s:c>
      <s:c r="L385" s="6" t="n">
        <s:f>IF(COUNT(C385:I385)&gt;0,AVERAGE(C385:I385),"")</s:f>
        <s:v>2369.3724833333335</s:v>
      </s:c>
      <s:c r="M385" s="10" t="n">
        <s:f>COUNT(C385:I385)</s:f>
        <s:v>6</s:v>
      </s:c>
      <s:c r="N385" s="11" t="n">
        <s:f>IF(AND(COUNT('Потребление (МВт·ч)'!C385:I385)=7,SUM('Потребление (МВт·ч)'!C385:I385)&gt;0),SUMIF(C385:I385,"&lt;&gt;",'Потребление (МВт·ч)'!C385:I385)/SUM('Потребление (МВт·ч)'!C385:I385),"")</s:f>
        <s:v>0.9629092258766565</s:v>
      </s:c>
    </s:row>
    <s:row r="386">
      <s:c r="A386" s="5" t="n">
        <s:v>46281</s:v>
      </s:c>
      <s:c r="B386" s="2" t="n">
        <s:v>21</s:v>
      </s:c>
      <s:c r="C386" s="6" t="n">
        <s:v>1428.92676</s:v>
      </s:c>
      <s:c r="D386" s="6" t="n">
        <s:v>2206.70752</s:v>
      </s:c>
      <s:c r="E386" s="6" t="n">
        <s:v>2429.75171</s:v>
      </s:c>
      <s:c r="F386" s="6" t="n">
        <s:v>2364.78564</s:v>
      </s:c>
      <s:c r="G386" s="6" t="n">
        <s:v>1837.93811</s:v>
      </s:c>
      <s:c r="H386" s="6" t="n">
        <s:v>996.8084</s:v>
      </s:c>
      <s:c r="I386" s="6" t="n"/>
      <s:c r="J386" s="6" t="str">
        <s:f>IF(AND(COUNT(C386:I386)=7,COUNT('Потребление (МВт·ч)'!C386:I386)=7,SUM('Потребление (МВт·ч)'!C386:I386)&gt;0),SUMPRODUCT(C386:I386,'Потребление (МВт·ч)'!C386:I386)/SUM('Потребление (МВт·ч)'!C386:I386),"")</s:f>
      </s:c>
      <s:c r="K386" s="6" t="n">
        <s:f>IF(SUMIF(C386:I386,"&lt;&gt;",'Потребление (МВт·ч)'!C386:I386)&gt;0,SUMPRODUCT(C386:I386,'Потребление (МВт·ч)'!C386:I386)/SUMIF(C386:I386,"&lt;&gt;",'Потребление (МВт·ч)'!C386:I386),"")</s:f>
        <s:v>1845.8453581117794</s:v>
      </s:c>
      <s:c r="L386" s="6" t="n">
        <s:f>IF(COUNT(C386:I386)&gt;0,AVERAGE(C386:I386),"")</s:f>
        <s:v>1877.4863566666666</s:v>
      </s:c>
      <s:c r="M386" s="10" t="n">
        <s:f>COUNT(C386:I386)</s:f>
        <s:v>6</s:v>
      </s:c>
      <s:c r="N386" s="11" t="n">
        <s:f>IF(AND(COUNT('Потребление (МВт·ч)'!C386:I386)=7,SUM('Потребление (МВт·ч)'!C386:I386)&gt;0),SUMIF(C386:I386,"&lt;&gt;",'Потребление (МВт·ч)'!C386:I386)/SUM('Потребление (МВт·ч)'!C386:I386),"")</s:f>
        <s:v>0.9606563054677691</s:v>
      </s:c>
    </s:row>
    <s:row r="387">
      <s:c r="A387" s="5" t="n">
        <s:v>46281</s:v>
      </s:c>
      <s:c r="B387" s="2" t="n">
        <s:v>22</s:v>
      </s:c>
      <s:c r="C387" s="6" t="n">
        <s:v>1366.50977</s:v>
      </s:c>
      <s:c r="D387" s="6" t="n">
        <s:v>1744.959</s:v>
      </s:c>
      <s:c r="E387" s="6" t="n">
        <s:v>1798.33936</s:v>
      </s:c>
      <s:c r="F387" s="6" t="n">
        <s:v>1864.154</s:v>
      </s:c>
      <s:c r="G387" s="6" t="n">
        <s:v>1613.17419</s:v>
      </s:c>
      <s:c r="H387" s="6" t="n">
        <s:v>851.450562</s:v>
      </s:c>
      <s:c r="I387" s="6" t="n"/>
      <s:c r="J387" s="6" t="str">
        <s:f>IF(AND(COUNT(C387:I387)=7,COUNT('Потребление (МВт·ч)'!C387:I387)=7,SUM('Потребление (МВт·ч)'!C387:I387)&gt;0),SUMPRODUCT(C387:I387,'Потребление (МВт·ч)'!C387:I387)/SUM('Потребление (МВт·ч)'!C387:I387),"")</s:f>
      </s:c>
      <s:c r="K387" s="6" t="n">
        <s:f>IF(SUMIF(C387:I387,"&lt;&gt;",'Потребление (МВт·ч)'!C387:I387)&gt;0,SUMPRODUCT(C387:I387,'Потребление (МВт·ч)'!C387:I387)/SUMIF(C387:I387,"&lt;&gt;",'Потребление (МВт·ч)'!C387:I387),"")</s:f>
        <s:v>1508.300995169924</s:v>
      </s:c>
      <s:c r="L387" s="6" t="n">
        <s:f>IF(COUNT(C387:I387)&gt;0,AVERAGE(C387:I387),"")</s:f>
        <s:v>1539.7644803333333</s:v>
      </s:c>
      <s:c r="M387" s="10" t="n">
        <s:f>COUNT(C387:I387)</s:f>
        <s:v>6</s:v>
      </s:c>
      <s:c r="N387" s="11" t="n">
        <s:f>IF(AND(COUNT('Потребление (МВт·ч)'!C387:I387)=7,SUM('Потребление (МВт·ч)'!C387:I387)&gt;0),SUMIF(C387:I387,"&lt;&gt;",'Потребление (МВт·ч)'!C387:I387)/SUM('Потребление (МВт·ч)'!C387:I387),"")</s:f>
        <s:v>0.9584901912990097</s:v>
      </s:c>
    </s:row>
    <s:row r="388">
      <s:c r="A388" s="5" t="n">
        <s:v>46281</s:v>
      </s:c>
      <s:c r="B388" s="2" t="n">
        <s:v>23</s:v>
      </s:c>
      <s:c r="C388" s="6" t="n">
        <s:v>1048.02283</s:v>
      </s:c>
      <s:c r="D388" s="6" t="n">
        <s:v>1782.5885</s:v>
      </s:c>
      <s:c r="E388" s="6" t="n">
        <s:v>1813.16089</s:v>
      </s:c>
      <s:c r="F388" s="6" t="n">
        <s:v>1917.038</s:v>
      </s:c>
      <s:c r="G388" s="6" t="n">
        <s:v>1681.96582</s:v>
      </s:c>
      <s:c r="H388" s="6" t="n">
        <s:v>855.8205</s:v>
      </s:c>
      <s:c r="I388" s="6" t="n"/>
      <s:c r="J388" s="6" t="str">
        <s:f>IF(AND(COUNT(C388:I388)=7,COUNT('Потребление (МВт·ч)'!C388:I388)=7,SUM('Потребление (МВт·ч)'!C388:I388)&gt;0),SUMPRODUCT(C388:I388,'Потребление (МВт·ч)'!C388:I388)/SUM('Потребление (МВт·ч)'!C388:I388),"")</s:f>
      </s:c>
      <s:c r="K388" s="6" t="n">
        <s:f>IF(SUMIF(C388:I388,"&lt;&gt;",'Потребление (МВт·ч)'!C388:I388)&gt;0,SUMPRODUCT(C388:I388,'Потребление (МВт·ч)'!C388:I388)/SUMIF(C388:I388,"&lt;&gt;",'Потребление (МВт·ч)'!C388:I388),"")</s:f>
        <s:v>1504.789898868547</s:v>
      </s:c>
      <s:c r="L388" s="6" t="n">
        <s:f>IF(COUNT(C388:I388)&gt;0,AVERAGE(C388:I388),"")</s:f>
        <s:v>1516.4327566666668</s:v>
      </s:c>
      <s:c r="M388" s="10" t="n">
        <s:f>COUNT(C388:I388)</s:f>
        <s:v>6</s:v>
      </s:c>
      <s:c r="N388" s="11" t="n">
        <s:f>IF(AND(COUNT('Потребление (МВт·ч)'!C388:I388)=7,SUM('Потребление (МВт·ч)'!C388:I388)&gt;0),SUMIF(C388:I388,"&lt;&gt;",'Потребление (МВт·ч)'!C388:I388)/SUM('Потребление (МВт·ч)'!C388:I388),"")</s:f>
        <s:v>0.9546212537613773</s:v>
      </s:c>
    </s:row>
    <s:row r="389">
      <s:c r="A389" s="5" t="n">
        <s:v>46282</s:v>
      </s:c>
      <s:c r="B389" s="2" t="n">
        <s:v>0</s:v>
      </s:c>
      <s:c r="C389" s="6" t="n">
        <s:v>1334.22278</s:v>
      </s:c>
      <s:c r="D389" s="6" t="n">
        <s:v>1859.38293</s:v>
      </s:c>
      <s:c r="E389" s="6" t="n">
        <s:v>1552.18176</s:v>
      </s:c>
      <s:c r="F389" s="6" t="n">
        <s:v>1810.47131</s:v>
      </s:c>
      <s:c r="G389" s="6" t="n">
        <s:v>1653.05286</s:v>
      </s:c>
      <s:c r="H389" s="6" t="n">
        <s:v>841.199341</s:v>
      </s:c>
      <s:c r="I389" s="6" t="n"/>
      <s:c r="J389" s="6" t="str">
        <s:f>IF(AND(COUNT(C389:I389)=7,COUNT('Потребление (МВт·ч)'!C389:I389)=7,SUM('Потребление (МВт·ч)'!C389:I389)&gt;0),SUMPRODUCT(C389:I389,'Потребление (МВт·ч)'!C389:I389)/SUM('Потребление (МВт·ч)'!C389:I389),"")</s:f>
      </s:c>
      <s:c r="K389" s="6" t="n">
        <s:f>IF(SUMIF(C389:I389,"&lt;&gt;",'Потребление (МВт·ч)'!C389:I389)&gt;0,SUMPRODUCT(C389:I389,'Потребление (МВт·ч)'!C389:I389)/SUMIF(C389:I389,"&lt;&gt;",'Потребление (МВт·ч)'!C389:I389),"")</s:f>
        <s:v>1499.329660456456</s:v>
      </s:c>
      <s:c r="L389" s="6" t="n">
        <s:f>IF(COUNT(C389:I389)&gt;0,AVERAGE(C389:I389),"")</s:f>
        <s:v>1508.4184968333332</s:v>
      </s:c>
      <s:c r="M389" s="10" t="n">
        <s:f>COUNT(C389:I389)</s:f>
        <s:v>6</s:v>
      </s:c>
      <s:c r="N389" s="11" t="n">
        <s:f>IF(AND(COUNT('Потребление (МВт·ч)'!C389:I389)=7,SUM('Потребление (МВт·ч)'!C389:I389)&gt;0),SUMIF(C389:I389,"&lt;&gt;",'Потребление (МВт·ч)'!C389:I389)/SUM('Потребление (МВт·ч)'!C389:I389),"")</s:f>
        <s:v>0.9517868992321548</s:v>
      </s:c>
    </s:row>
    <s:row r="390">
      <s:c r="A390" s="5" t="n">
        <s:v>46282</s:v>
      </s:c>
      <s:c r="B390" s="2" t="n">
        <s:v>1</s:v>
      </s:c>
      <s:c r="C390" s="6" t="n">
        <s:v>1426.33911</s:v>
      </s:c>
      <s:c r="D390" s="6" t="n">
        <s:v>1790.44812</s:v>
      </s:c>
      <s:c r="E390" s="6" t="n">
        <s:v>1499.80627</s:v>
      </s:c>
      <s:c r="F390" s="6" t="n">
        <s:v>1826.99963</s:v>
      </s:c>
      <s:c r="G390" s="6" t="n">
        <s:v>1695.26978</s:v>
      </s:c>
      <s:c r="H390" s="6" t="n">
        <s:v>939.3352</s:v>
      </s:c>
      <s:c r="I390" s="6" t="n"/>
      <s:c r="J390" s="6" t="str">
        <s:f>IF(AND(COUNT(C390:I390)=7,COUNT('Потребление (МВт·ч)'!C390:I390)=7,SUM('Потребление (МВт·ч)'!C390:I390)&gt;0),SUMPRODUCT(C390:I390,'Потребление (МВт·ч)'!C390:I390)/SUM('Потребление (МВт·ч)'!C390:I390),"")</s:f>
      </s:c>
      <s:c r="K390" s="6" t="n">
        <s:f>IF(SUMIF(C390:I390,"&lt;&gt;",'Потребление (МВт·ч)'!C390:I390)&gt;0,SUMPRODUCT(C390:I390,'Потребление (МВт·ч)'!C390:I390)/SUMIF(C390:I390,"&lt;&gt;",'Потребление (МВт·ч)'!C390:I390),"")</s:f>
        <s:v>1515.0070111860832</s:v>
      </s:c>
      <s:c r="L390" s="6" t="n">
        <s:f>IF(COUNT(C390:I390)&gt;0,AVERAGE(C390:I390),"")</s:f>
        <s:v>1529.6996849999998</s:v>
      </s:c>
      <s:c r="M390" s="10" t="n">
        <s:f>COUNT(C390:I390)</s:f>
        <s:v>6</s:v>
      </s:c>
      <s:c r="N390" s="11" t="n">
        <s:f>IF(AND(COUNT('Потребление (МВт·ч)'!C390:I390)=7,SUM('Потребление (МВт·ч)'!C390:I390)&gt;0),SUMIF(C390:I390,"&lt;&gt;",'Потребление (МВт·ч)'!C390:I390)/SUM('Потребление (МВт·ч)'!C390:I390),"")</s:f>
        <s:v>0.9503187996334759</s:v>
      </s:c>
    </s:row>
    <s:row r="391">
      <s:c r="A391" s="5" t="n">
        <s:v>46282</s:v>
      </s:c>
      <s:c r="B391" s="2" t="n">
        <s:v>2</s:v>
      </s:c>
      <s:c r="C391" s="6" t="n">
        <s:v>1142.12646</s:v>
      </s:c>
      <s:c r="D391" s="6" t="n">
        <s:v>1716.60632</s:v>
      </s:c>
      <s:c r="E391" s="6" t="n">
        <s:v>1498.096</s:v>
      </s:c>
      <s:c r="F391" s="6" t="n">
        <s:v>1757.89</s:v>
      </s:c>
      <s:c r="G391" s="6" t="n">
        <s:v>1680.01111</s:v>
      </s:c>
      <s:c r="H391" s="6" t="n">
        <s:v>931.808655</s:v>
      </s:c>
      <s:c r="I391" s="6" t="n"/>
      <s:c r="J391" s="6" t="str">
        <s:f>IF(AND(COUNT(C391:I391)=7,COUNT('Потребление (МВт·ч)'!C391:I391)=7,SUM('Потребление (МВт·ч)'!C391:I391)&gt;0),SUMPRODUCT(C391:I391,'Потребление (МВт·ч)'!C391:I391)/SUM('Потребление (МВт·ч)'!C391:I391),"")</s:f>
      </s:c>
      <s:c r="K391" s="6" t="n">
        <s:f>IF(SUMIF(C391:I391,"&lt;&gt;",'Потребление (МВт·ч)'!C391:I391)&gt;0,SUMPRODUCT(C391:I391,'Потребление (МВт·ч)'!C391:I391)/SUMIF(C391:I391,"&lt;&gt;",'Потребление (МВт·ч)'!C391:I391),"")</s:f>
        <s:v>1453.8049151624534</s:v>
      </s:c>
      <s:c r="L391" s="6" t="n">
        <s:f>IF(COUNT(C391:I391)&gt;0,AVERAGE(C391:I391),"")</s:f>
        <s:v>1454.4230908333336</s:v>
      </s:c>
      <s:c r="M391" s="10" t="n">
        <s:f>COUNT(C391:I391)</s:f>
        <s:v>6</s:v>
      </s:c>
      <s:c r="N391" s="11" t="n">
        <s:f>IF(AND(COUNT('Потребление (МВт·ч)'!C391:I391)=7,SUM('Потребление (МВт·ч)'!C391:I391)&gt;0),SUMIF(C391:I391,"&lt;&gt;",'Потребление (МВт·ч)'!C391:I391)/SUM('Потребление (МВт·ч)'!C391:I391),"")</s:f>
        <s:v>0.9505874288325685</s:v>
      </s:c>
    </s:row>
    <s:row r="392">
      <s:c r="A392" s="5" t="n">
        <s:v>46282</s:v>
      </s:c>
      <s:c r="B392" s="2" t="n">
        <s:v>3</s:v>
      </s:c>
      <s:c r="C392" s="6" t="n">
        <s:v>1233.92419</s:v>
      </s:c>
      <s:c r="D392" s="6" t="n">
        <s:v>1755.41272</s:v>
      </s:c>
      <s:c r="E392" s="6" t="n">
        <s:v>1538.96167</s:v>
      </s:c>
      <s:c r="F392" s="6" t="n">
        <s:v>1801.05029</s:v>
      </s:c>
      <s:c r="G392" s="6" t="n">
        <s:v>1706.35681</s:v>
      </s:c>
      <s:c r="H392" s="6" t="n">
        <s:v>848.3997000000001</s:v>
      </s:c>
      <s:c r="I392" s="6" t="n"/>
      <s:c r="J392" s="6" t="str">
        <s:f>IF(AND(COUNT(C392:I392)=7,COUNT('Потребление (МВт·ч)'!C392:I392)=7,SUM('Потребление (МВт·ч)'!C392:I392)&gt;0),SUMPRODUCT(C392:I392,'Потребление (МВт·ч)'!C392:I392)/SUM('Потребление (МВт·ч)'!C392:I392),"")</s:f>
      </s:c>
      <s:c r="K392" s="6" t="n">
        <s:f>IF(SUMIF(C392:I392,"&lt;&gt;",'Потребление (МВт·ч)'!C392:I392)&gt;0,SUMPRODUCT(C392:I392,'Потребление (МВт·ч)'!C392:I392)/SUMIF(C392:I392,"&lt;&gt;",'Потребление (МВт·ч)'!C392:I392),"")</s:f>
        <s:v>1467.464790462039</s:v>
      </s:c>
      <s:c r="L392" s="6" t="n">
        <s:f>IF(COUNT(C392:I392)&gt;0,AVERAGE(C392:I392),"")</s:f>
        <s:v>1480.68423</s:v>
      </s:c>
      <s:c r="M392" s="10" t="n">
        <s:f>COUNT(C392:I392)</s:f>
        <s:v>6</s:v>
      </s:c>
      <s:c r="N392" s="11" t="n">
        <s:f>IF(AND(COUNT('Потребление (МВт·ч)'!C392:I392)=7,SUM('Потребление (МВт·ч)'!C392:I392)&gt;0),SUMIF(C392:I392,"&lt;&gt;",'Потребление (МВт·ч)'!C392:I392)/SUM('Потребление (МВт·ч)'!C392:I392),"")</s:f>
        <s:v>0.9500285279573982</s:v>
      </s:c>
    </s:row>
    <s:row r="393">
      <s:c r="A393" s="5" t="n">
        <s:v>46282</s:v>
      </s:c>
      <s:c r="B393" s="2" t="n">
        <s:v>4</s:v>
      </s:c>
      <s:c r="C393" s="6" t="n">
        <s:v>1318.972</s:v>
      </s:c>
      <s:c r="D393" s="6" t="n">
        <s:v>1859.51172</s:v>
      </s:c>
      <s:c r="E393" s="6" t="n">
        <s:v>1623.87109</s:v>
      </s:c>
      <s:c r="F393" s="6" t="n">
        <s:v>1952.47864</s:v>
      </s:c>
      <s:c r="G393" s="6" t="n">
        <s:v>1780.6604</s:v>
      </s:c>
      <s:c r="H393" s="6" t="n">
        <s:v>965.956665</s:v>
      </s:c>
      <s:c r="I393" s="6" t="n"/>
      <s:c r="J393" s="6" t="str">
        <s:f>IF(AND(COUNT(C393:I393)=7,COUNT('Потребление (МВт·ч)'!C393:I393)=7,SUM('Потребление (МВт·ч)'!C393:I393)&gt;0),SUMPRODUCT(C393:I393,'Потребление (МВт·ч)'!C393:I393)/SUM('Потребление (МВт·ч)'!C393:I393),"")</s:f>
      </s:c>
      <s:c r="K393" s="6" t="n">
        <s:f>IF(SUMIF(C393:I393,"&lt;&gt;",'Потребление (МВт·ч)'!C393:I393)&gt;0,SUMPRODUCT(C393:I393,'Потребление (МВт·ч)'!C393:I393)/SUMIF(C393:I393,"&lt;&gt;",'Потребление (МВт·ч)'!C393:I393),"")</s:f>
        <s:v>1569.8098329573254</s:v>
      </s:c>
      <s:c r="L393" s="6" t="n">
        <s:f>IF(COUNT(C393:I393)&gt;0,AVERAGE(C393:I393),"")</s:f>
        <s:v>1583.5750858333333</s:v>
      </s:c>
      <s:c r="M393" s="10" t="n">
        <s:f>COUNT(C393:I393)</s:f>
        <s:v>6</s:v>
      </s:c>
      <s:c r="N393" s="11" t="n">
        <s:f>IF(AND(COUNT('Потребление (МВт·ч)'!C393:I393)=7,SUM('Потребление (МВт·ч)'!C393:I393)&gt;0),SUMIF(C393:I393,"&lt;&gt;",'Потребление (МВт·ч)'!C393:I393)/SUM('Потребление (МВт·ч)'!C393:I393),"")</s:f>
        <s:v>0.9517734186977894</s:v>
      </s:c>
    </s:row>
    <s:row r="394">
      <s:c r="A394" s="5" t="n">
        <s:v>46282</s:v>
      </s:c>
      <s:c r="B394" s="2" t="n">
        <s:v>5</s:v>
      </s:c>
      <s:c r="C394" s="6" t="n">
        <s:v>1431.62878</s:v>
      </s:c>
      <s:c r="D394" s="6" t="n">
        <s:v>1933.92078</s:v>
      </s:c>
      <s:c r="E394" s="6" t="n">
        <s:v>2015.99329</s:v>
      </s:c>
      <s:c r="F394" s="6" t="n">
        <s:v>2139.313</s:v>
      </s:c>
      <s:c r="G394" s="6" t="n">
        <s:v>1939.05627</s:v>
      </s:c>
      <s:c r="H394" s="6" t="n">
        <s:v>1542.5061</s:v>
      </s:c>
      <s:c r="I394" s="6" t="n"/>
      <s:c r="J394" s="6" t="str">
        <s:f>IF(AND(COUNT(C394:I394)=7,COUNT('Потребление (МВт·ч)'!C394:I394)=7,SUM('Потребление (МВт·ч)'!C394:I394)&gt;0),SUMPRODUCT(C394:I394,'Потребление (МВт·ч)'!C394:I394)/SUM('Потребление (МВт·ч)'!C394:I394),"")</s:f>
      </s:c>
      <s:c r="K394" s="6" t="n">
        <s:f>IF(SUMIF(C394:I394,"&lt;&gt;",'Потребление (МВт·ч)'!C394:I394)&gt;0,SUMPRODUCT(C394:I394,'Потребление (МВт·ч)'!C394:I394)/SUMIF(C394:I394,"&lt;&gt;",'Потребление (МВт·ч)'!C394:I394),"")</s:f>
        <s:v>1829.4186676633474</s:v>
      </s:c>
      <s:c r="L394" s="6" t="n">
        <s:f>IF(COUNT(C394:I394)&gt;0,AVERAGE(C394:I394),"")</s:f>
        <s:v>1833.7363700000003</s:v>
      </s:c>
      <s:c r="M394" s="10" t="n">
        <s:f>COUNT(C394:I394)</s:f>
        <s:v>6</s:v>
      </s:c>
      <s:c r="N394" s="11" t="n">
        <s:f>IF(AND(COUNT('Потребление (МВт·ч)'!C394:I394)=7,SUM('Потребление (МВт·ч)'!C394:I394)&gt;0),SUMIF(C394:I394,"&lt;&gt;",'Потребление (МВт·ч)'!C394:I394)/SUM('Потребление (МВт·ч)'!C394:I394),"")</s:f>
        <s:v>0.954746146831237</s:v>
      </s:c>
    </s:row>
    <s:row r="395">
      <s:c r="A395" s="5" t="n">
        <s:v>46282</s:v>
      </s:c>
      <s:c r="B395" s="2" t="n">
        <s:v>6</s:v>
      </s:c>
      <s:c r="C395" s="6" t="n">
        <s:v>1702.01624</s:v>
      </s:c>
      <s:c r="D395" s="6" t="n">
        <s:v>2156.69751</s:v>
      </s:c>
      <s:c r="E395" s="6" t="n">
        <s:v>2341.6582</s:v>
      </s:c>
      <s:c r="F395" s="6" t="n">
        <s:v>2434.94238</s:v>
      </s:c>
      <s:c r="G395" s="6" t="n">
        <s:v>2114.256</s:v>
      </s:c>
      <s:c r="H395" s="6" t="n">
        <s:v>1219.81982</s:v>
      </s:c>
      <s:c r="I395" s="6" t="n"/>
      <s:c r="J395" s="6" t="str">
        <s:f>IF(AND(COUNT(C395:I395)=7,COUNT('Потребление (МВт·ч)'!C395:I395)=7,SUM('Потребление (МВт·ч)'!C395:I395)&gt;0),SUMPRODUCT(C395:I395,'Потребление (МВт·ч)'!C395:I395)/SUM('Потребление (МВт·ч)'!C395:I395),"")</s:f>
      </s:c>
      <s:c r="K395" s="6" t="n">
        <s:f>IF(SUMIF(C395:I395,"&lt;&gt;",'Потребление (МВт·ч)'!C395:I395)&gt;0,SUMPRODUCT(C395:I395,'Потребление (МВт·ч)'!C395:I395)/SUMIF(C395:I395,"&lt;&gt;",'Потребление (МВт·ч)'!C395:I395),"")</s:f>
        <s:v>1947.3464632756227</s:v>
      </s:c>
      <s:c r="L395" s="6" t="n">
        <s:f>IF(COUNT(C395:I395)&gt;0,AVERAGE(C395:I395),"")</s:f>
        <s:v>1994.8983583333331</s:v>
      </s:c>
      <s:c r="M395" s="10" t="n">
        <s:f>COUNT(C395:I395)</s:f>
        <s:v>6</s:v>
      </s:c>
      <s:c r="N395" s="11" t="n">
        <s:f>IF(AND(COUNT('Потребление (МВт·ч)'!C395:I395)=7,SUM('Потребление (МВт·ч)'!C395:I395)&gt;0),SUMIF(C395:I395,"&lt;&gt;",'Потребление (МВт·ч)'!C395:I395)/SUM('Потребление (МВт·ч)'!C395:I395),"")</s:f>
        <s:v>0.9559435828042052</s:v>
      </s:c>
    </s:row>
    <s:row r="396">
      <s:c r="A396" s="5" t="n">
        <s:v>46282</s:v>
      </s:c>
      <s:c r="B396" s="2" t="n">
        <s:v>7</s:v>
      </s:c>
      <s:c r="C396" s="6" t="n">
        <s:v>1718.64551</s:v>
      </s:c>
      <s:c r="D396" s="6" t="n">
        <s:v>2422.7478</s:v>
      </s:c>
      <s:c r="E396" s="6" t="n">
        <s:v>2659.57056</s:v>
      </s:c>
      <s:c r="F396" s="6" t="n">
        <s:v>2661.24121</s:v>
      </s:c>
      <s:c r="G396" s="6" t="n">
        <s:v>2220.39819</s:v>
      </s:c>
      <s:c r="H396" s="6" t="n">
        <s:v>1007.0332</s:v>
      </s:c>
      <s:c r="I396" s="6" t="n"/>
      <s:c r="J396" s="6" t="str">
        <s:f>IF(AND(COUNT(C396:I396)=7,COUNT('Потребление (МВт·ч)'!C396:I396)=7,SUM('Потребление (МВт·ч)'!C396:I396)&gt;0),SUMPRODUCT(C396:I396,'Потребление (МВт·ч)'!C396:I396)/SUM('Потребление (МВт·ч)'!C396:I396),"")</s:f>
      </s:c>
      <s:c r="K396" s="6" t="n">
        <s:f>IF(SUMIF(C396:I396,"&lt;&gt;",'Потребление (МВт·ч)'!C396:I396)&gt;0,SUMPRODUCT(C396:I396,'Потребление (МВт·ч)'!C396:I396)/SUMIF(C396:I396,"&lt;&gt;",'Потребление (МВт·ч)'!C396:I396),"")</s:f>
        <s:v>2060.130336879556</s:v>
      </s:c>
      <s:c r="L396" s="6" t="n">
        <s:f>IF(COUNT(C396:I396)&gt;0,AVERAGE(C396:I396),"")</s:f>
        <s:v>2114.9394116666667</s:v>
      </s:c>
      <s:c r="M396" s="10" t="n">
        <s:f>COUNT(C396:I396)</s:f>
        <s:v>6</s:v>
      </s:c>
      <s:c r="N396" s="11" t="n">
        <s:f>IF(AND(COUNT('Потребление (МВт·ч)'!C396:I396)=7,SUM('Потребление (МВт·ч)'!C396:I396)&gt;0),SUMIF(C396:I396,"&lt;&gt;",'Потребление (МВт·ч)'!C396:I396)/SUM('Потребление (МВт·ч)'!C396:I396),"")</s:f>
        <s:v>0.9576122755118288</s:v>
      </s:c>
    </s:row>
    <s:row r="397">
      <s:c r="A397" s="5" t="n">
        <s:v>46282</s:v>
      </s:c>
      <s:c r="B397" s="2" t="n">
        <s:v>8</s:v>
      </s:c>
      <s:c r="C397" s="6" t="n">
        <s:v>2143.249</s:v>
      </s:c>
      <s:c r="D397" s="6" t="n">
        <s:v>2813.01514</s:v>
      </s:c>
      <s:c r="E397" s="6" t="n">
        <s:v>2825.339</s:v>
      </s:c>
      <s:c r="F397" s="6" t="n">
        <s:v>2880.13135</s:v>
      </s:c>
      <s:c r="G397" s="6" t="n">
        <s:v>2176.13281</s:v>
      </s:c>
      <s:c r="H397" s="6" t="n">
        <s:v>1074.76135</s:v>
      </s:c>
      <s:c r="I397" s="6" t="n"/>
      <s:c r="J397" s="6" t="str">
        <s:f>IF(AND(COUNT(C397:I397)=7,COUNT('Потребление (МВт·ч)'!C397:I397)=7,SUM('Потребление (МВт·ч)'!C397:I397)&gt;0),SUMPRODUCT(C397:I397,'Потребление (МВт·ч)'!C397:I397)/SUM('Потребление (МВт·ч)'!C397:I397),"")</s:f>
      </s:c>
      <s:c r="K397" s="6" t="n">
        <s:f>IF(SUMIF(C397:I397,"&lt;&gt;",'Потребление (МВт·ч)'!C397:I397)&gt;0,SUMPRODUCT(C397:I397,'Потребление (МВт·ч)'!C397:I397)/SUMIF(C397:I397,"&lt;&gt;",'Потребление (МВт·ч)'!C397:I397),"")</s:f>
        <s:v>2245.8034998633652</s:v>
      </s:c>
      <s:c r="L397" s="6" t="n">
        <s:f>IF(COUNT(C397:I397)&gt;0,AVERAGE(C397:I397),"")</s:f>
        <s:v>2318.7714416666663</s:v>
      </s:c>
      <s:c r="M397" s="10" t="n">
        <s:f>COUNT(C397:I397)</s:f>
        <s:v>6</s:v>
      </s:c>
      <s:c r="N397" s="11" t="n">
        <s:f>IF(AND(COUNT('Потребление (МВт·ч)'!C397:I397)=7,SUM('Потребление (МВт·ч)'!C397:I397)&gt;0),SUMIF(C397:I397,"&lt;&gt;",'Потребление (МВт·ч)'!C397:I397)/SUM('Потребление (МВт·ч)'!C397:I397),"")</s:f>
        <s:v>0.9591048376581041</s:v>
      </s:c>
    </s:row>
    <s:row r="398">
      <s:c r="A398" s="5" t="n">
        <s:v>46282</s:v>
      </s:c>
      <s:c r="B398" s="2" t="n">
        <s:v>9</s:v>
      </s:c>
      <s:c r="C398" s="6" t="n">
        <s:v>2149.79419</s:v>
      </s:c>
      <s:c r="D398" s="6" t="n">
        <s:v>2846.80054</s:v>
      </s:c>
      <s:c r="E398" s="6" t="n">
        <s:v>2752.70215</s:v>
      </s:c>
      <s:c r="F398" s="6" t="n">
        <s:v>2885.46924</s:v>
      </s:c>
      <s:c r="G398" s="6" t="n">
        <s:v>2167.34717</s:v>
      </s:c>
      <s:c r="H398" s="6" t="n">
        <s:v>1142.60181</s:v>
      </s:c>
      <s:c r="I398" s="6" t="n"/>
      <s:c r="J398" s="6" t="str">
        <s:f>IF(AND(COUNT(C398:I398)=7,COUNT('Потребление (МВт·ч)'!C398:I398)=7,SUM('Потребление (МВт·ч)'!C398:I398)&gt;0),SUMPRODUCT(C398:I398,'Потребление (МВт·ч)'!C398:I398)/SUM('Потребление (МВт·ч)'!C398:I398),"")</s:f>
      </s:c>
      <s:c r="K398" s="6" t="n">
        <s:f>IF(SUMIF(C398:I398,"&lt;&gt;",'Потребление (МВт·ч)'!C398:I398)&gt;0,SUMPRODUCT(C398:I398,'Потребление (МВт·ч)'!C398:I398)/SUMIF(C398:I398,"&lt;&gt;",'Потребление (МВт·ч)'!C398:I398),"")</s:f>
        <s:v>2265.568566419487</s:v>
      </s:c>
      <s:c r="L398" s="6" t="n">
        <s:f>IF(COUNT(C398:I398)&gt;0,AVERAGE(C398:I398),"")</s:f>
        <s:v>2324.1191833333337</s:v>
      </s:c>
      <s:c r="M398" s="10" t="n">
        <s:f>COUNT(C398:I398)</s:f>
        <s:v>6</s:v>
      </s:c>
      <s:c r="N398" s="11" t="n">
        <s:f>IF(AND(COUNT('Потребление (МВт·ч)'!C398:I398)=7,SUM('Потребление (МВт·ч)'!C398:I398)&gt;0),SUMIF(C398:I398,"&lt;&gt;",'Потребление (МВт·ч)'!C398:I398)/SUM('Потребление (МВт·ч)'!C398:I398),"")</s:f>
        <s:v>0.9594518202668217</s:v>
      </s:c>
    </s:row>
    <s:row r="399">
      <s:c r="A399" s="5" t="n">
        <s:v>46282</s:v>
      </s:c>
      <s:c r="B399" s="2" t="n">
        <s:v>10</s:v>
      </s:c>
      <s:c r="C399" s="6" t="n">
        <s:v>1738.38538</s:v>
      </s:c>
      <s:c r="D399" s="6" t="n">
        <s:v>2758.50635</s:v>
      </s:c>
      <s:c r="E399" s="6" t="n">
        <s:v>2655.84863</s:v>
      </s:c>
      <s:c r="F399" s="6" t="n">
        <s:v>2783.48071</s:v>
      </s:c>
      <s:c r="G399" s="6" t="n">
        <s:v>2079.15771</s:v>
      </s:c>
      <s:c r="H399" s="6" t="n">
        <s:v>1248.06409</s:v>
      </s:c>
      <s:c r="I399" s="6" t="n"/>
      <s:c r="J399" s="6" t="str">
        <s:f>IF(AND(COUNT(C399:I399)=7,COUNT('Потребление (МВт·ч)'!C399:I399)=7,SUM('Потребление (МВт·ч)'!C399:I399)&gt;0),SUMPRODUCT(C399:I399,'Потребление (МВт·ч)'!C399:I399)/SUM('Потребление (МВт·ч)'!C399:I399),"")</s:f>
      </s:c>
      <s:c r="K399" s="6" t="n">
        <s:f>IF(SUMIF(C399:I399,"&lt;&gt;",'Потребление (МВт·ч)'!C399:I399)&gt;0,SUMPRODUCT(C399:I399,'Потребление (МВт·ч)'!C399:I399)/SUMIF(C399:I399,"&lt;&gt;",'Потребление (МВт·ч)'!C399:I399),"")</s:f>
        <s:v>2180.8838828735556</s:v>
      </s:c>
      <s:c r="L399" s="6" t="n">
        <s:f>IF(COUNT(C399:I399)&gt;0,AVERAGE(C399:I399),"")</s:f>
        <s:v>2210.5738116666666</s:v>
      </s:c>
      <s:c r="M399" s="10" t="n">
        <s:f>COUNT(C399:I399)</s:f>
        <s:v>6</s:v>
      </s:c>
      <s:c r="N399" s="11" t="n">
        <s:f>IF(AND(COUNT('Потребление (МВт·ч)'!C399:I399)=7,SUM('Потребление (МВт·ч)'!C399:I399)&gt;0),SUMIF(C399:I399,"&lt;&gt;",'Потребление (МВт·ч)'!C399:I399)/SUM('Потребление (МВт·ч)'!C399:I399),"")</s:f>
        <s:v>0.9595641782877743</s:v>
      </s:c>
    </s:row>
    <s:row r="400">
      <s:c r="A400" s="5" t="n">
        <s:v>46282</s:v>
      </s:c>
      <s:c r="B400" s="2" t="n">
        <s:v>11</s:v>
      </s:c>
      <s:c r="C400" s="6" t="n">
        <s:v>241.0365</s:v>
      </s:c>
      <s:c r="D400" s="6" t="n">
        <s:v>2768.12476</s:v>
      </s:c>
      <s:c r="E400" s="6" t="n">
        <s:v>2605.519</s:v>
      </s:c>
      <s:c r="F400" s="6" t="n">
        <s:v>2644.247</s:v>
      </s:c>
      <s:c r="G400" s="6" t="n">
        <s:v>1974.96765</s:v>
      </s:c>
      <s:c r="H400" s="6" t="n">
        <s:v>1444.21924</s:v>
      </s:c>
      <s:c r="I400" s="6" t="n"/>
      <s:c r="J400" s="6" t="str">
        <s:f>IF(AND(COUNT(C400:I400)=7,COUNT('Потребление (МВт·ч)'!C400:I400)=7,SUM('Потребление (МВт·ч)'!C400:I400)&gt;0),SUMPRODUCT(C400:I400,'Потребление (МВт·ч)'!C400:I400)/SUM('Потребление (МВт·ч)'!C400:I400),"")</s:f>
      </s:c>
      <s:c r="K400" s="6" t="n">
        <s:f>IF(SUMIF(C400:I400,"&lt;&gt;",'Потребление (МВт·ч)'!C400:I400)&gt;0,SUMPRODUCT(C400:I400,'Потребление (МВт·ч)'!C400:I400)/SUMIF(C400:I400,"&lt;&gt;",'Потребление (МВт·ч)'!C400:I400),"")</s:f>
        <s:v>2039.4095406501033</s:v>
      </s:c>
      <s:c r="L400" s="6" t="n">
        <s:f>IF(COUNT(C400:I400)&gt;0,AVERAGE(C400:I400),"")</s:f>
        <s:v>1946.3523583333335</s:v>
      </s:c>
      <s:c r="M400" s="10" t="n">
        <s:f>COUNT(C400:I400)</s:f>
        <s:v>6</s:v>
      </s:c>
      <s:c r="N400" s="11" t="n">
        <s:f>IF(AND(COUNT('Потребление (МВт·ч)'!C400:I400)=7,SUM('Потребление (МВт·ч)'!C400:I400)&gt;0),SUMIF(C400:I400,"&lt;&gt;",'Потребление (МВт·ч)'!C400:I400)/SUM('Потребление (МВт·ч)'!C400:I400),"")</s:f>
        <s:v>0.9580487963883502</s:v>
      </s:c>
    </s:row>
    <s:row r="401">
      <s:c r="A401" s="5" t="n">
        <s:v>46282</s:v>
      </s:c>
      <s:c r="B401" s="2" t="n">
        <s:v>12</s:v>
      </s:c>
      <s:c r="C401" s="6" t="n">
        <s:v>237.7197</s:v>
      </s:c>
      <s:c r="D401" s="6" t="n">
        <s:v>2756.453</s:v>
      </s:c>
      <s:c r="E401" s="6" t="n">
        <s:v>2717.23975</s:v>
      </s:c>
      <s:c r="F401" s="6" t="n">
        <s:v>2645.305</s:v>
      </s:c>
      <s:c r="G401" s="6" t="n">
        <s:v>2008.138</s:v>
      </s:c>
      <s:c r="H401" s="6" t="n">
        <s:v>1508.67017</s:v>
      </s:c>
      <s:c r="I401" s="6" t="n"/>
      <s:c r="J401" s="6" t="str">
        <s:f>IF(AND(COUNT(C401:I401)=7,COUNT('Потребление (МВт·ч)'!C401:I401)=7,SUM('Потребление (МВт·ч)'!C401:I401)&gt;0),SUMPRODUCT(C401:I401,'Потребление (МВт·ч)'!C401:I401)/SUM('Потребление (МВт·ч)'!C401:I401),"")</s:f>
      </s:c>
      <s:c r="K401" s="6" t="n">
        <s:f>IF(SUMIF(C401:I401,"&lt;&gt;",'Потребление (МВт·ч)'!C401:I401)&gt;0,SUMPRODUCT(C401:I401,'Потребление (МВт·ч)'!C401:I401)/SUMIF(C401:I401,"&lt;&gt;",'Потребление (МВт·ч)'!C401:I401),"")</s:f>
        <s:v>2072.323339173203</s:v>
      </s:c>
      <s:c r="L401" s="6" t="n">
        <s:f>IF(COUNT(C401:I401)&gt;0,AVERAGE(C401:I401),"")</s:f>
        <s:v>1978.9209366666664</s:v>
      </s:c>
      <s:c r="M401" s="10" t="n">
        <s:f>COUNT(C401:I401)</s:f>
        <s:v>6</s:v>
      </s:c>
      <s:c r="N401" s="11" t="n">
        <s:f>IF(AND(COUNT('Потребление (МВт·ч)'!C401:I401)=7,SUM('Потребление (МВт·ч)'!C401:I401)&gt;0),SUMIF(C401:I401,"&lt;&gt;",'Потребление (МВт·ч)'!C401:I401)/SUM('Потребление (МВт·ч)'!C401:I401),"")</s:f>
        <s:v>0.9573591437696565</s:v>
      </s:c>
    </s:row>
    <s:row r="402">
      <s:c r="A402" s="5" t="n">
        <s:v>46282</s:v>
      </s:c>
      <s:c r="B402" s="2" t="n">
        <s:v>13</s:v>
      </s:c>
      <s:c r="C402" s="6" t="n">
        <s:v>237.574417</s:v>
      </s:c>
      <s:c r="D402" s="6" t="n">
        <s:v>2845.744</s:v>
      </s:c>
      <s:c r="E402" s="6" t="n">
        <s:v>2679.33374</s:v>
      </s:c>
      <s:c r="F402" s="6" t="n">
        <s:v>2772.36548</s:v>
      </s:c>
      <s:c r="G402" s="6" t="n">
        <s:v>2277.39526</s:v>
      </s:c>
      <s:c r="H402" s="6" t="n">
        <s:v>1420.95728</s:v>
      </s:c>
      <s:c r="I402" s="6" t="n"/>
      <s:c r="J402" s="6" t="str">
        <s:f>IF(AND(COUNT(C402:I402)=7,COUNT('Потребление (МВт·ч)'!C402:I402)=7,SUM('Потребление (МВт·ч)'!C402:I402)&gt;0),SUMPRODUCT(C402:I402,'Потребление (МВт·ч)'!C402:I402)/SUM('Потребление (МВт·ч)'!C402:I402),"")</s:f>
      </s:c>
      <s:c r="K402" s="6" t="n">
        <s:f>IF(SUMIF(C402:I402,"&lt;&gt;",'Потребление (МВт·ч)'!C402:I402)&gt;0,SUMPRODUCT(C402:I402,'Потребление (МВт·ч)'!C402:I402)/SUMIF(C402:I402,"&lt;&gt;",'Потребление (МВт·ч)'!C402:I402),"")</s:f>
        <s:v>2150.1158709621964</s:v>
      </s:c>
      <s:c r="L402" s="6" t="n">
        <s:f>IF(COUNT(C402:I402)&gt;0,AVERAGE(C402:I402),"")</s:f>
        <s:v>2038.8950295000002</s:v>
      </s:c>
      <s:c r="M402" s="10" t="n">
        <s:f>COUNT(C402:I402)</s:f>
        <s:v>6</s:v>
      </s:c>
      <s:c r="N402" s="11" t="n">
        <s:f>IF(AND(COUNT('Потребление (МВт·ч)'!C402:I402)=7,SUM('Потребление (МВт·ч)'!C402:I402)&gt;0),SUMIF(C402:I402,"&lt;&gt;",'Потребление (МВт·ч)'!C402:I402)/SUM('Потребление (МВт·ч)'!C402:I402),"")</s:f>
        <s:v>0.9567114665541938</s:v>
      </s:c>
    </s:row>
    <s:row r="403">
      <s:c r="A403" s="5" t="n">
        <s:v>46282</s:v>
      </s:c>
      <s:c r="B403" s="2" t="n">
        <s:v>14</s:v>
      </s:c>
      <s:c r="C403" s="6" t="n">
        <s:v>240.144058</s:v>
      </s:c>
      <s:c r="D403" s="6" t="n">
        <s:v>2799.02563</s:v>
      </s:c>
      <s:c r="E403" s="6" t="n">
        <s:v>2624.577</s:v>
      </s:c>
      <s:c r="F403" s="6" t="n">
        <s:v>2733.39136</s:v>
      </s:c>
      <s:c r="G403" s="6" t="n">
        <s:v>2266.62964</s:v>
      </s:c>
      <s:c r="H403" s="6" t="n">
        <s:v>1318.15039</s:v>
      </s:c>
      <s:c r="I403" s="6" t="n"/>
      <s:c r="J403" s="6" t="str">
        <s:f>IF(AND(COUNT(C403:I403)=7,COUNT('Потребление (МВт·ч)'!C403:I403)=7,SUM('Потребление (МВт·ч)'!C403:I403)&gt;0),SUMPRODUCT(C403:I403,'Потребление (МВт·ч)'!C403:I403)/SUM('Потребление (МВт·ч)'!C403:I403),"")</s:f>
      </s:c>
      <s:c r="K403" s="6" t="n">
        <s:f>IF(SUMIF(C403:I403,"&lt;&gt;",'Потребление (МВт·ч)'!C403:I403)&gt;0,SUMPRODUCT(C403:I403,'Потребление (МВт·ч)'!C403:I403)/SUMIF(C403:I403,"&lt;&gt;",'Потребление (МВт·ч)'!C403:I403),"")</s:f>
        <s:v>2098.5098868762657</s:v>
      </s:c>
      <s:c r="L403" s="6" t="n">
        <s:f>IF(COUNT(C403:I403)&gt;0,AVERAGE(C403:I403),"")</s:f>
        <s:v>1996.9863463333334</s:v>
      </s:c>
      <s:c r="M403" s="10" t="n">
        <s:f>COUNT(C403:I403)</s:f>
        <s:v>6</s:v>
      </s:c>
      <s:c r="N403" s="11" t="n">
        <s:f>IF(AND(COUNT('Потребление (МВт·ч)'!C403:I403)=7,SUM('Потребление (МВт·ч)'!C403:I403)&gt;0),SUMIF(C403:I403,"&lt;&gt;",'Потребление (МВт·ч)'!C403:I403)/SUM('Потребление (МВт·ч)'!C403:I403),"")</s:f>
        <s:v>0.9579860603402057</s:v>
      </s:c>
    </s:row>
    <s:row r="404">
      <s:c r="A404" s="5" t="n">
        <s:v>46282</s:v>
      </s:c>
      <s:c r="B404" s="2" t="n">
        <s:v>15</s:v>
      </s:c>
      <s:c r="C404" s="6" t="n">
        <s:v>236.58255</s:v>
      </s:c>
      <s:c r="D404" s="6" t="n">
        <s:v>2693.48657</s:v>
      </s:c>
      <s:c r="E404" s="6" t="n">
        <s:v>2715.815</s:v>
      </s:c>
      <s:c r="F404" s="6" t="n">
        <s:v>2592.49756</s:v>
      </s:c>
      <s:c r="G404" s="6" t="n">
        <s:v>2010.58313</s:v>
      </s:c>
      <s:c r="H404" s="6" t="n">
        <s:v>1255.34741</s:v>
      </s:c>
      <s:c r="I404" s="6" t="n"/>
      <s:c r="J404" s="6" t="str">
        <s:f>IF(AND(COUNT(C404:I404)=7,COUNT('Потребление (МВт·ч)'!C404:I404)=7,SUM('Потребление (МВт·ч)'!C404:I404)&gt;0),SUMPRODUCT(C404:I404,'Потребление (МВт·ч)'!C404:I404)/SUM('Потребление (МВт·ч)'!C404:I404),"")</s:f>
      </s:c>
      <s:c r="K404" s="6" t="n">
        <s:f>IF(SUMIF(C404:I404,"&lt;&gt;",'Потребление (МВт·ч)'!C404:I404)&gt;0,SUMPRODUCT(C404:I404,'Потребление (МВт·ч)'!C404:I404)/SUMIF(C404:I404,"&lt;&gt;",'Потребление (МВт·ч)'!C404:I404),"")</s:f>
        <s:v>1990.9960275567296</s:v>
      </s:c>
      <s:c r="L404" s="6" t="n">
        <s:f>IF(COUNT(C404:I404)&gt;0,AVERAGE(C404:I404),"")</s:f>
        <s:v>1917.3853700000002</s:v>
      </s:c>
      <s:c r="M404" s="10" t="n">
        <s:f>COUNT(C404:I404)</s:f>
        <s:v>6</s:v>
      </s:c>
      <s:c r="N404" s="11" t="n">
        <s:f>IF(AND(COUNT('Потребление (МВт·ч)'!C404:I404)=7,SUM('Потребление (МВт·ч)'!C404:I404)&gt;0),SUMIF(C404:I404,"&lt;&gt;",'Потребление (МВт·ч)'!C404:I404)/SUM('Потребление (МВт·ч)'!C404:I404),"")</s:f>
        <s:v>0.9596372586698939</s:v>
      </s:c>
    </s:row>
    <s:row r="405">
      <s:c r="A405" s="5" t="n">
        <s:v>46282</s:v>
      </s:c>
      <s:c r="B405" s="2" t="n">
        <s:v>16</s:v>
      </s:c>
      <s:c r="C405" s="6" t="n">
        <s:v>224.030426</s:v>
      </s:c>
      <s:c r="D405" s="6" t="n">
        <s:v>2664.12573</s:v>
      </s:c>
      <s:c r="E405" s="6" t="n">
        <s:v>2508.09546</s:v>
      </s:c>
      <s:c r="F405" s="6" t="n">
        <s:v>2561.7312</s:v>
      </s:c>
      <s:c r="G405" s="6" t="n">
        <s:v>2174.95313</s:v>
      </s:c>
      <s:c r="H405" s="6" t="n">
        <s:v>1154.03027</s:v>
      </s:c>
      <s:c r="I405" s="6" t="n"/>
      <s:c r="J405" s="6" t="str">
        <s:f>IF(AND(COUNT(C405:I405)=7,COUNT('Потребление (МВт·ч)'!C405:I405)=7,SUM('Потребление (МВт·ч)'!C405:I405)&gt;0),SUMPRODUCT(C405:I405,'Потребление (МВт·ч)'!C405:I405)/SUM('Потребление (МВт·ч)'!C405:I405),"")</s:f>
      </s:c>
      <s:c r="K405" s="6" t="n">
        <s:f>IF(SUMIF(C405:I405,"&lt;&gt;",'Потребление (МВт·ч)'!C405:I405)&gt;0,SUMPRODUCT(C405:I405,'Потребление (МВт·ч)'!C405:I405)/SUMIF(C405:I405,"&lt;&gt;",'Потребление (МВт·ч)'!C405:I405),"")</s:f>
        <s:v>1977.0367656401563</s:v>
      </s:c>
      <s:c r="L405" s="6" t="n">
        <s:f>IF(COUNT(C405:I405)&gt;0,AVERAGE(C405:I405),"")</s:f>
        <s:v>1881.1610359999997</s:v>
      </s:c>
      <s:c r="M405" s="10" t="n">
        <s:f>COUNT(C405:I405)</s:f>
        <s:v>6</s:v>
      </s:c>
      <s:c r="N405" s="11" t="n">
        <s:f>IF(AND(COUNT('Потребление (МВт·ч)'!C405:I405)=7,SUM('Потребление (МВт·ч)'!C405:I405)&gt;0),SUMIF(C405:I405,"&lt;&gt;",'Потребление (МВт·ч)'!C405:I405)/SUM('Потребление (МВт·ч)'!C405:I405),"")</s:f>
        <s:v>0.9602048305035829</s:v>
      </s:c>
    </s:row>
    <s:row r="406">
      <s:c r="A406" s="5" t="n">
        <s:v>46282</s:v>
      </s:c>
      <s:c r="B406" s="2" t="n">
        <s:v>17</s:v>
      </s:c>
      <s:c r="C406" s="6" t="n">
        <s:v>232.174759</s:v>
      </s:c>
      <s:c r="D406" s="6" t="n">
        <s:v>2684.367</s:v>
      </s:c>
      <s:c r="E406" s="6" t="n">
        <s:v>2698.24365</s:v>
      </s:c>
      <s:c r="F406" s="6" t="n">
        <s:v>2587.139</s:v>
      </s:c>
      <s:c r="G406" s="6" t="n">
        <s:v>2022.83789</s:v>
      </s:c>
      <s:c r="H406" s="6" t="n">
        <s:v>956.4085690000001</s:v>
      </s:c>
      <s:c r="I406" s="6" t="n"/>
      <s:c r="J406" s="6" t="str">
        <s:f>IF(AND(COUNT(C406:I406)=7,COUNT('Потребление (МВт·ч)'!C406:I406)=7,SUM('Потребление (МВт·ч)'!C406:I406)&gt;0),SUMPRODUCT(C406:I406,'Потребление (МВт·ч)'!C406:I406)/SUM('Потребление (МВт·ч)'!C406:I406),"")</s:f>
      </s:c>
      <s:c r="K406" s="6" t="n">
        <s:f>IF(SUMIF(C406:I406,"&lt;&gt;",'Потребление (МВт·ч)'!C406:I406)&gt;0,SUMPRODUCT(C406:I406,'Потребление (МВт·ч)'!C406:I406)/SUMIF(C406:I406,"&lt;&gt;",'Потребление (МВт·ч)'!C406:I406),"")</s:f>
        <s:v>1929.250717709998</s:v>
      </s:c>
      <s:c r="L406" s="6" t="n">
        <s:f>IF(COUNT(C406:I406)&gt;0,AVERAGE(C406:I406),"")</s:f>
        <s:v>1863.528478</s:v>
      </s:c>
      <s:c r="M406" s="10" t="n">
        <s:f>COUNT(C406:I406)</s:f>
        <s:v>6</s:v>
      </s:c>
      <s:c r="N406" s="11" t="n">
        <s:f>IF(AND(COUNT('Потребление (МВт·ч)'!C406:I406)=7,SUM('Потребление (МВт·ч)'!C406:I406)&gt;0),SUMIF(C406:I406,"&lt;&gt;",'Потребление (МВт·ч)'!C406:I406)/SUM('Потребление (МВт·ч)'!C406:I406),"")</s:f>
        <s:v>0.9632206023828905</s:v>
      </s:c>
    </s:row>
    <s:row r="407">
      <s:c r="A407" s="5" t="n">
        <s:v>46282</s:v>
      </s:c>
      <s:c r="B407" s="2" t="n">
        <s:v>18</s:v>
      </s:c>
      <s:c r="C407" s="6" t="n">
        <s:v>418.430634</s:v>
      </s:c>
      <s:c r="D407" s="6" t="n">
        <s:v>2736.95923</s:v>
      </s:c>
      <s:c r="E407" s="6" t="n">
        <s:v>3851.48779</s:v>
      </s:c>
      <s:c r="F407" s="6" t="n">
        <s:v>2679.71729</s:v>
      </s:c>
      <s:c r="G407" s="6" t="n">
        <s:v>2227.65283</s:v>
      </s:c>
      <s:c r="H407" s="6" t="n">
        <s:v>974.326233</s:v>
      </s:c>
      <s:c r="I407" s="6" t="n"/>
      <s:c r="J407" s="6" t="str">
        <s:f>IF(AND(COUNT(C407:I407)=7,COUNT('Потребление (МВт·ч)'!C407:I407)=7,SUM('Потребление (МВт·ч)'!C407:I407)&gt;0),SUMPRODUCT(C407:I407,'Потребление (МВт·ч)'!C407:I407)/SUM('Потребление (МВт·ч)'!C407:I407),"")</s:f>
      </s:c>
      <s:c r="K407" s="6" t="n">
        <s:f>IF(SUMIF(C407:I407,"&lt;&gt;",'Потребление (МВт·ч)'!C407:I407)&gt;0,SUMPRODUCT(C407:I407,'Потребление (МВт·ч)'!C407:I407)/SUMIF(C407:I407,"&lt;&gt;",'Потребление (МВт·ч)'!C407:I407),"")</s:f>
        <s:v>2160.600446928973</s:v>
      </s:c>
      <s:c r="L407" s="6" t="n">
        <s:f>IF(COUNT(C407:I407)&gt;0,AVERAGE(C407:I407),"")</s:f>
        <s:v>2148.095667833333</s:v>
      </s:c>
      <s:c r="M407" s="10" t="n">
        <s:f>COUNT(C407:I407)</s:f>
        <s:v>6</s:v>
      </s:c>
      <s:c r="N407" s="11" t="n">
        <s:f>IF(AND(COUNT('Потребление (МВт·ч)'!C407:I407)=7,SUM('Потребление (МВт·ч)'!C407:I407)&gt;0),SUMIF(C407:I407,"&lt;&gt;",'Потребление (МВт·ч)'!C407:I407)/SUM('Потребление (МВт·ч)'!C407:I407),"")</s:f>
        <s:v>0.9632446134347274</s:v>
      </s:c>
    </s:row>
    <s:row r="408">
      <s:c r="A408" s="5" t="n">
        <s:v>46282</s:v>
      </s:c>
      <s:c r="B408" s="2" t="n">
        <s:v>19</s:v>
      </s:c>
      <s:c r="C408" s="6" t="n">
        <s:v>2187.259</s:v>
      </s:c>
      <s:c r="D408" s="6" t="n">
        <s:v>2618.857</s:v>
      </s:c>
      <s:c r="E408" s="6" t="n">
        <s:v>3874.07837</s:v>
      </s:c>
      <s:c r="F408" s="6" t="n">
        <s:v>2708.44873</s:v>
      </s:c>
      <s:c r="G408" s="6" t="n">
        <s:v>2058.36328</s:v>
      </s:c>
      <s:c r="H408" s="6" t="n">
        <s:v>939.2139</s:v>
      </s:c>
      <s:c r="I408" s="6" t="n"/>
      <s:c r="J408" s="6" t="str">
        <s:f>IF(AND(COUNT(C408:I408)=7,COUNT('Потребление (МВт·ч)'!C408:I408)=7,SUM('Потребление (МВт·ч)'!C408:I408)&gt;0),SUMPRODUCT(C408:I408,'Потребление (МВт·ч)'!C408:I408)/SUM('Потребление (МВт·ч)'!C408:I408),"")</s:f>
      </s:c>
      <s:c r="K408" s="6" t="n">
        <s:f>IF(SUMIF(C408:I408,"&lt;&gt;",'Потребление (МВт·ч)'!C408:I408)&gt;0,SUMPRODUCT(C408:I408,'Потребление (МВт·ч)'!C408:I408)/SUMIF(C408:I408,"&lt;&gt;",'Потребление (МВт·ч)'!C408:I408),"")</s:f>
        <s:v>2261.7424996404643</s:v>
      </s:c>
      <s:c r="L408" s="6" t="n">
        <s:f>IF(COUNT(C408:I408)&gt;0,AVERAGE(C408:I408),"")</s:f>
        <s:v>2397.7033800000004</s:v>
      </s:c>
      <s:c r="M408" s="10" t="n">
        <s:f>COUNT(C408:I408)</s:f>
        <s:v>6</s:v>
      </s:c>
      <s:c r="N408" s="11" t="n">
        <s:f>IF(AND(COUNT('Потребление (МВт·ч)'!C408:I408)=7,SUM('Потребление (МВт·ч)'!C408:I408)&gt;0),SUMIF(C408:I408,"&lt;&gt;",'Потребление (МВт·ч)'!C408:I408)/SUM('Потребление (МВт·ч)'!C408:I408),"")</s:f>
        <s:v>0.9637023294166152</s:v>
      </s:c>
    </s:row>
    <s:row r="409">
      <s:c r="A409" s="5" t="n">
        <s:v>46282</s:v>
      </s:c>
      <s:c r="B409" s="2" t="n">
        <s:v>20</s:v>
      </s:c>
      <s:c r="C409" s="6" t="n">
        <s:v>425.663483</s:v>
      </s:c>
      <s:c r="D409" s="6" t="n">
        <s:v>2711.32813</s:v>
      </s:c>
      <s:c r="E409" s="6" t="n">
        <s:v>3899.23486</s:v>
      </s:c>
      <s:c r="F409" s="6" t="n">
        <s:v>2613.811</s:v>
      </s:c>
      <s:c r="G409" s="6" t="n">
        <s:v>1950.93787</s:v>
      </s:c>
      <s:c r="H409" s="6" t="n">
        <s:v>975.193665</s:v>
      </s:c>
      <s:c r="I409" s="6" t="n"/>
      <s:c r="J409" s="6" t="str">
        <s:f>IF(AND(COUNT(C409:I409)=7,COUNT('Потребление (МВт·ч)'!C409:I409)=7,SUM('Потребление (МВт·ч)'!C409:I409)&gt;0),SUMPRODUCT(C409:I409,'Потребление (МВт·ч)'!C409:I409)/SUM('Потребление (МВт·ч)'!C409:I409),"")</s:f>
      </s:c>
      <s:c r="K409" s="6" t="n">
        <s:f>IF(SUMIF(C409:I409,"&lt;&gt;",'Потребление (МВт·ч)'!C409:I409)&gt;0,SUMPRODUCT(C409:I409,'Потребление (МВт·ч)'!C409:I409)/SUMIF(C409:I409,"&lt;&gt;",'Потребление (МВт·ч)'!C409:I409),"")</s:f>
        <s:v>2087.2966413620597</s:v>
      </s:c>
      <s:c r="L409" s="6" t="n">
        <s:f>IF(COUNT(C409:I409)&gt;0,AVERAGE(C409:I409),"")</s:f>
        <s:v>2096.0281680000003</s:v>
      </s:c>
      <s:c r="M409" s="10" t="n">
        <s:f>COUNT(C409:I409)</s:f>
        <s:v>6</s:v>
      </s:c>
      <s:c r="N409" s="11" t="n">
        <s:f>IF(AND(COUNT('Потребление (МВт·ч)'!C409:I409)=7,SUM('Потребление (МВт·ч)'!C409:I409)&gt;0),SUMIF(C409:I409,"&lt;&gt;",'Потребление (МВт·ч)'!C409:I409)/SUM('Потребление (МВт·ч)'!C409:I409),"")</s:f>
        <s:v>0.9631616746229563</s:v>
      </s:c>
    </s:row>
    <s:row r="410">
      <s:c r="A410" s="5" t="n">
        <s:v>46282</s:v>
      </s:c>
      <s:c r="B410" s="2" t="n">
        <s:v>21</s:v>
      </s:c>
      <s:c r="C410" s="6" t="n">
        <s:v>1686.53931</s:v>
      </s:c>
      <s:c r="D410" s="6" t="n">
        <s:v>2319.821</s:v>
      </s:c>
      <s:c r="E410" s="6" t="n">
        <s:v>2808.46313</s:v>
      </s:c>
      <s:c r="F410" s="6" t="n">
        <s:v>2372.61328</s:v>
      </s:c>
      <s:c r="G410" s="6" t="n">
        <s:v>1933.026</s:v>
      </s:c>
      <s:c r="H410" s="6" t="n">
        <s:v>944.732544</s:v>
      </s:c>
      <s:c r="I410" s="6" t="n"/>
      <s:c r="J410" s="6" t="str">
        <s:f>IF(AND(COUNT(C410:I410)=7,COUNT('Потребление (МВт·ч)'!C410:I410)=7,SUM('Потребление (МВт·ч)'!C410:I410)&gt;0),SUMPRODUCT(C410:I410,'Потребление (МВт·ч)'!C410:I410)/SUM('Потребление (МВт·ч)'!C410:I410),"")</s:f>
      </s:c>
      <s:c r="K410" s="6" t="n">
        <s:f>IF(SUMIF(C410:I410,"&lt;&gt;",'Потребление (МВт·ч)'!C410:I410)&gt;0,SUMPRODUCT(C410:I410,'Потребление (МВт·ч)'!C410:I410)/SUMIF(C410:I410,"&lt;&gt;",'Потребление (МВт·ч)'!C410:I410),"")</s:f>
        <s:v>1947.4255570479622</s:v>
      </s:c>
      <s:c r="L410" s="6" t="n">
        <s:f>IF(COUNT(C410:I410)&gt;0,AVERAGE(C410:I410),"")</s:f>
        <s:v>2010.8658773333334</s:v>
      </s:c>
      <s:c r="M410" s="10" t="n">
        <s:f>COUNT(C410:I410)</s:f>
        <s:v>6</s:v>
      </s:c>
      <s:c r="N410" s="11" t="n">
        <s:f>IF(AND(COUNT('Потребление (МВт·ч)'!C410:I410)=7,SUM('Потребление (МВт·ч)'!C410:I410)&gt;0),SUMIF(C410:I410,"&lt;&gt;",'Потребление (МВт·ч)'!C410:I410)/SUM('Потребление (МВт·ч)'!C410:I410),"")</s:f>
        <s:v>0.9609962609849833</s:v>
      </s:c>
    </s:row>
    <s:row r="411">
      <s:c r="A411" s="5" t="n">
        <s:v>46282</s:v>
      </s:c>
      <s:c r="B411" s="2" t="n">
        <s:v>22</s:v>
      </s:c>
      <s:c r="C411" s="6" t="n">
        <s:v>1586.1875</s:v>
      </s:c>
      <s:c r="D411" s="6" t="n">
        <s:v>1828.30371</s:v>
      </s:c>
      <s:c r="E411" s="6" t="n">
        <s:v>1981.42236</s:v>
      </s:c>
      <s:c r="F411" s="6" t="n">
        <s:v>1899.766</s:v>
      </s:c>
      <s:c r="G411" s="6" t="n">
        <s:v>1639.78674</s:v>
      </s:c>
      <s:c r="H411" s="6" t="n">
        <s:v>813.3565</s:v>
      </s:c>
      <s:c r="I411" s="6" t="n"/>
      <s:c r="J411" s="6" t="str">
        <s:f>IF(AND(COUNT(C411:I411)=7,COUNT('Потребление (МВт·ч)'!C411:I411)=7,SUM('Потребление (МВт·ч)'!C411:I411)&gt;0),SUMPRODUCT(C411:I411,'Потребление (МВт·ч)'!C411:I411)/SUM('Потребление (МВт·ч)'!C411:I411),"")</s:f>
      </s:c>
      <s:c r="K411" s="6" t="n">
        <s:f>IF(SUMIF(C411:I411,"&lt;&gt;",'Потребление (МВт·ч)'!C411:I411)&gt;0,SUMPRODUCT(C411:I411,'Потребление (МВт·ч)'!C411:I411)/SUMIF(C411:I411,"&lt;&gt;",'Потребление (МВт·ч)'!C411:I411),"")</s:f>
        <s:v>1572.9264196877332</s:v>
      </s:c>
      <s:c r="L411" s="6" t="n">
        <s:f>IF(COUNT(C411:I411)&gt;0,AVERAGE(C411:I411),"")</s:f>
        <s:v>1624.8038016666667</s:v>
      </s:c>
      <s:c r="M411" s="10" t="n">
        <s:f>COUNT(C411:I411)</s:f>
        <s:v>6</s:v>
      </s:c>
      <s:c r="N411" s="11" t="n">
        <s:f>IF(AND(COUNT('Потребление (МВт·ч)'!C411:I411)=7,SUM('Потребление (МВт·ч)'!C411:I411)&gt;0),SUMIF(C411:I411,"&lt;&gt;",'Потребление (МВт·ч)'!C411:I411)/SUM('Потребление (МВт·ч)'!C411:I411),"")</s:f>
        <s:v>0.9598140243073493</s:v>
      </s:c>
    </s:row>
    <s:row r="412">
      <s:c r="A412" s="5" t="n">
        <s:v>46282</s:v>
      </s:c>
      <s:c r="B412" s="2" t="n">
        <s:v>23</s:v>
      </s:c>
      <s:c r="C412" s="6" t="n">
        <s:v>125.911316</s:v>
      </s:c>
      <s:c r="D412" s="6" t="n">
        <s:v>1589.16638</s:v>
      </s:c>
      <s:c r="E412" s="6" t="n">
        <s:v>1640.19946</s:v>
      </s:c>
      <s:c r="F412" s="6" t="n">
        <s:v>1567.59961</s:v>
      </s:c>
      <s:c r="G412" s="6" t="n">
        <s:v>1335.62012</s:v>
      </s:c>
      <s:c r="H412" s="6" t="n">
        <s:v>664.050659</s:v>
      </s:c>
      <s:c r="I412" s="6" t="n"/>
      <s:c r="J412" s="6" t="str">
        <s:f>IF(AND(COUNT(C412:I412)=7,COUNT('Потребление (МВт·ч)'!C412:I412)=7,SUM('Потребление (МВт·ч)'!C412:I412)&gt;0),SUMPRODUCT(C412:I412,'Потребление (МВт·ч)'!C412:I412)/SUM('Потребление (МВт·ч)'!C412:I412),"")</s:f>
      </s:c>
      <s:c r="K412" s="6" t="n">
        <s:f>IF(SUMIF(C412:I412,"&lt;&gt;",'Потребление (МВт·ч)'!C412:I412)&gt;0,SUMPRODUCT(C412:I412,'Потребление (МВт·ч)'!C412:I412)/SUMIF(C412:I412,"&lt;&gt;",'Потребление (МВт·ч)'!C412:I412),"")</s:f>
        <s:v>1190.768474456467</s:v>
      </s:c>
      <s:c r="L412" s="6" t="n">
        <s:f>IF(COUNT(C412:I412)&gt;0,AVERAGE(C412:I412),"")</s:f>
        <s:v>1153.757924166667</s:v>
      </s:c>
      <s:c r="M412" s="10" t="n">
        <s:f>COUNT(C412:I412)</s:f>
        <s:v>6</s:v>
      </s:c>
      <s:c r="N412" s="11" t="n">
        <s:f>IF(AND(COUNT('Потребление (МВт·ч)'!C412:I412)=7,SUM('Потребление (МВт·ч)'!C412:I412)&gt;0),SUMIF(C412:I412,"&lt;&gt;",'Потребление (МВт·ч)'!C412:I412)/SUM('Потребление (МВт·ч)'!C412:I412),"")</s:f>
        <s:v>0.9558505306741857</s:v>
      </s:c>
    </s:row>
    <s:row r="413">
      <s:c r="A413" s="5" t="n">
        <s:v>46283</s:v>
      </s:c>
      <s:c r="B413" s="2" t="n">
        <s:v>0</s:v>
      </s:c>
      <s:c r="C413" s="6" t="n">
        <s:v>1305.059</s:v>
      </s:c>
      <s:c r="D413" s="6" t="n">
        <s:v>1776.32129</s:v>
      </s:c>
      <s:c r="E413" s="6" t="n">
        <s:v>1888.12854</s:v>
      </s:c>
      <s:c r="F413" s="6" t="n">
        <s:v>1758.92114</s:v>
      </s:c>
      <s:c r="G413" s="6" t="n">
        <s:v>1602.37878</s:v>
      </s:c>
      <s:c r="H413" s="6" t="n">
        <s:v>806.3431</s:v>
      </s:c>
      <s:c r="I413" s="6" t="n"/>
      <s:c r="J413" s="6" t="str">
        <s:f>IF(AND(COUNT(C413:I413)=7,COUNT('Потребление (МВт·ч)'!C413:I413)=7,SUM('Потребление (МВт·ч)'!C413:I413)&gt;0),SUMPRODUCT(C413:I413,'Потребление (МВт·ч)'!C413:I413)/SUM('Потребление (МВт·ч)'!C413:I413),"")</s:f>
      </s:c>
      <s:c r="K413" s="6" t="n">
        <s:f>IF(SUMIF(C413:I413,"&lt;&gt;",'Потребление (МВт·ч)'!C413:I413)&gt;0,SUMPRODUCT(C413:I413,'Потребление (МВт·ч)'!C413:I413)/SUMIF(C413:I413,"&lt;&gt;",'Потребление (МВт·ч)'!C413:I413),"")</s:f>
        <s:v>1482.3884677122571</s:v>
      </s:c>
      <s:c r="L413" s="6" t="n">
        <s:f>IF(COUNT(C413:I413)&gt;0,AVERAGE(C413:I413),"")</s:f>
        <s:v>1522.8586416666667</s:v>
      </s:c>
      <s:c r="M413" s="10" t="n">
        <s:f>COUNT(C413:I413)</s:f>
        <s:v>6</s:v>
      </s:c>
      <s:c r="N413" s="11" t="n">
        <s:f>IF(AND(COUNT('Потребление (МВт·ч)'!C413:I413)=7,SUM('Потребление (МВт·ч)'!C413:I413)&gt;0),SUMIF(C413:I413,"&lt;&gt;",'Потребление (МВт·ч)'!C413:I413)/SUM('Потребление (МВт·ч)'!C413:I413),"")</s:f>
        <s:v>0.9534744806530829</s:v>
      </s:c>
    </s:row>
    <s:row r="414">
      <s:c r="A414" s="5" t="n">
        <s:v>46283</s:v>
      </s:c>
      <s:c r="B414" s="2" t="n">
        <s:v>1</s:v>
      </s:c>
      <s:c r="C414" s="6" t="n">
        <s:v>1293.40759</s:v>
      </s:c>
      <s:c r="D414" s="6" t="n">
        <s:v>1741.3009</s:v>
      </s:c>
      <s:c r="E414" s="6" t="n">
        <s:v>1824.03625</s:v>
      </s:c>
      <s:c r="F414" s="6" t="n">
        <s:v>1737.89771</s:v>
      </s:c>
      <s:c r="G414" s="6" t="n">
        <s:v>1615.87781</s:v>
      </s:c>
      <s:c r="H414" s="6" t="n">
        <s:v>812.4834</s:v>
      </s:c>
      <s:c r="I414" s="6" t="n"/>
      <s:c r="J414" s="6" t="str">
        <s:f>IF(AND(COUNT(C414:I414)=7,COUNT('Потребление (МВт·ч)'!C414:I414)=7,SUM('Потребление (МВт·ч)'!C414:I414)&gt;0),SUMPRODUCT(C414:I414,'Потребление (МВт·ч)'!C414:I414)/SUM('Потребление (МВт·ч)'!C414:I414),"")</s:f>
      </s:c>
      <s:c r="K414" s="6" t="n">
        <s:f>IF(SUMIF(C414:I414,"&lt;&gt;",'Потребление (МВт·ч)'!C414:I414)&gt;0,SUMPRODUCT(C414:I414,'Потребление (МВт·ч)'!C414:I414)/SUMIF(C414:I414,"&lt;&gt;",'Потребление (МВт·ч)'!C414:I414),"")</s:f>
        <s:v>1463.5099137384098</s:v>
      </s:c>
      <s:c r="L414" s="6" t="n">
        <s:f>IF(COUNT(C414:I414)&gt;0,AVERAGE(C414:I414),"")</s:f>
        <s:v>1504.1672766666668</s:v>
      </s:c>
      <s:c r="M414" s="10" t="n">
        <s:f>COUNT(C414:I414)</s:f>
        <s:v>6</s:v>
      </s:c>
      <s:c r="N414" s="11" t="n">
        <s:f>IF(AND(COUNT('Потребление (МВт·ч)'!C414:I414)=7,SUM('Потребление (МВт·ч)'!C414:I414)&gt;0),SUMIF(C414:I414,"&lt;&gt;",'Потребление (МВт·ч)'!C414:I414)/SUM('Потребление (МВт·ч)'!C414:I414),"")</s:f>
        <s:v>0.952404618090068</s:v>
      </s:c>
    </s:row>
    <s:row r="415">
      <s:c r="A415" s="5" t="n">
        <s:v>46283</s:v>
      </s:c>
      <s:c r="B415" s="2" t="n">
        <s:v>2</s:v>
      </s:c>
      <s:c r="C415" s="6" t="n">
        <s:v>1202.14246</s:v>
      </s:c>
      <s:c r="D415" s="6" t="n">
        <s:v>1625.27527</s:v>
      </s:c>
      <s:c r="E415" s="6" t="n">
        <s:v>1661.27856</s:v>
      </s:c>
      <s:c r="F415" s="6" t="n">
        <s:v>1721.48767</s:v>
      </s:c>
      <s:c r="G415" s="6" t="n">
        <s:v>1649.60608</s:v>
      </s:c>
      <s:c r="H415" s="6" t="n">
        <s:v>1077.93762</s:v>
      </s:c>
      <s:c r="I415" s="6" t="n"/>
      <s:c r="J415" s="6" t="str">
        <s:f>IF(AND(COUNT(C415:I415)=7,COUNT('Потребление (МВт·ч)'!C415:I415)=7,SUM('Потребление (МВт·ч)'!C415:I415)&gt;0),SUMPRODUCT(C415:I415,'Потребление (МВт·ч)'!C415:I415)/SUM('Потребление (МВт·ч)'!C415:I415),"")</s:f>
      </s:c>
      <s:c r="K415" s="6" t="n">
        <s:f>IF(SUMIF(C415:I415,"&lt;&gt;",'Потребление (МВт·ч)'!C415:I415)&gt;0,SUMPRODUCT(C415:I415,'Потребление (МВт·ч)'!C415:I415)/SUMIF(C415:I415,"&lt;&gt;",'Потребление (МВт·ч)'!C415:I415),"")</s:f>
        <s:v>1476.191708170536</s:v>
      </s:c>
      <s:c r="L415" s="6" t="n">
        <s:f>IF(COUNT(C415:I415)&gt;0,AVERAGE(C415:I415),"")</s:f>
        <s:v>1489.6212766666667</s:v>
      </s:c>
      <s:c r="M415" s="10" t="n">
        <s:f>COUNT(C415:I415)</s:f>
        <s:v>6</s:v>
      </s:c>
      <s:c r="N415" s="11" t="n">
        <s:f>IF(AND(COUNT('Потребление (МВт·ч)'!C415:I415)=7,SUM('Потребление (МВт·ч)'!C415:I415)&gt;0),SUMIF(C415:I415,"&lt;&gt;",'Потребление (МВт·ч)'!C415:I415)/SUM('Потребление (МВт·ч)'!C415:I415),"")</s:f>
        <s:v>0.9505366666347507</s:v>
      </s:c>
    </s:row>
    <s:row r="416">
      <s:c r="A416" s="5" t="n">
        <s:v>46283</s:v>
      </s:c>
      <s:c r="B416" s="2" t="n">
        <s:v>3</s:v>
      </s:c>
      <s:c r="C416" s="6" t="n">
        <s:v>1188.2804</s:v>
      </s:c>
      <s:c r="D416" s="6" t="n">
        <s:v>1609.70068</s:v>
      </s:c>
      <s:c r="E416" s="6" t="n">
        <s:v>1648.37085</s:v>
      </s:c>
      <s:c r="F416" s="6" t="n">
        <s:v>1713.75085</s:v>
      </s:c>
      <s:c r="G416" s="6" t="n">
        <s:v>1645.5144</s:v>
      </s:c>
      <s:c r="H416" s="6" t="n">
        <s:v>883.5105589999999</s:v>
      </s:c>
      <s:c r="I416" s="6" t="n"/>
      <s:c r="J416" s="6" t="str">
        <s:f>IF(AND(COUNT(C416:I416)=7,COUNT('Потребление (МВт·ч)'!C416:I416)=7,SUM('Потребление (МВт·ч)'!C416:I416)&gt;0),SUMPRODUCT(C416:I416,'Потребление (МВт·ч)'!C416:I416)/SUM('Потребление (МВт·ч)'!C416:I416),"")</s:f>
      </s:c>
      <s:c r="K416" s="6" t="n">
        <s:f>IF(SUMIF(C416:I416,"&lt;&gt;",'Потребление (МВт·ч)'!C416:I416)&gt;0,SUMPRODUCT(C416:I416,'Потребление (МВт·ч)'!C416:I416)/SUMIF(C416:I416,"&lt;&gt;",'Потребление (МВт·ч)'!C416:I416),"")</s:f>
        <s:v>1421.967680796361</s:v>
      </s:c>
      <s:c r="L416" s="6" t="n">
        <s:f>IF(COUNT(C416:I416)&gt;0,AVERAGE(C416:I416),"")</s:f>
        <s:v>1448.1879565</s:v>
      </s:c>
      <s:c r="M416" s="10" t="n">
        <s:f>COUNT(C416:I416)</s:f>
        <s:v>6</s:v>
      </s:c>
      <s:c r="N416" s="11" t="n">
        <s:f>IF(AND(COUNT('Потребление (МВт·ч)'!C416:I416)=7,SUM('Потребление (МВт·ч)'!C416:I416)&gt;0),SUMIF(C416:I416,"&lt;&gt;",'Потребление (МВт·ч)'!C416:I416)/SUM('Потребление (МВт·ч)'!C416:I416),"")</s:f>
        <s:v>0.950868783702816</s:v>
      </s:c>
    </s:row>
    <s:row r="417">
      <s:c r="A417" s="5" t="n">
        <s:v>46283</s:v>
      </s:c>
      <s:c r="B417" s="2" t="n">
        <s:v>4</s:v>
      </s:c>
      <s:c r="C417" s="6" t="n">
        <s:v>1323.47107</s:v>
      </s:c>
      <s:c r="D417" s="6" t="n">
        <s:v>1794.73438</s:v>
      </s:c>
      <s:c r="E417" s="6" t="n">
        <s:v>1871.279</s:v>
      </s:c>
      <s:c r="F417" s="6" t="n">
        <s:v>1940.54175</s:v>
      </s:c>
      <s:c r="G417" s="6" t="n">
        <s:v>1765.935</s:v>
      </s:c>
      <s:c r="H417" s="6" t="n">
        <s:v>1240.05615</s:v>
      </s:c>
      <s:c r="I417" s="6" t="n"/>
      <s:c r="J417" s="6" t="str">
        <s:f>IF(AND(COUNT(C417:I417)=7,COUNT('Потребление (МВт·ч)'!C417:I417)=7,SUM('Потребление (МВт·ч)'!C417:I417)&gt;0),SUMPRODUCT(C417:I417,'Потребление (МВт·ч)'!C417:I417)/SUM('Потребление (МВт·ч)'!C417:I417),"")</s:f>
      </s:c>
      <s:c r="K417" s="6" t="n">
        <s:f>IF(SUMIF(C417:I417,"&lt;&gt;",'Потребление (МВт·ч)'!C417:I417)&gt;0,SUMPRODUCT(C417:I417,'Потребление (МВт·ч)'!C417:I417)/SUMIF(C417:I417,"&lt;&gt;",'Потребление (МВт·ч)'!C417:I417),"")</s:f>
        <s:v>1636.0600021652858</s:v>
      </s:c>
      <s:c r="L417" s="6" t="n">
        <s:f>IF(COUNT(C417:I417)&gt;0,AVERAGE(C417:I417),"")</s:f>
        <s:v>1656.0028916666668</s:v>
      </s:c>
      <s:c r="M417" s="10" t="n">
        <s:f>COUNT(C417:I417)</s:f>
        <s:v>6</s:v>
      </s:c>
      <s:c r="N417" s="11" t="n">
        <s:f>IF(AND(COUNT('Потребление (МВт·ч)'!C417:I417)=7,SUM('Потребление (МВт·ч)'!C417:I417)&gt;0),SUMIF(C417:I417,"&lt;&gt;",'Потребление (МВт·ч)'!C417:I417)/SUM('Потребление (МВт·ч)'!C417:I417),"")</s:f>
        <s:v>0.9528942414849083</s:v>
      </s:c>
    </s:row>
    <s:row r="418">
      <s:c r="A418" s="5" t="n">
        <s:v>46283</s:v>
      </s:c>
      <s:c r="B418" s="2" t="n">
        <s:v>5</s:v>
      </s:c>
      <s:c r="C418" s="6" t="n">
        <s:v>1727.7666</s:v>
      </s:c>
      <s:c r="D418" s="6" t="n">
        <s:v>1960.68958</s:v>
      </s:c>
      <s:c r="E418" s="6" t="n">
        <s:v>2131.917</s:v>
      </s:c>
      <s:c r="F418" s="6" t="n">
        <s:v>2088.0376</s:v>
      </s:c>
      <s:c r="G418" s="6" t="n">
        <s:v>1848.72583</s:v>
      </s:c>
      <s:c r="H418" s="6" t="n">
        <s:v>1371.35034</s:v>
      </s:c>
      <s:c r="I418" s="6" t="n"/>
      <s:c r="J418" s="6" t="str">
        <s:f>IF(AND(COUNT(C418:I418)=7,COUNT('Потребление (МВт·ч)'!C418:I418)=7,SUM('Потребление (МВт·ч)'!C418:I418)&gt;0),SUMPRODUCT(C418:I418,'Потребление (МВт·ч)'!C418:I418)/SUM('Потребление (МВт·ч)'!C418:I418),"")</s:f>
      </s:c>
      <s:c r="K418" s="6" t="n">
        <s:f>IF(SUMIF(C418:I418,"&lt;&gt;",'Потребление (МВт·ч)'!C418:I418)&gt;0,SUMPRODUCT(C418:I418,'Потребление (МВт·ч)'!C418:I418)/SUMIF(C418:I418,"&lt;&gt;",'Потребление (МВт·ч)'!C418:I418),"")</s:f>
        <s:v>1803.8025780076307</s:v>
      </s:c>
      <s:c r="L418" s="6" t="n">
        <s:f>IF(COUNT(C418:I418)&gt;0,AVERAGE(C418:I418),"")</s:f>
        <s:v>1854.7478249999997</s:v>
      </s:c>
      <s:c r="M418" s="10" t="n">
        <s:f>COUNT(C418:I418)</s:f>
        <s:v>6</s:v>
      </s:c>
      <s:c r="N418" s="11" t="n">
        <s:f>IF(AND(COUNT('Потребление (МВт·ч)'!C418:I418)=7,SUM('Потребление (МВт·ч)'!C418:I418)&gt;0),SUMIF(C418:I418,"&lt;&gt;",'Потребление (МВт·ч)'!C418:I418)/SUM('Потребление (МВт·ч)'!C418:I418),"")</s:f>
        <s:v>0.9544976900081529</s:v>
      </s:c>
    </s:row>
    <s:row r="419">
      <s:c r="A419" s="5" t="n">
        <s:v>46283</s:v>
      </s:c>
      <s:c r="B419" s="2" t="n">
        <s:v>6</s:v>
      </s:c>
      <s:c r="C419" s="6" t="n">
        <s:v>2060.96069</s:v>
      </s:c>
      <s:c r="D419" s="6" t="n">
        <s:v>2372.642</s:v>
      </s:c>
      <s:c r="E419" s="6" t="n">
        <s:v>2529.30713</s:v>
      </s:c>
      <s:c r="F419" s="6" t="n">
        <s:v>2376.64941</s:v>
      </s:c>
      <s:c r="G419" s="6" t="n">
        <s:v>2035.76331</s:v>
      </s:c>
      <s:c r="H419" s="6" t="n">
        <s:v>1386.55542</s:v>
      </s:c>
      <s:c r="I419" s="6" t="n"/>
      <s:c r="J419" s="6" t="str">
        <s:f>IF(AND(COUNT(C419:I419)=7,COUNT('Потребление (МВт·ч)'!C419:I419)=7,SUM('Потребление (МВт·ч)'!C419:I419)&gt;0),SUMPRODUCT(C419:I419,'Потребление (МВт·ч)'!C419:I419)/SUM('Потребление (МВт·ч)'!C419:I419),"")</s:f>
      </s:c>
      <s:c r="K419" s="6" t="n">
        <s:f>IF(SUMIF(C419:I419,"&lt;&gt;",'Потребление (МВт·ч)'!C419:I419)&gt;0,SUMPRODUCT(C419:I419,'Потребление (МВт·ч)'!C419:I419)/SUMIF(C419:I419,"&lt;&gt;",'Потребление (МВт·ч)'!C419:I419),"")</s:f>
        <s:v>2056.211878092544</s:v>
      </s:c>
      <s:c r="L419" s="6" t="n">
        <s:f>IF(COUNT(C419:I419)&gt;0,AVERAGE(C419:I419),"")</s:f>
        <s:v>2126.97966</s:v>
      </s:c>
      <s:c r="M419" s="10" t="n">
        <s:f>COUNT(C419:I419)</s:f>
        <s:v>6</s:v>
      </s:c>
      <s:c r="N419" s="11" t="n">
        <s:f>IF(AND(COUNT('Потребление (МВт·ч)'!C419:I419)=7,SUM('Потребление (МВт·ч)'!C419:I419)&gt;0),SUMIF(C419:I419,"&lt;&gt;",'Потребление (МВт·ч)'!C419:I419)/SUM('Потребление (МВт·ч)'!C419:I419),"")</s:f>
        <s:v>0.9564199263287143</s:v>
      </s:c>
    </s:row>
    <s:row r="420">
      <s:c r="A420" s="5" t="n">
        <s:v>46283</s:v>
      </s:c>
      <s:c r="B420" s="2" t="n">
        <s:v>7</s:v>
      </s:c>
      <s:c r="C420" s="6" t="n">
        <s:v>2319.95459</s:v>
      </s:c>
      <s:c r="D420" s="6" t="n">
        <s:v>2650.92188</s:v>
      </s:c>
      <s:c r="E420" s="6" t="n">
        <s:v>2795.966</s:v>
      </s:c>
      <s:c r="F420" s="6" t="n">
        <s:v>2581.38721</s:v>
      </s:c>
      <s:c r="G420" s="6" t="n">
        <s:v>2117.73975</s:v>
      </s:c>
      <s:c r="H420" s="6" t="n">
        <s:v>1548.88086</s:v>
      </s:c>
      <s:c r="I420" s="6" t="n"/>
      <s:c r="J420" s="6" t="str">
        <s:f>IF(AND(COUNT(C420:I420)=7,COUNT('Потребление (МВт·ч)'!C420:I420)=7,SUM('Потребление (МВт·ч)'!C420:I420)&gt;0),SUMPRODUCT(C420:I420,'Потребление (МВт·ч)'!C420:I420)/SUM('Потребление (МВт·ч)'!C420:I420),"")</s:f>
      </s:c>
      <s:c r="K420" s="6" t="n">
        <s:f>IF(SUMIF(C420:I420,"&lt;&gt;",'Потребление (МВт·ч)'!C420:I420)&gt;0,SUMPRODUCT(C420:I420,'Потребление (МВт·ч)'!C420:I420)/SUMIF(C420:I420,"&lt;&gt;",'Потребление (МВт·ч)'!C420:I420),"")</s:f>
        <s:v>2262.517995697959</s:v>
      </s:c>
      <s:c r="L420" s="6" t="n">
        <s:f>IF(COUNT(C420:I420)&gt;0,AVERAGE(C420:I420),"")</s:f>
        <s:v>2335.8083816666667</s:v>
      </s:c>
      <s:c r="M420" s="10" t="n">
        <s:f>COUNT(C420:I420)</s:f>
        <s:v>6</s:v>
      </s:c>
      <s:c r="N420" s="11" t="n">
        <s:f>IF(AND(COUNT('Потребление (МВт·ч)'!C420:I420)=7,SUM('Потребление (МВт·ч)'!C420:I420)&gt;0),SUMIF(C420:I420,"&lt;&gt;",'Потребление (МВт·ч)'!C420:I420)/SUM('Потребление (МВт·ч)'!C420:I420),"")</s:f>
        <s:v>0.958081753283596</s:v>
      </s:c>
    </s:row>
    <s:row r="421">
      <s:c r="A421" s="5" t="n">
        <s:v>46283</s:v>
      </s:c>
      <s:c r="B421" s="2" t="n">
        <s:v>8</s:v>
      </s:c>
      <s:c r="C421" s="6" t="n">
        <s:v>549.3515</s:v>
      </s:c>
      <s:c r="D421" s="6" t="n">
        <s:v>2860.25415</s:v>
      </s:c>
      <s:c r="E421" s="6" t="n">
        <s:v>2994.94971</s:v>
      </s:c>
      <s:c r="F421" s="6" t="n">
        <s:v>2620.26367</s:v>
      </s:c>
      <s:c r="G421" s="6" t="n">
        <s:v>2115.346</s:v>
      </s:c>
      <s:c r="H421" s="6" t="n">
        <s:v>1520.76282</s:v>
      </s:c>
      <s:c r="I421" s="6" t="n"/>
      <s:c r="J421" s="6" t="str">
        <s:f>IF(AND(COUNT(C421:I421)=7,COUNT('Потребление (МВт·ч)'!C421:I421)=7,SUM('Потребление (МВт·ч)'!C421:I421)&gt;0),SUMPRODUCT(C421:I421,'Потребление (МВт·ч)'!C421:I421)/SUM('Потребление (МВт·ч)'!C421:I421),"")</s:f>
      </s:c>
      <s:c r="K421" s="6" t="n">
        <s:f>IF(SUMIF(C421:I421,"&lt;&gt;",'Потребление (МВт·ч)'!C421:I421)&gt;0,SUMPRODUCT(C421:I421,'Потребление (МВт·ч)'!C421:I421)/SUMIF(C421:I421,"&lt;&gt;",'Потребление (МВт·ч)'!C421:I421),"")</s:f>
        <s:v>2178.353542593488</s:v>
      </s:c>
      <s:c r="L421" s="6" t="n">
        <s:f>IF(COUNT(C421:I421)&gt;0,AVERAGE(C421:I421),"")</s:f>
        <s:v>2110.1546416666665</s:v>
      </s:c>
      <s:c r="M421" s="10" t="n">
        <s:f>COUNT(C421:I421)</s:f>
        <s:v>6</s:v>
      </s:c>
      <s:c r="N421" s="11" t="n">
        <s:f>IF(AND(COUNT('Потребление (МВт·ч)'!C421:I421)=7,SUM('Потребление (МВт·ч)'!C421:I421)&gt;0),SUMIF(C421:I421,"&lt;&gt;",'Потребление (МВт·ч)'!C421:I421)/SUM('Потребление (МВт·ч)'!C421:I421),"")</s:f>
        <s:v>0.959214501510574</s:v>
      </s:c>
    </s:row>
    <s:row r="422">
      <s:c r="A422" s="5" t="n">
        <s:v>46283</s:v>
      </s:c>
      <s:c r="B422" s="2" t="n">
        <s:v>9</s:v>
      </s:c>
      <s:c r="C422" s="6" t="n">
        <s:v>801.759949</s:v>
      </s:c>
      <s:c r="D422" s="6" t="n">
        <s:v>2923.47827</s:v>
      </s:c>
      <s:c r="E422" s="6" t="n">
        <s:v>2971.116</s:v>
      </s:c>
      <s:c r="F422" s="6" t="n">
        <s:v>2659.33472</s:v>
      </s:c>
      <s:c r="G422" s="6" t="n">
        <s:v>2131.47363</s:v>
      </s:c>
      <s:c r="H422" s="6" t="n">
        <s:v>1528.04834</s:v>
      </s:c>
      <s:c r="I422" s="6" t="n"/>
      <s:c r="J422" s="6" t="str">
        <s:f>IF(AND(COUNT(C422:I422)=7,COUNT('Потребление (МВт·ч)'!C422:I422)=7,SUM('Потребление (МВт·ч)'!C422:I422)&gt;0),SUMPRODUCT(C422:I422,'Потребление (МВт·ч)'!C422:I422)/SUM('Потребление (МВт·ч)'!C422:I422),"")</s:f>
      </s:c>
      <s:c r="K422" s="6" t="n">
        <s:f>IF(SUMIF(C422:I422,"&lt;&gt;",'Потребление (МВт·ч)'!C422:I422)&gt;0,SUMPRODUCT(C422:I422,'Потребление (МВт·ч)'!C422:I422)/SUMIF(C422:I422,"&lt;&gt;",'Потребление (МВт·ч)'!C422:I422),"")</s:f>
        <s:v>2226.8541537068936</s:v>
      </s:c>
      <s:c r="L422" s="6" t="n">
        <s:f>IF(COUNT(C422:I422)&gt;0,AVERAGE(C422:I422),"")</s:f>
        <s:v>2169.2018181666667</s:v>
      </s:c>
      <s:c r="M422" s="10" t="n">
        <s:f>COUNT(C422:I422)</s:f>
        <s:v>6</s:v>
      </s:c>
      <s:c r="N422" s="11" t="n">
        <s:f>IF(AND(COUNT('Потребление (МВт·ч)'!C422:I422)=7,SUM('Потребление (МВт·ч)'!C422:I422)&gt;0),SUMIF(C422:I422,"&lt;&gt;",'Потребление (МВт·ч)'!C422:I422)/SUM('Потребление (МВт·ч)'!C422:I422),"")</s:f>
        <s:v>0.9598071776351852</s:v>
      </s:c>
    </s:row>
    <s:row r="423">
      <s:c r="A423" s="5" t="n">
        <s:v>46283</s:v>
      </s:c>
      <s:c r="B423" s="2" t="n">
        <s:v>10</s:v>
      </s:c>
      <s:c r="C423" s="6" t="n">
        <s:v>2027.58142</s:v>
      </s:c>
      <s:c r="D423" s="6" t="n">
        <s:v>3091.63623</s:v>
      </s:c>
      <s:c r="E423" s="6" t="n">
        <s:v>2757.01147</s:v>
      </s:c>
      <s:c r="F423" s="6" t="n">
        <s:v>2785.92749</s:v>
      </s:c>
      <s:c r="G423" s="6" t="n">
        <s:v>2195.708</s:v>
      </s:c>
      <s:c r="H423" s="6" t="n">
        <s:v>1552.26672</s:v>
      </s:c>
      <s:c r="I423" s="6" t="n"/>
      <s:c r="J423" s="6" t="str">
        <s:f>IF(AND(COUNT(C423:I423)=7,COUNT('Потребление (МВт·ч)'!C423:I423)=7,SUM('Потребление (МВт·ч)'!C423:I423)&gt;0),SUMPRODUCT(C423:I423,'Потребление (МВт·ч)'!C423:I423)/SUM('Потребление (МВт·ч)'!C423:I423),"")</s:f>
      </s:c>
      <s:c r="K423" s="6" t="n">
        <s:f>IF(SUMIF(C423:I423,"&lt;&gt;",'Потребление (МВт·ч)'!C423:I423)&gt;0,SUMPRODUCT(C423:I423,'Потребление (МВт·ч)'!C423:I423)/SUMIF(C423:I423,"&lt;&gt;",'Потребление (МВт·ч)'!C423:I423),"")</s:f>
        <s:v>2398.600301241162</s:v>
      </s:c>
      <s:c r="L423" s="6" t="n">
        <s:f>IF(COUNT(C423:I423)&gt;0,AVERAGE(C423:I423),"")</s:f>
        <s:v>2401.688555</s:v>
      </s:c>
      <s:c r="M423" s="10" t="n">
        <s:f>COUNT(C423:I423)</s:f>
        <s:v>6</s:v>
      </s:c>
      <s:c r="N423" s="11" t="n">
        <s:f>IF(AND(COUNT('Потребление (МВт·ч)'!C423:I423)=7,SUM('Потребление (МВт·ч)'!C423:I423)&gt;0),SUMIF(C423:I423,"&lt;&gt;",'Потребление (МВт·ч)'!C423:I423)/SUM('Потребление (МВт·ч)'!C423:I423),"")</s:f>
        <s:v>0.9594969588435539</s:v>
      </s:c>
    </s:row>
    <s:row r="424">
      <s:c r="A424" s="5" t="n">
        <s:v>46283</s:v>
      </s:c>
      <s:c r="B424" s="2" t="n">
        <s:v>11</s:v>
      </s:c>
      <s:c r="C424" s="6" t="n">
        <s:v>1406.60864</s:v>
      </s:c>
      <s:c r="D424" s="6" t="n">
        <s:v>2972.43945</s:v>
      </s:c>
      <s:c r="E424" s="6" t="n">
        <s:v>2713.40381</s:v>
      </s:c>
      <s:c r="F424" s="6" t="n">
        <s:v>2675.01563</s:v>
      </s:c>
      <s:c r="G424" s="6" t="n">
        <s:v>2124.35986</s:v>
      </s:c>
      <s:c r="H424" s="6" t="n">
        <s:v>1710.47742</s:v>
      </s:c>
      <s:c r="I424" s="6" t="n"/>
      <s:c r="J424" s="6" t="str">
        <s:f>IF(AND(COUNT(C424:I424)=7,COUNT('Потребление (МВт·ч)'!C424:I424)=7,SUM('Потребление (МВт·ч)'!C424:I424)&gt;0),SUMPRODUCT(C424:I424,'Потребление (МВт·ч)'!C424:I424)/SUM('Потребление (МВт·ч)'!C424:I424),"")</s:f>
      </s:c>
      <s:c r="K424" s="6" t="n">
        <s:f>IF(SUMIF(C424:I424,"&lt;&gt;",'Потребление (МВт·ч)'!C424:I424)&gt;0,SUMPRODUCT(C424:I424,'Потребление (МВт·ч)'!C424:I424)/SUMIF(C424:I424,"&lt;&gt;",'Потребление (МВт·ч)'!C424:I424),"")</s:f>
        <s:v>2310.7805750828174</s:v>
      </s:c>
      <s:c r="L424" s="6" t="n">
        <s:f>IF(COUNT(C424:I424)&gt;0,AVERAGE(C424:I424),"")</s:f>
        <s:v>2267.0508016666668</s:v>
      </s:c>
      <s:c r="M424" s="10" t="n">
        <s:f>COUNT(C424:I424)</s:f>
        <s:v>6</s:v>
      </s:c>
      <s:c r="N424" s="11" t="n">
        <s:f>IF(AND(COUNT('Потребление (МВт·ч)'!C424:I424)=7,SUM('Потребление (МВт·ч)'!C424:I424)&gt;0),SUMIF(C424:I424,"&lt;&gt;",'Потребление (МВт·ч)'!C424:I424)/SUM('Потребление (МВт·ч)'!C424:I424),"")</s:f>
        <s:v>0.9598816741638959</s:v>
      </s:c>
    </s:row>
    <s:row r="425">
      <s:c r="A425" s="5" t="n">
        <s:v>46283</s:v>
      </s:c>
      <s:c r="B425" s="2" t="n">
        <s:v>12</s:v>
      </s:c>
      <s:c r="C425" s="6" t="n">
        <s:v>1452.76477</s:v>
      </s:c>
      <s:c r="D425" s="6" t="n">
        <s:v>2889.69263</s:v>
      </s:c>
      <s:c r="E425" s="6" t="n">
        <s:v>2582.57422</s:v>
      </s:c>
      <s:c r="F425" s="6" t="n">
        <s:v>2703.36719</s:v>
      </s:c>
      <s:c r="G425" s="6" t="n">
        <s:v>2140.096</s:v>
      </s:c>
      <s:c r="H425" s="6" t="n">
        <s:v>1806.64624</s:v>
      </s:c>
      <s:c r="I425" s="6" t="n"/>
      <s:c r="J425" s="6" t="str">
        <s:f>IF(AND(COUNT(C425:I425)=7,COUNT('Потребление (МВт·ч)'!C425:I425)=7,SUM('Потребление (МВт·ч)'!C425:I425)&gt;0),SUMPRODUCT(C425:I425,'Потребление (МВт·ч)'!C425:I425)/SUM('Потребление (МВт·ч)'!C425:I425),"")</s:f>
      </s:c>
      <s:c r="K425" s="6" t="n">
        <s:f>IF(SUMIF(C425:I425,"&lt;&gt;",'Потребление (МВт·ч)'!C425:I425)&gt;0,SUMPRODUCT(C425:I425,'Потребление (МВт·ч)'!C425:I425)/SUMIF(C425:I425,"&lt;&gt;",'Потребление (МВт·ч)'!C425:I425),"")</s:f>
        <s:v>2308.9384103401817</s:v>
      </s:c>
      <s:c r="L425" s="6" t="n">
        <s:f>IF(COUNT(C425:I425)&gt;0,AVERAGE(C425:I425),"")</s:f>
        <s:v>2262.523508333333</s:v>
      </s:c>
      <s:c r="M425" s="10" t="n">
        <s:f>COUNT(C425:I425)</s:f>
        <s:v>6</s:v>
      </s:c>
      <s:c r="N425" s="11" t="n">
        <s:f>IF(AND(COUNT('Потребление (МВт·ч)'!C425:I425)=7,SUM('Потребление (МВт·ч)'!C425:I425)&gt;0),SUMIF(C425:I425,"&lt;&gt;",'Потребление (МВт·ч)'!C425:I425)/SUM('Потребление (МВт·ч)'!C425:I425),"")</s:f>
        <s:v>0.9587023049876287</s:v>
      </s:c>
    </s:row>
    <s:row r="426">
      <s:c r="A426" s="5" t="n">
        <s:v>46283</s:v>
      </s:c>
      <s:c r="B426" s="2" t="n">
        <s:v>13</s:v>
      </s:c>
      <s:c r="C426" s="6" t="n">
        <s:v>1622.55115</s:v>
      </s:c>
      <s:c r="D426" s="6" t="n">
        <s:v>2907.308</s:v>
      </s:c>
      <s:c r="E426" s="6" t="n">
        <s:v>2590.63965</s:v>
      </s:c>
      <s:c r="F426" s="6" t="n">
        <s:v>2727.72583</s:v>
      </s:c>
      <s:c r="G426" s="6" t="n">
        <s:v>2151.53027</s:v>
      </s:c>
      <s:c r="H426" s="6" t="n">
        <s:v>1844.77649</s:v>
      </s:c>
      <s:c r="I426" s="6" t="n"/>
      <s:c r="J426" s="6" t="str">
        <s:f>IF(AND(COUNT(C426:I426)=7,COUNT('Потребление (МВт·ч)'!C426:I426)=7,SUM('Потребление (МВт·ч)'!C426:I426)&gt;0),SUMPRODUCT(C426:I426,'Потребление (МВт·ч)'!C426:I426)/SUM('Потребление (МВт·ч)'!C426:I426),"")</s:f>
      </s:c>
      <s:c r="K426" s="6" t="n">
        <s:f>IF(SUMIF(C426:I426,"&lt;&gt;",'Потребление (МВт·ч)'!C426:I426)&gt;0,SUMPRODUCT(C426:I426,'Потребление (МВт·ч)'!C426:I426)/SUMIF(C426:I426,"&lt;&gt;",'Потребление (МВт·ч)'!C426:I426),"")</s:f>
        <s:v>2340.7529805007507</s:v>
      </s:c>
      <s:c r="L426" s="6" t="n">
        <s:f>IF(COUNT(C426:I426)&gt;0,AVERAGE(C426:I426),"")</s:f>
        <s:v>2307.4218983333335</s:v>
      </s:c>
      <s:c r="M426" s="10" t="n">
        <s:f>COUNT(C426:I426)</s:f>
        <s:v>6</s:v>
      </s:c>
      <s:c r="N426" s="11" t="n">
        <s:f>IF(AND(COUNT('Потребление (МВт·ч)'!C426:I426)=7,SUM('Потребление (МВт·ч)'!C426:I426)&gt;0),SUMIF(C426:I426,"&lt;&gt;",'Потребление (МВт·ч)'!C426:I426)/SUM('Потребление (МВт·ч)'!C426:I426),"")</s:f>
        <s:v>0.9586509906024978</s:v>
      </s:c>
    </s:row>
    <s:row r="427">
      <s:c r="A427" s="5" t="n">
        <s:v>46283</s:v>
      </s:c>
      <s:c r="B427" s="2" t="n">
        <s:v>14</s:v>
      </s:c>
      <s:c r="C427" s="6" t="n">
        <s:v>1708.97412</s:v>
      </s:c>
      <s:c r="D427" s="6" t="n">
        <s:v>2883.21851</s:v>
      </s:c>
      <s:c r="E427" s="6" t="n">
        <s:v>2579.016</s:v>
      </s:c>
      <s:c r="F427" s="6" t="n">
        <s:v>2711.206</s:v>
      </s:c>
      <s:c r="G427" s="6" t="n">
        <s:v>2153.04175</s:v>
      </s:c>
      <s:c r="H427" s="6" t="n">
        <s:v>1927.76025</s:v>
      </s:c>
      <s:c r="I427" s="6" t="n"/>
      <s:c r="J427" s="6" t="str">
        <s:f>IF(AND(COUNT(C427:I427)=7,COUNT('Потребление (МВт·ч)'!C427:I427)=7,SUM('Потребление (МВт·ч)'!C427:I427)&gt;0),SUMPRODUCT(C427:I427,'Потребление (МВт·ч)'!C427:I427)/SUM('Потребление (МВт·ч)'!C427:I427),"")</s:f>
      </s:c>
      <s:c r="K427" s="6" t="n">
        <s:f>IF(SUMIF(C427:I427,"&lt;&gt;",'Потребление (МВт·ч)'!C427:I427)&gt;0,SUMPRODUCT(C427:I427,'Потребление (МВт·ч)'!C427:I427)/SUMIF(C427:I427,"&lt;&gt;",'Потребление (МВт·ч)'!C427:I427),"")</s:f>
        <s:v>2356.6461706549494</s:v>
      </s:c>
      <s:c r="L427" s="6" t="n">
        <s:f>IF(COUNT(C427:I427)&gt;0,AVERAGE(C427:I427),"")</s:f>
        <s:v>2327.2027716666666</s:v>
      </s:c>
      <s:c r="M427" s="10" t="n">
        <s:f>COUNT(C427:I427)</s:f>
        <s:v>6</s:v>
      </s:c>
      <s:c r="N427" s="11" t="n">
        <s:f>IF(AND(COUNT('Потребление (МВт·ч)'!C427:I427)=7,SUM('Потребление (МВт·ч)'!C427:I427)&gt;0),SUMIF(C427:I427,"&lt;&gt;",'Потребление (МВт·ч)'!C427:I427)/SUM('Потребление (МВт·ч)'!C427:I427),"")</s:f>
        <s:v>0.9589704300198872</s:v>
      </s:c>
    </s:row>
    <s:row r="428">
      <s:c r="A428" s="5" t="n">
        <s:v>46283</s:v>
      </s:c>
      <s:c r="B428" s="2" t="n">
        <s:v>15</s:v>
      </s:c>
      <s:c r="C428" s="6" t="n">
        <s:v>1909.48938</s:v>
      </s:c>
      <s:c r="D428" s="6" t="n">
        <s:v>2871.3457</s:v>
      </s:c>
      <s:c r="E428" s="6" t="n">
        <s:v>2587.734</s:v>
      </s:c>
      <s:c r="F428" s="6" t="n">
        <s:v>2627.53027</s:v>
      </s:c>
      <s:c r="G428" s="6" t="n">
        <s:v>2133.031</s:v>
      </s:c>
      <s:c r="H428" s="6" t="n">
        <s:v>1979.53308</s:v>
      </s:c>
      <s:c r="I428" s="6" t="n"/>
      <s:c r="J428" s="6" t="str">
        <s:f>IF(AND(COUNT(C428:I428)=7,COUNT('Потребление (МВт·ч)'!C428:I428)=7,SUM('Потребление (МВт·ч)'!C428:I428)&gt;0),SUMPRODUCT(C428:I428,'Потребление (МВт·ч)'!C428:I428)/SUM('Потребление (МВт·ч)'!C428:I428),"")</s:f>
      </s:c>
      <s:c r="K428" s="6" t="n">
        <s:f>IF(SUMIF(C428:I428,"&lt;&gt;",'Потребление (МВт·ч)'!C428:I428)&gt;0,SUMPRODUCT(C428:I428,'Потребление (МВт·ч)'!C428:I428)/SUMIF(C428:I428,"&lt;&gt;",'Потребление (МВт·ч)'!C428:I428),"")</s:f>
        <s:v>2368.7622989202764</s:v>
      </s:c>
      <s:c r="L428" s="6" t="n">
        <s:f>IF(COUNT(C428:I428)&gt;0,AVERAGE(C428:I428),"")</s:f>
        <s:v>2351.4439049999996</s:v>
      </s:c>
      <s:c r="M428" s="10" t="n">
        <s:f>COUNT(C428:I428)</s:f>
        <s:v>6</s:v>
      </s:c>
      <s:c r="N428" s="11" t="n">
        <s:f>IF(AND(COUNT('Потребление (МВт·ч)'!C428:I428)=7,SUM('Потребление (МВт·ч)'!C428:I428)&gt;0),SUMIF(C428:I428,"&lt;&gt;",'Потребление (МВт·ч)'!C428:I428)/SUM('Потребление (МВт·ч)'!C428:I428),"")</s:f>
        <s:v>0.9608024111540377</s:v>
      </s:c>
    </s:row>
    <s:row r="429">
      <s:c r="A429" s="5" t="n">
        <s:v>46283</s:v>
      </s:c>
      <s:c r="B429" s="2" t="n">
        <s:v>16</s:v>
      </s:c>
      <s:c r="C429" s="6" t="n">
        <s:v>473.1694</s:v>
      </s:c>
      <s:c r="D429" s="6" t="n">
        <s:v>2812.875</s:v>
      </s:c>
      <s:c r="E429" s="6" t="n">
        <s:v>2511.31445</s:v>
      </s:c>
      <s:c r="F429" s="6" t="n">
        <s:v>2554.76538</s:v>
      </s:c>
      <s:c r="G429" s="6" t="n">
        <s:v>2104.983</s:v>
      </s:c>
      <s:c r="H429" s="6" t="n">
        <s:v>1875.64514</s:v>
      </s:c>
      <s:c r="I429" s="6" t="n"/>
      <s:c r="J429" s="6" t="str">
        <s:f>IF(AND(COUNT(C429:I429)=7,COUNT('Потребление (МВт·ч)'!C429:I429)=7,SUM('Потребление (МВт·ч)'!C429:I429)&gt;0),SUMPRODUCT(C429:I429,'Потребление (МВт·ч)'!C429:I429)/SUM('Потребление (МВт·ч)'!C429:I429),"")</s:f>
      </s:c>
      <s:c r="K429" s="6" t="n">
        <s:f>IF(SUMIF(C429:I429,"&lt;&gt;",'Потребление (МВт·ч)'!C429:I429)&gt;0,SUMPRODUCT(C429:I429,'Потребление (МВт·ч)'!C429:I429)/SUMIF(C429:I429,"&lt;&gt;",'Потребление (МВт·ч)'!C429:I429),"")</s:f>
        <s:v>2175.5813393121484</s:v>
      </s:c>
      <s:c r="L429" s="6" t="n">
        <s:f>IF(COUNT(C429:I429)&gt;0,AVERAGE(C429:I429),"")</s:f>
        <s:v>2055.4587283333335</s:v>
      </s:c>
      <s:c r="M429" s="10" t="n">
        <s:f>COUNT(C429:I429)</s:f>
        <s:v>6</s:v>
      </s:c>
      <s:c r="N429" s="11" t="n">
        <s:f>IF(AND(COUNT('Потребление (МВт·ч)'!C429:I429)=7,SUM('Потребление (МВт·ч)'!C429:I429)&gt;0),SUMIF(C429:I429,"&lt;&gt;",'Потребление (МВт·ч)'!C429:I429)/SUM('Потребление (МВт·ч)'!C429:I429),"")</s:f>
        <s:v>0.9617404906965256</s:v>
      </s:c>
    </s:row>
    <s:row r="430">
      <s:c r="A430" s="5" t="n">
        <s:v>46283</s:v>
      </s:c>
      <s:c r="B430" s="2" t="n">
        <s:v>17</s:v>
      </s:c>
      <s:c r="C430" s="6" t="n">
        <s:v>1607.32068</s:v>
      </s:c>
      <s:c r="D430" s="6" t="n">
        <s:v>2822.47046</s:v>
      </s:c>
      <s:c r="E430" s="6" t="n">
        <s:v>2558.71753</s:v>
      </s:c>
      <s:c r="F430" s="6" t="n">
        <s:v>2609.791</s:v>
      </s:c>
      <s:c r="G430" s="6" t="n">
        <s:v>2135.023</s:v>
      </s:c>
      <s:c r="H430" s="6" t="n">
        <s:v>1906.085</s:v>
      </s:c>
      <s:c r="I430" s="6" t="n"/>
      <s:c r="J430" s="6" t="str">
        <s:f>IF(AND(COUNT(C430:I430)=7,COUNT('Потребление (МВт·ч)'!C430:I430)=7,SUM('Потребление (МВт·ч)'!C430:I430)&gt;0),SUMPRODUCT(C430:I430,'Потребление (МВт·ч)'!C430:I430)/SUM('Потребление (МВт·ч)'!C430:I430),"")</s:f>
      </s:c>
      <s:c r="K430" s="6" t="n">
        <s:f>IF(SUMIF(C430:I430,"&lt;&gt;",'Потребление (МВт·ч)'!C430:I430)&gt;0,SUMPRODUCT(C430:I430,'Потребление (МВт·ч)'!C430:I430)/SUMIF(C430:I430,"&lt;&gt;",'Потребление (МВт·ч)'!C430:I430),"")</s:f>
        <s:v>2306.0327898769524</s:v>
      </s:c>
      <s:c r="L430" s="6" t="n">
        <s:f>IF(COUNT(C430:I430)&gt;0,AVERAGE(C430:I430),"")</s:f>
        <s:v>2273.2346116666668</s:v>
      </s:c>
      <s:c r="M430" s="10" t="n">
        <s:f>COUNT(C430:I430)</s:f>
        <s:v>6</s:v>
      </s:c>
      <s:c r="N430" s="11" t="n">
        <s:f>IF(AND(COUNT('Потребление (МВт·ч)'!C430:I430)=7,SUM('Потребление (МВт·ч)'!C430:I430)&gt;0),SUMIF(C430:I430,"&lt;&gt;",'Потребление (МВт·ч)'!C430:I430)/SUM('Потребление (МВт·ч)'!C430:I430),"")</s:f>
        <s:v>0.9639404318934148</s:v>
      </s:c>
    </s:row>
    <s:row r="431">
      <s:c r="A431" s="5" t="n">
        <s:v>46283</s:v>
      </s:c>
      <s:c r="B431" s="2" t="n">
        <s:v>18</s:v>
      </s:c>
      <s:c r="C431" s="6" t="n">
        <s:v>1790.51013</s:v>
      </s:c>
      <s:c r="D431" s="6" t="n">
        <s:v>2890.12915</s:v>
      </s:c>
      <s:c r="E431" s="6" t="n">
        <s:v>2965.44849</s:v>
      </s:c>
      <s:c r="F431" s="6" t="n">
        <s:v>2658.06958</s:v>
      </s:c>
      <s:c r="G431" s="6" t="n">
        <s:v>2156.88867</s:v>
      </s:c>
      <s:c r="H431" s="6" t="n">
        <s:v>1676.65161</s:v>
      </s:c>
      <s:c r="I431" s="6" t="n"/>
      <s:c r="J431" s="6" t="str">
        <s:f>IF(AND(COUNT(C431:I431)=7,COUNT('Потребление (МВт·ч)'!C431:I431)=7,SUM('Потребление (МВт·ч)'!C431:I431)&gt;0),SUMPRODUCT(C431:I431,'Потребление (МВт·ч)'!C431:I431)/SUM('Потребление (МВт·ч)'!C431:I431),"")</s:f>
      </s:c>
      <s:c r="K431" s="6" t="n">
        <s:f>IF(SUMIF(C431:I431,"&lt;&gt;",'Потребление (МВт·ч)'!C431:I431)&gt;0,SUMPRODUCT(C431:I431,'Потребление (МВт·ч)'!C431:I431)/SUMIF(C431:I431,"&lt;&gt;",'Потребление (МВт·ч)'!C431:I431),"")</s:f>
        <s:v>2355.5691993600544</s:v>
      </s:c>
      <s:c r="L431" s="6" t="n">
        <s:f>IF(COUNT(C431:I431)&gt;0,AVERAGE(C431:I431),"")</s:f>
        <s:v>2356.2829383333333</s:v>
      </s:c>
      <s:c r="M431" s="10" t="n">
        <s:f>COUNT(C431:I431)</s:f>
        <s:v>6</s:v>
      </s:c>
      <s:c r="N431" s="11" t="n">
        <s:f>IF(AND(COUNT('Потребление (МВт·ч)'!C431:I431)=7,SUM('Потребление (МВт·ч)'!C431:I431)&gt;0),SUMIF(C431:I431,"&lt;&gt;",'Потребление (МВт·ч)'!C431:I431)/SUM('Потребление (МВт·ч)'!C431:I431),"")</s:f>
        <s:v>0.965058670143416</s:v>
      </s:c>
    </s:row>
    <s:row r="432">
      <s:c r="A432" s="5" t="n">
        <s:v>46283</s:v>
      </s:c>
      <s:c r="B432" s="2" t="n">
        <s:v>19</s:v>
      </s:c>
      <s:c r="C432" s="6" t="n">
        <s:v>2323.40283</s:v>
      </s:c>
      <s:c r="D432" s="6" t="n">
        <s:v>2858.91968</s:v>
      </s:c>
      <s:c r="E432" s="6" t="n">
        <s:v>2819.4126</s:v>
      </s:c>
      <s:c r="F432" s="6" t="n">
        <s:v>2635.57471</s:v>
      </s:c>
      <s:c r="G432" s="6" t="n">
        <s:v>2135.687</s:v>
      </s:c>
      <s:c r="H432" s="6" t="n">
        <s:v>1698.024</s:v>
      </s:c>
      <s:c r="I432" s="6" t="n"/>
      <s:c r="J432" s="6" t="str">
        <s:f>IF(AND(COUNT(C432:I432)=7,COUNT('Потребление (МВт·ч)'!C432:I432)=7,SUM('Потребление (МВт·ч)'!C432:I432)&gt;0),SUMPRODUCT(C432:I432,'Потребление (МВт·ч)'!C432:I432)/SUM('Потребление (МВт·ч)'!C432:I432),"")</s:f>
      </s:c>
      <s:c r="K432" s="6" t="n">
        <s:f>IF(SUMIF(C432:I432,"&lt;&gt;",'Потребление (МВт·ч)'!C432:I432)&gt;0,SUMPRODUCT(C432:I432,'Потребление (МВт·ч)'!C432:I432)/SUMIF(C432:I432,"&lt;&gt;",'Потребление (МВт·ч)'!C432:I432),"")</s:f>
        <s:v>2384.242520660046</s:v>
      </s:c>
      <s:c r="L432" s="6" t="n">
        <s:f>IF(COUNT(C432:I432)&gt;0,AVERAGE(C432:I432),"")</s:f>
        <s:v>2411.836803333333</s:v>
      </s:c>
      <s:c r="M432" s="10" t="n">
        <s:f>COUNT(C432:I432)</s:f>
        <s:v>6</s:v>
      </s:c>
      <s:c r="N432" s="11" t="n">
        <s:f>IF(AND(COUNT('Потребление (МВт·ч)'!C432:I432)=7,SUM('Потребление (МВт·ч)'!C432:I432)&gt;0),SUMIF(C432:I432,"&lt;&gt;",'Потребление (МВт·ч)'!C432:I432)/SUM('Потребление (МВт·ч)'!C432:I432),"")</s:f>
        <s:v>0.9644096435194724</s:v>
      </s:c>
    </s:row>
    <s:row r="433">
      <s:c r="A433" s="5" t="n">
        <s:v>46283</s:v>
      </s:c>
      <s:c r="B433" s="2" t="n">
        <s:v>20</s:v>
      </s:c>
      <s:c r="C433" s="6" t="n">
        <s:v>2326.54932</s:v>
      </s:c>
      <s:c r="D433" s="6" t="n">
        <s:v>2779.11572</s:v>
      </s:c>
      <s:c r="E433" s="6" t="n">
        <s:v>2622.58838</s:v>
      </s:c>
      <s:c r="F433" s="6" t="n">
        <s:v>2608.985</s:v>
      </s:c>
      <s:c r="G433" s="6" t="n">
        <s:v>2090.22656</s:v>
      </s:c>
      <s:c r="H433" s="6" t="n">
        <s:v>1687.50891</s:v>
      </s:c>
      <s:c r="I433" s="6" t="n"/>
      <s:c r="J433" s="6" t="str">
        <s:f>IF(AND(COUNT(C433:I433)=7,COUNT('Потребление (МВт·ч)'!C433:I433)=7,SUM('Потребление (МВт·ч)'!C433:I433)&gt;0),SUMPRODUCT(C433:I433,'Потребление (МВт·ч)'!C433:I433)/SUM('Потребление (МВт·ч)'!C433:I433),"")</s:f>
      </s:c>
      <s:c r="K433" s="6" t="n">
        <s:f>IF(SUMIF(C433:I433,"&lt;&gt;",'Потребление (МВт·ч)'!C433:I433)&gt;0,SUMPRODUCT(C433:I433,'Потребление (МВт·ч)'!C433:I433)/SUMIF(C433:I433,"&lt;&gt;",'Потребление (МВт·ч)'!C433:I433),"")</s:f>
        <s:v>2326.3198996041333</s:v>
      </s:c>
      <s:c r="L433" s="6" t="n">
        <s:f>IF(COUNT(C433:I433)&gt;0,AVERAGE(C433:I433),"")</s:f>
        <s:v>2352.4956483333335</s:v>
      </s:c>
      <s:c r="M433" s="10" t="n">
        <s:f>COUNT(C433:I433)</s:f>
        <s:v>6</s:v>
      </s:c>
      <s:c r="N433" s="11" t="n">
        <s:f>IF(AND(COUNT('Потребление (МВт·ч)'!C433:I433)=7,SUM('Потребление (МВт·ч)'!C433:I433)&gt;0),SUMIF(C433:I433,"&lt;&gt;",'Потребление (МВт·ч)'!C433:I433)/SUM('Потребление (МВт·ч)'!C433:I433),"")</s:f>
        <s:v>0.9638887953389688</s:v>
      </s:c>
    </s:row>
    <s:row r="434">
      <s:c r="A434" s="5" t="n">
        <s:v>46283</s:v>
      </s:c>
      <s:c r="B434" s="2" t="n">
        <s:v>21</s:v>
      </s:c>
      <s:c r="C434" s="6" t="n">
        <s:v>2162.26782</s:v>
      </s:c>
      <s:c r="D434" s="6" t="n">
        <s:v>2484.57446</s:v>
      </s:c>
      <s:c r="E434" s="6" t="n">
        <s:v>2406.09863</s:v>
      </s:c>
      <s:c r="F434" s="6" t="n">
        <s:v>2314.874</s:v>
      </s:c>
      <s:c r="G434" s="6" t="n">
        <s:v>1886.88452</s:v>
      </s:c>
      <s:c r="H434" s="6" t="n">
        <s:v>1711.31433</s:v>
      </s:c>
      <s:c r="I434" s="6" t="n"/>
      <s:c r="J434" s="6" t="str">
        <s:f>IF(AND(COUNT(C434:I434)=7,COUNT('Потребление (МВт·ч)'!C434:I434)=7,SUM('Потребление (МВт·ч)'!C434:I434)&gt;0),SUMPRODUCT(C434:I434,'Потребление (МВт·ч)'!C434:I434)/SUM('Потребление (МВт·ч)'!C434:I434),"")</s:f>
      </s:c>
      <s:c r="K434" s="6" t="n">
        <s:f>IF(SUMIF(C434:I434,"&lt;&gt;",'Потребление (МВт·ч)'!C434:I434)&gt;0,SUMPRODUCT(C434:I434,'Потребление (МВт·ч)'!C434:I434)/SUMIF(C434:I434,"&lt;&gt;",'Потребление (МВт·ч)'!C434:I434),"")</s:f>
        <s:v>2133.7930856952225</s:v>
      </s:c>
      <s:c r="L434" s="6" t="n">
        <s:f>IF(COUNT(C434:I434)&gt;0,AVERAGE(C434:I434),"")</s:f>
        <s:v>2161.002293333333</s:v>
      </s:c>
      <s:c r="M434" s="10" t="n">
        <s:f>COUNT(C434:I434)</s:f>
        <s:v>6</s:v>
      </s:c>
      <s:c r="N434" s="11" t="n">
        <s:f>IF(AND(COUNT('Потребление (МВт·ч)'!C434:I434)=7,SUM('Потребление (МВт·ч)'!C434:I434)&gt;0),SUMIF(C434:I434,"&lt;&gt;",'Потребление (МВт·ч)'!C434:I434)/SUM('Потребление (МВт·ч)'!C434:I434),"")</s:f>
        <s:v>0.9625851805267194</s:v>
      </s:c>
    </s:row>
    <s:row r="435">
      <s:c r="A435" s="5" t="n">
        <s:v>46283</s:v>
      </s:c>
      <s:c r="B435" s="2" t="n">
        <s:v>22</s:v>
      </s:c>
      <s:c r="C435" s="6" t="n">
        <s:v>1638.55652</s:v>
      </s:c>
      <s:c r="D435" s="6" t="n">
        <s:v>1985.52478</s:v>
      </s:c>
      <s:c r="E435" s="6" t="n">
        <s:v>1764.70386</s:v>
      </s:c>
      <s:c r="F435" s="6" t="n">
        <s:v>1905.63293</s:v>
      </s:c>
      <s:c r="G435" s="6" t="n">
        <s:v>1644.64978</s:v>
      </s:c>
      <s:c r="H435" s="6" t="n">
        <s:v>1495.3446</s:v>
      </s:c>
      <s:c r="I435" s="6" t="n"/>
      <s:c r="J435" s="6" t="str">
        <s:f>IF(AND(COUNT(C435:I435)=7,COUNT('Потребление (МВт·ч)'!C435:I435)=7,SUM('Потребление (МВт·ч)'!C435:I435)&gt;0),SUMPRODUCT(C435:I435,'Потребление (МВт·ч)'!C435:I435)/SUM('Потребление (МВт·ч)'!C435:I435),"")</s:f>
      </s:c>
      <s:c r="K435" s="6" t="n">
        <s:f>IF(SUMIF(C435:I435,"&lt;&gt;",'Потребление (МВт·ч)'!C435:I435)&gt;0,SUMPRODUCT(C435:I435,'Потребление (МВт·ч)'!C435:I435)/SUMIF(C435:I435,"&lt;&gt;",'Потребление (МВт·ч)'!C435:I435),"")</s:f>
        <s:v>1739.823136670618</s:v>
      </s:c>
      <s:c r="L435" s="6" t="n">
        <s:f>IF(COUNT(C435:I435)&gt;0,AVERAGE(C435:I435),"")</s:f>
        <s:v>1739.0687449999998</s:v>
      </s:c>
      <s:c r="M435" s="10" t="n">
        <s:f>COUNT(C435:I435)</s:f>
        <s:v>6</s:v>
      </s:c>
      <s:c r="N435" s="11" t="n">
        <s:f>IF(AND(COUNT('Потребление (МВт·ч)'!C435:I435)=7,SUM('Потребление (МВт·ч)'!C435:I435)&gt;0),SUMIF(C435:I435,"&lt;&gt;",'Потребление (МВт·ч)'!C435:I435)/SUM('Потребление (МВт·ч)'!C435:I435),"")</s:f>
        <s:v>0.9612503252316995</s:v>
      </s:c>
    </s:row>
    <s:row r="436">
      <s:c r="A436" s="5" t="n">
        <s:v>46283</s:v>
      </s:c>
      <s:c r="B436" s="2" t="n">
        <s:v>23</s:v>
      </s:c>
      <s:c r="C436" s="6" t="n">
        <s:v>1558.57971</s:v>
      </s:c>
      <s:c r="D436" s="6" t="n">
        <s:v>1929.0437</s:v>
      </s:c>
      <s:c r="E436" s="6" t="n">
        <s:v>1455.3761</s:v>
      </s:c>
      <s:c r="F436" s="6" t="n">
        <s:v>1770.14429</s:v>
      </s:c>
      <s:c r="G436" s="6" t="n">
        <s:v>1560.52917</s:v>
      </s:c>
      <s:c r="H436" s="6" t="n">
        <s:v>1410.87646</s:v>
      </s:c>
      <s:c r="I436" s="6" t="n"/>
      <s:c r="J436" s="6" t="str">
        <s:f>IF(AND(COUNT(C436:I436)=7,COUNT('Потребление (МВт·ч)'!C436:I436)=7,SUM('Потребление (МВт·ч)'!C436:I436)&gt;0),SUMPRODUCT(C436:I436,'Потребление (МВт·ч)'!C436:I436)/SUM('Потребление (МВт·ч)'!C436:I436),"")</s:f>
      </s:c>
      <s:c r="K436" s="6" t="n">
        <s:f>IF(SUMIF(C436:I436,"&lt;&gt;",'Потребление (МВт·ч)'!C436:I436)&gt;0,SUMPRODUCT(C436:I436,'Потребление (МВт·ч)'!C436:I436)/SUMIF(C436:I436,"&lt;&gt;",'Потребление (МВт·ч)'!C436:I436),"")</s:f>
        <s:v>1632.95992175465</s:v>
      </s:c>
      <s:c r="L436" s="6" t="n">
        <s:f>IF(COUNT(C436:I436)&gt;0,AVERAGE(C436:I436),"")</s:f>
        <s:v>1614.0915716666666</s:v>
      </s:c>
      <s:c r="M436" s="10" t="n">
        <s:f>COUNT(C436:I436)</s:f>
        <s:v>6</s:v>
      </s:c>
      <s:c r="N436" s="11" t="n">
        <s:f>IF(AND(COUNT('Потребление (МВт·ч)'!C436:I436)=7,SUM('Потребление (МВт·ч)'!C436:I436)&gt;0),SUMIF(C436:I436,"&lt;&gt;",'Потребление (МВт·ч)'!C436:I436)/SUM('Потребление (МВт·ч)'!C436:I436),"")</s:f>
        <s:v>0.9585597826086957</s:v>
      </s:c>
    </s:row>
    <s:row r="437">
      <s:c r="A437" s="5" t="n">
        <s:v>46284</s:v>
      </s:c>
      <s:c r="B437" s="2" t="n">
        <s:v>0</s:v>
      </s:c>
      <s:c r="C437" s="6" t="n">
        <s:v>1907.068</s:v>
      </s:c>
      <s:c r="D437" s="6" t="n">
        <s:v>2240.534</s:v>
      </s:c>
      <s:c r="E437" s="6" t="n">
        <s:v>2088.62354</s:v>
      </s:c>
      <s:c r="F437" s="6" t="n">
        <s:v>2173.038</s:v>
      </s:c>
      <s:c r="G437" s="6" t="n">
        <s:v>1849.93909</s:v>
      </s:c>
      <s:c r="H437" s="6" t="n">
        <s:v>1552.50684</s:v>
      </s:c>
      <s:c r="I437" s="6" t="n"/>
      <s:c r="J437" s="6" t="str">
        <s:f>IF(AND(COUNT(C437:I437)=7,COUNT('Потребление (МВт·ч)'!C437:I437)=7,SUM('Потребление (МВт·ч)'!C437:I437)&gt;0),SUMPRODUCT(C437:I437,'Потребление (МВт·ч)'!C437:I437)/SUM('Потребление (МВт·ч)'!C437:I437),"")</s:f>
      </s:c>
      <s:c r="K437" s="6" t="n">
        <s:f>IF(SUMIF(C437:I437,"&lt;&gt;",'Потребление (МВт·ч)'!C437:I437)&gt;0,SUMPRODUCT(C437:I437,'Потребление (МВт·ч)'!C437:I437)/SUMIF(C437:I437,"&lt;&gt;",'Потребление (МВт·ч)'!C437:I437),"")</s:f>
        <s:v>1942.1958786263272</s:v>
      </s:c>
      <s:c r="L437" s="6" t="n">
        <s:f>IF(COUNT(C437:I437)&gt;0,AVERAGE(C437:I437),"")</s:f>
        <s:v>1968.618245</s:v>
      </s:c>
      <s:c r="M437" s="10" t="n">
        <s:f>COUNT(C437:I437)</s:f>
        <s:v>6</s:v>
      </s:c>
      <s:c r="N437" s="11" t="n">
        <s:f>IF(AND(COUNT('Потребление (МВт·ч)'!C437:I437)=7,SUM('Потребление (МВт·ч)'!C437:I437)&gt;0),SUMIF(C437:I437,"&lt;&gt;",'Потребление (МВт·ч)'!C437:I437)/SUM('Потребление (МВт·ч)'!C437:I437),"")</s:f>
        <s:v>0.9556288342117377</s:v>
      </s:c>
    </s:row>
    <s:row r="438">
      <s:c r="A438" s="5" t="n">
        <s:v>46284</s:v>
      </s:c>
      <s:c r="B438" s="2" t="n">
        <s:v>1</s:v>
      </s:c>
      <s:c r="C438" s="6" t="n">
        <s:v>1489.39807</s:v>
      </s:c>
      <s:c r="D438" s="6" t="n">
        <s:v>2098.564</s:v>
      </s:c>
      <s:c r="E438" s="6" t="n">
        <s:v>1844.19226</s:v>
      </s:c>
      <s:c r="F438" s="6" t="n">
        <s:v>2051.68237</s:v>
      </s:c>
      <s:c r="G438" s="6" t="n">
        <s:v>1772.7124</s:v>
      </s:c>
      <s:c r="H438" s="6" t="n">
        <s:v>1510.34961</s:v>
      </s:c>
      <s:c r="I438" s="6" t="n"/>
      <s:c r="J438" s="6" t="str">
        <s:f>IF(AND(COUNT(C438:I438)=7,COUNT('Потребление (МВт·ч)'!C438:I438)=7,SUM('Потребление (МВт·ч)'!C438:I438)&gt;0),SUMPRODUCT(C438:I438,'Потребление (МВт·ч)'!C438:I438)/SUM('Потребление (МВт·ч)'!C438:I438),"")</s:f>
      </s:c>
      <s:c r="K438" s="6" t="n">
        <s:f>IF(SUMIF(C438:I438,"&lt;&gt;",'Потребление (МВт·ч)'!C438:I438)&gt;0,SUMPRODUCT(C438:I438,'Потребление (МВт·ч)'!C438:I438)/SUMIF(C438:I438,"&lt;&gt;",'Потребление (МВт·ч)'!C438:I438),"")</s:f>
        <s:v>1801.7696170902248</s:v>
      </s:c>
      <s:c r="L438" s="6" t="n">
        <s:f>IF(COUNT(C438:I438)&gt;0,AVERAGE(C438:I438),"")</s:f>
        <s:v>1794.4831183333333</s:v>
      </s:c>
      <s:c r="M438" s="10" t="n">
        <s:f>COUNT(C438:I438)</s:f>
        <s:v>6</s:v>
      </s:c>
      <s:c r="N438" s="11" t="n">
        <s:f>IF(AND(COUNT('Потребление (МВт·ч)'!C438:I438)=7,SUM('Потребление (МВт·ч)'!C438:I438)&gt;0),SUMIF(C438:I438,"&lt;&gt;",'Потребление (МВт·ч)'!C438:I438)/SUM('Потребление (МВт·ч)'!C438:I438),"")</s:f>
        <s:v>0.952122263621453</s:v>
      </s:c>
    </s:row>
    <s:row r="439">
      <s:c r="A439" s="5" t="n">
        <s:v>46284</s:v>
      </s:c>
      <s:c r="B439" s="2" t="n">
        <s:v>2</s:v>
      </s:c>
      <s:c r="C439" s="6" t="n">
        <s:v>1732.31836</s:v>
      </s:c>
      <s:c r="D439" s="6" t="n">
        <s:v>2076.86987</s:v>
      </s:c>
      <s:c r="E439" s="6" t="n">
        <s:v>1771.67761</s:v>
      </s:c>
      <s:c r="F439" s="6" t="n">
        <s:v>2034.52856</s:v>
      </s:c>
      <s:c r="G439" s="6" t="n">
        <s:v>1771.76526</s:v>
      </s:c>
      <s:c r="H439" s="6" t="n">
        <s:v>1505.30261</s:v>
      </s:c>
      <s:c r="I439" s="6" t="n"/>
      <s:c r="J439" s="6" t="str">
        <s:f>IF(AND(COUNT(C439:I439)=7,COUNT('Потребление (МВт·ч)'!C439:I439)=7,SUM('Потребление (МВт·ч)'!C439:I439)&gt;0),SUMPRODUCT(C439:I439,'Потребление (МВт·ч)'!C439:I439)/SUM('Потребление (МВт·ч)'!C439:I439),"")</s:f>
      </s:c>
      <s:c r="K439" s="6" t="n">
        <s:f>IF(SUMIF(C439:I439,"&lt;&gt;",'Потребление (МВт·ч)'!C439:I439)&gt;0,SUMPRODUCT(C439:I439,'Потребление (МВт·ч)'!C439:I439)/SUMIF(C439:I439,"&lt;&gt;",'Потребление (МВт·ч)'!C439:I439),"")</s:f>
        <s:v>1807.0550398031585</s:v>
      </s:c>
      <s:c r="L439" s="6" t="n">
        <s:f>IF(COUNT(C439:I439)&gt;0,AVERAGE(C439:I439),"")</s:f>
        <s:v>1815.4103783333333</s:v>
      </s:c>
      <s:c r="M439" s="10" t="n">
        <s:f>COUNT(C439:I439)</s:f>
        <s:v>6</s:v>
      </s:c>
      <s:c r="N439" s="11" t="n">
        <s:f>IF(AND(COUNT('Потребление (МВт·ч)'!C439:I439)=7,SUM('Потребление (МВт·ч)'!C439:I439)&gt;0),SUMIF(C439:I439,"&lt;&gt;",'Потребление (МВт·ч)'!C439:I439)/SUM('Потребление (МВт·ч)'!C439:I439),"")</s:f>
        <s:v>0.950774357226703</s:v>
      </s:c>
    </s:row>
    <s:row r="440">
      <s:c r="A440" s="5" t="n">
        <s:v>46284</s:v>
      </s:c>
      <s:c r="B440" s="2" t="n">
        <s:v>3</s:v>
      </s:c>
      <s:c r="C440" s="6" t="n">
        <s:v>1718.50916</s:v>
      </s:c>
      <s:c r="D440" s="6" t="n">
        <s:v>2051.53564</s:v>
      </s:c>
      <s:c r="E440" s="6" t="n">
        <s:v>1864.652</s:v>
      </s:c>
      <s:c r="F440" s="6" t="n">
        <s:v>2008.70044</s:v>
      </s:c>
      <s:c r="G440" s="6" t="n">
        <s:v>1774.083</s:v>
      </s:c>
      <s:c r="H440" s="6" t="n">
        <s:v>1522.471</s:v>
      </s:c>
      <s:c r="I440" s="6" t="n"/>
      <s:c r="J440" s="6" t="str">
        <s:f>IF(AND(COUNT(C440:I440)=7,COUNT('Потребление (МВт·ч)'!C440:I440)=7,SUM('Потребление (МВт·ч)'!C440:I440)&gt;0),SUMPRODUCT(C440:I440,'Потребление (МВт·ч)'!C440:I440)/SUM('Потребление (МВт·ч)'!C440:I440),"")</s:f>
      </s:c>
      <s:c r="K440" s="6" t="n">
        <s:f>IF(SUMIF(C440:I440,"&lt;&gt;",'Потребление (МВт·ч)'!C440:I440)&gt;0,SUMPRODUCT(C440:I440,'Потребление (МВт·ч)'!C440:I440)/SUMIF(C440:I440,"&lt;&gt;",'Потребление (МВт·ч)'!C440:I440),"")</s:f>
        <s:v>1808.5785317974103</s:v>
      </s:c>
      <s:c r="L440" s="6" t="n">
        <s:f>IF(COUNT(C440:I440)&gt;0,AVERAGE(C440:I440),"")</s:f>
        <s:v>1823.3252066666666</s:v>
      </s:c>
      <s:c r="M440" s="10" t="n">
        <s:f>COUNT(C440:I440)</s:f>
        <s:v>6</s:v>
      </s:c>
      <s:c r="N440" s="11" t="n">
        <s:f>IF(AND(COUNT('Потребление (МВт·ч)'!C440:I440)=7,SUM('Потребление (МВт·ч)'!C440:I440)&gt;0),SUMIF(C440:I440,"&lt;&gt;",'Потребление (МВт·ч)'!C440:I440)/SUM('Потребление (МВт·ч)'!C440:I440),"")</s:f>
        <s:v>0.9503287973240079</s:v>
      </s:c>
    </s:row>
    <s:row r="441">
      <s:c r="A441" s="5" t="n">
        <s:v>46284</s:v>
      </s:c>
      <s:c r="B441" s="2" t="n">
        <s:v>4</s:v>
      </s:c>
      <s:c r="C441" s="6" t="n">
        <s:v>1774.2229</s:v>
      </s:c>
      <s:c r="D441" s="6" t="n">
        <s:v>2127.50781</s:v>
      </s:c>
      <s:c r="E441" s="6" t="n">
        <s:v>1966.91235</s:v>
      </s:c>
      <s:c r="F441" s="6" t="n">
        <s:v>2092.79248</s:v>
      </s:c>
      <s:c r="G441" s="6" t="n">
        <s:v>1854.722</s:v>
      </s:c>
      <s:c r="H441" s="6" t="n">
        <s:v>1682.48157</s:v>
      </s:c>
      <s:c r="I441" s="6" t="n"/>
      <s:c r="J441" s="6" t="str">
        <s:f>IF(AND(COUNT(C441:I441)=7,COUNT('Потребление (МВт·ч)'!C441:I441)=7,SUM('Потребление (МВт·ч)'!C441:I441)&gt;0),SUMPRODUCT(C441:I441,'Потребление (МВт·ч)'!C441:I441)/SUM('Потребление (МВт·ч)'!C441:I441),"")</s:f>
      </s:c>
      <s:c r="K441" s="6" t="n">
        <s:f>IF(SUMIF(C441:I441,"&lt;&gt;",'Потребление (МВт·ч)'!C441:I441)&gt;0,SUMPRODUCT(C441:I441,'Потребление (МВт·ч)'!C441:I441)/SUMIF(C441:I441,"&lt;&gt;",'Потребление (МВт·ч)'!C441:I441),"")</s:f>
        <s:v>1905.6297799351223</s:v>
      </s:c>
      <s:c r="L441" s="6" t="n">
        <s:f>IF(COUNT(C441:I441)&gt;0,AVERAGE(C441:I441),"")</s:f>
        <s:v>1916.4398516666668</s:v>
      </s:c>
      <s:c r="M441" s="10" t="n">
        <s:f>COUNT(C441:I441)</s:f>
        <s:v>6</s:v>
      </s:c>
      <s:c r="N441" s="11" t="n">
        <s:f>IF(AND(COUNT('Потребление (МВт·ч)'!C441:I441)=7,SUM('Потребление (МВт·ч)'!C441:I441)&gt;0),SUMIF(C441:I441,"&lt;&gt;",'Потребление (МВт·ч)'!C441:I441)/SUM('Потребление (МВт·ч)'!C441:I441),"")</s:f>
        <s:v>0.9523089558367865</s:v>
      </s:c>
    </s:row>
    <s:row r="442">
      <s:c r="A442" s="5" t="n">
        <s:v>46284</s:v>
      </s:c>
      <s:c r="B442" s="2" t="n">
        <s:v>5</s:v>
      </s:c>
      <s:c r="C442" s="6" t="n">
        <s:v>1664.54248</s:v>
      </s:c>
      <s:c r="D442" s="6" t="n">
        <s:v>2150.76929</s:v>
      </s:c>
      <s:c r="E442" s="6" t="n">
        <s:v>2118.02979</s:v>
      </s:c>
      <s:c r="F442" s="6" t="n">
        <s:v>2147.03125</s:v>
      </s:c>
      <s:c r="G442" s="6" t="n">
        <s:v>1919.63367</s:v>
      </s:c>
      <s:c r="H442" s="6" t="n">
        <s:v>1647.34265</s:v>
      </s:c>
      <s:c r="I442" s="6" t="n"/>
      <s:c r="J442" s="6" t="str">
        <s:f>IF(AND(COUNT(C442:I442)=7,COUNT('Потребление (МВт·ч)'!C442:I442)=7,SUM('Потребление (МВт·ч)'!C442:I442)&gt;0),SUMPRODUCT(C442:I442,'Потребление (МВт·ч)'!C442:I442)/SUM('Потребление (МВт·ч)'!C442:I442),"")</s:f>
      </s:c>
      <s:c r="K442" s="6" t="n">
        <s:f>IF(SUMIF(C442:I442,"&lt;&gt;",'Потребление (МВт·ч)'!C442:I442)&gt;0,SUMPRODUCT(C442:I442,'Потребление (МВт·ч)'!C442:I442)/SUMIF(C442:I442,"&lt;&gt;",'Потребление (МВт·ч)'!C442:I442),"")</s:f>
        <s:v>1927.6553181468923</s:v>
      </s:c>
      <s:c r="L442" s="6" t="n">
        <s:f>IF(COUNT(C442:I442)&gt;0,AVERAGE(C442:I442),"")</s:f>
        <s:v>1941.2248550000002</s:v>
      </s:c>
      <s:c r="M442" s="10" t="n">
        <s:f>COUNT(C442:I442)</s:f>
        <s:v>6</s:v>
      </s:c>
      <s:c r="N442" s="11" t="n">
        <s:f>IF(AND(COUNT('Потребление (МВт·ч)'!C442:I442)=7,SUM('Потребление (МВт·ч)'!C442:I442)&gt;0),SUMIF(C442:I442,"&lt;&gt;",'Потребление (МВт·ч)'!C442:I442)/SUM('Потребление (МВт·ч)'!C442:I442),"")</s:f>
        <s:v>0.9528622317952117</s:v>
      </s:c>
    </s:row>
    <s:row r="443">
      <s:c r="A443" s="5" t="n">
        <s:v>46284</s:v>
      </s:c>
      <s:c r="B443" s="2" t="n">
        <s:v>6</s:v>
      </s:c>
      <s:c r="C443" s="6" t="n">
        <s:v>2083.23022</s:v>
      </s:c>
      <s:c r="D443" s="6" t="n">
        <s:v>2380.74927</s:v>
      </s:c>
      <s:c r="E443" s="6" t="n">
        <s:v>2329.55249</s:v>
      </s:c>
      <s:c r="F443" s="6" t="n">
        <s:v>2406.90869</s:v>
      </s:c>
      <s:c r="G443" s="6" t="n">
        <s:v>2125.631</s:v>
      </s:c>
      <s:c r="H443" s="6" t="n">
        <s:v>1757.75891</s:v>
      </s:c>
      <s:c r="I443" s="6" t="n"/>
      <s:c r="J443" s="6" t="str">
        <s:f>IF(AND(COUNT(C443:I443)=7,COUNT('Потребление (МВт·ч)'!C443:I443)=7,SUM('Потребление (МВт·ч)'!C443:I443)&gt;0),SUMPRODUCT(C443:I443,'Потребление (МВт·ч)'!C443:I443)/SUM('Потребление (МВт·ч)'!C443:I443),"")</s:f>
      </s:c>
      <s:c r="K443" s="6" t="n">
        <s:f>IF(SUMIF(C443:I443,"&lt;&gt;",'Потребление (МВт·ч)'!C443:I443)&gt;0,SUMPRODUCT(C443:I443,'Потребление (МВт·ч)'!C443:I443)/SUMIF(C443:I443,"&lt;&gt;",'Потребление (МВт·ч)'!C443:I443),"")</s:f>
        <s:v>2143.8153754056693</s:v>
      </s:c>
      <s:c r="L443" s="6" t="n">
        <s:f>IF(COUNT(C443:I443)&gt;0,AVERAGE(C443:I443),"")</s:f>
        <s:v>2180.63843</s:v>
      </s:c>
      <s:c r="M443" s="10" t="n">
        <s:f>COUNT(C443:I443)</s:f>
        <s:v>6</s:v>
      </s:c>
      <s:c r="N443" s="11" t="n">
        <s:f>IF(AND(COUNT('Потребление (МВт·ч)'!C443:I443)=7,SUM('Потребление (МВт·ч)'!C443:I443)&gt;0),SUMIF(C443:I443,"&lt;&gt;",'Потребление (МВт·ч)'!C443:I443)/SUM('Потребление (МВт·ч)'!C443:I443),"")</s:f>
        <s:v>0.9541636067276863</s:v>
      </s:c>
    </s:row>
    <s:row r="444">
      <s:c r="A444" s="5" t="n">
        <s:v>46284</s:v>
      </s:c>
      <s:c r="B444" s="2" t="n">
        <s:v>7</s:v>
      </s:c>
      <s:c r="C444" s="6" t="n">
        <s:v>2031.252</s:v>
      </s:c>
      <s:c r="D444" s="6" t="n">
        <s:v>2693.1394</s:v>
      </s:c>
      <s:c r="E444" s="6" t="n">
        <s:v>2706.00952</s:v>
      </s:c>
      <s:c r="F444" s="6" t="n">
        <s:v>2738.0957</s:v>
      </s:c>
      <s:c r="G444" s="6" t="n">
        <s:v>2353.2356</s:v>
      </s:c>
      <s:c r="H444" s="6" t="n">
        <s:v>1863.40247</s:v>
      </s:c>
      <s:c r="I444" s="6" t="n"/>
      <s:c r="J444" s="6" t="str">
        <s:f>IF(AND(COUNT(C444:I444)=7,COUNT('Потребление (МВт·ч)'!C444:I444)=7,SUM('Потребление (МВт·ч)'!C444:I444)&gt;0),SUMPRODUCT(C444:I444,'Потребление (МВт·ч)'!C444:I444)/SUM('Потребление (МВт·ч)'!C444:I444),"")</s:f>
      </s:c>
      <s:c r="K444" s="6" t="n">
        <s:f>IF(SUMIF(C444:I444,"&lt;&gt;",'Потребление (МВт·ч)'!C444:I444)&gt;0,SUMPRODUCT(C444:I444,'Потребление (МВт·ч)'!C444:I444)/SUMIF(C444:I444,"&lt;&gt;",'Потребление (МВт·ч)'!C444:I444),"")</s:f>
        <s:v>2368.9968830851917</s:v>
      </s:c>
      <s:c r="L444" s="6" t="n">
        <s:f>IF(COUNT(C444:I444)&gt;0,AVERAGE(C444:I444),"")</s:f>
        <s:v>2397.522448333333</s:v>
      </s:c>
      <s:c r="M444" s="10" t="n">
        <s:f>COUNT(C444:I444)</s:f>
        <s:v>6</s:v>
      </s:c>
      <s:c r="N444" s="11" t="n">
        <s:f>IF(AND(COUNT('Потребление (МВт·ч)'!C444:I444)=7,SUM('Потребление (МВт·ч)'!C444:I444)&gt;0),SUMIF(C444:I444,"&lt;&gt;",'Потребление (МВт·ч)'!C444:I444)/SUM('Потребление (МВт·ч)'!C444:I444),"")</s:f>
        <s:v>0.9551655905019788</s:v>
      </s:c>
    </s:row>
    <s:row r="445">
      <s:c r="A445" s="5" t="n">
        <s:v>46284</s:v>
      </s:c>
      <s:c r="B445" s="2" t="n">
        <s:v>8</s:v>
      </s:c>
      <s:c r="C445" s="6" t="n">
        <s:v>2222.02246</s:v>
      </s:c>
      <s:c r="D445" s="6" t="n">
        <s:v>3100.66333</s:v>
      </s:c>
      <s:c r="E445" s="6" t="n">
        <s:v>2898.13013</s:v>
      </s:c>
      <s:c r="F445" s="6" t="n">
        <s:v>3114.07373</s:v>
      </s:c>
      <s:c r="G445" s="6" t="n">
        <s:v>2024.98877</s:v>
      </s:c>
      <s:c r="H445" s="6" t="n">
        <s:v>1641.99719</s:v>
      </s:c>
      <s:c r="I445" s="6" t="n"/>
      <s:c r="J445" s="6" t="str">
        <s:f>IF(AND(COUNT(C445:I445)=7,COUNT('Потребление (МВт·ч)'!C445:I445)=7,SUM('Потребление (МВт·ч)'!C445:I445)&gt;0),SUMPRODUCT(C445:I445,'Потребление (МВт·ч)'!C445:I445)/SUM('Потребление (МВт·ч)'!C445:I445),"")</s:f>
      </s:c>
      <s:c r="K445" s="6" t="n">
        <s:f>IF(SUMIF(C445:I445,"&lt;&gt;",'Потребление (МВт·ч)'!C445:I445)&gt;0,SUMPRODUCT(C445:I445,'Потребление (МВт·ч)'!C445:I445)/SUMIF(C445:I445,"&lt;&gt;",'Потребление (МВт·ч)'!C445:I445),"")</s:f>
        <s:v>2429.6117098447476</s:v>
      </s:c>
      <s:c r="L445" s="6" t="n">
        <s:f>IF(COUNT(C445:I445)&gt;0,AVERAGE(C445:I445),"")</s:f>
        <s:v>2500.3126016666665</s:v>
      </s:c>
      <s:c r="M445" s="10" t="n">
        <s:f>COUNT(C445:I445)</s:f>
        <s:v>6</s:v>
      </s:c>
      <s:c r="N445" s="11" t="n">
        <s:f>IF(AND(COUNT('Потребление (МВт·ч)'!C445:I445)=7,SUM('Потребление (МВт·ч)'!C445:I445)&gt;0),SUMIF(C445:I445,"&lt;&gt;",'Потребление (МВт·ч)'!C445:I445)/SUM('Потребление (МВт·ч)'!C445:I445),"")</s:f>
        <s:v>0.9570183524679461</s:v>
      </s:c>
    </s:row>
    <s:row r="446">
      <s:c r="A446" s="5" t="n">
        <s:v>46284</s:v>
      </s:c>
      <s:c r="B446" s="2" t="n">
        <s:v>9</s:v>
      </s:c>
      <s:c r="C446" s="6" t="n">
        <s:v>2597.54956</s:v>
      </s:c>
      <s:c r="D446" s="6" t="n">
        <s:v>3336.599</s:v>
      </s:c>
      <s:c r="E446" s="6" t="n">
        <s:v>2574.77246</s:v>
      </s:c>
      <s:c r="F446" s="6" t="n">
        <s:v>2917.67383</s:v>
      </s:c>
      <s:c r="G446" s="6" t="n">
        <s:v>2477.04858</s:v>
      </s:c>
      <s:c r="H446" s="6" t="n">
        <s:v>1978.335</s:v>
      </s:c>
      <s:c r="I446" s="6" t="n"/>
      <s:c r="J446" s="6" t="str">
        <s:f>IF(AND(COUNT(C446:I446)=7,COUNT('Потребление (МВт·ч)'!C446:I446)=7,SUM('Потребление (МВт·ч)'!C446:I446)&gt;0),SUMPRODUCT(C446:I446,'Потребление (МВт·ч)'!C446:I446)/SUM('Потребление (МВт·ч)'!C446:I446),"")</s:f>
      </s:c>
      <s:c r="K446" s="6" t="n">
        <s:f>IF(SUMIF(C446:I446,"&lt;&gt;",'Потребление (МВт·ч)'!C446:I446)&gt;0,SUMPRODUCT(C446:I446,'Потребление (МВт·ч)'!C446:I446)/SUMIF(C446:I446,"&lt;&gt;",'Потребление (МВт·ч)'!C446:I446),"")</s:f>
        <s:v>2652.908412672966</s:v>
      </s:c>
      <s:c r="L446" s="6" t="n">
        <s:f>IF(COUNT(C446:I446)&gt;0,AVERAGE(C446:I446),"")</s:f>
        <s:v>2646.996405</s:v>
      </s:c>
      <s:c r="M446" s="10" t="n">
        <s:f>COUNT(C446:I446)</s:f>
        <s:v>6</s:v>
      </s:c>
      <s:c r="N446" s="11" t="n">
        <s:f>IF(AND(COUNT('Потребление (МВт·ч)'!C446:I446)=7,SUM('Потребление (МВт·ч)'!C446:I446)&gt;0),SUMIF(C446:I446,"&lt;&gt;",'Потребление (МВт·ч)'!C446:I446)/SUM('Потребление (МВт·ч)'!C446:I446),"")</s:f>
        <s:v>0.9576620240182618</s:v>
      </s:c>
    </s:row>
    <s:row r="447">
      <s:c r="A447" s="5" t="n">
        <s:v>46284</s:v>
      </s:c>
      <s:c r="B447" s="2" t="n">
        <s:v>10</s:v>
      </s:c>
      <s:c r="C447" s="6" t="n">
        <s:v>3047.327</s:v>
      </s:c>
      <s:c r="D447" s="6" t="n">
        <s:v>3612.56885</s:v>
      </s:c>
      <s:c r="E447" s="6" t="n">
        <s:v>2130.462</s:v>
      </s:c>
      <s:c r="F447" s="6" t="n">
        <s:v>3060.80078</s:v>
      </s:c>
      <s:c r="G447" s="6" t="n">
        <s:v>2567.09814</s:v>
      </s:c>
      <s:c r="H447" s="6" t="n">
        <s:v>2054.45044</s:v>
      </s:c>
      <s:c r="I447" s="6" t="n"/>
      <s:c r="J447" s="6" t="str">
        <s:f>IF(AND(COUNT(C447:I447)=7,COUNT('Потребление (МВт·ч)'!C447:I447)=7,SUM('Потребление (МВт·ч)'!C447:I447)&gt;0),SUMPRODUCT(C447:I447,'Потребление (МВт·ч)'!C447:I447)/SUM('Потребление (МВт·ч)'!C447:I447),"")</s:f>
      </s:c>
      <s:c r="K447" s="6" t="n">
        <s:f>IF(SUMIF(C447:I447,"&lt;&gt;",'Потребление (МВт·ч)'!C447:I447)&gt;0,SUMPRODUCT(C447:I447,'Потребление (МВт·ч)'!C447:I447)/SUMIF(C447:I447,"&lt;&gt;",'Потребление (МВт·ч)'!C447:I447),"")</s:f>
        <s:v>2769.73675444045</s:v>
      </s:c>
      <s:c r="L447" s="6" t="n">
        <s:f>IF(COUNT(C447:I447)&gt;0,AVERAGE(C447:I447),"")</s:f>
        <s:v>2745.4512016666667</s:v>
      </s:c>
      <s:c r="M447" s="10" t="n">
        <s:f>COUNT(C447:I447)</s:f>
        <s:v>6</s:v>
      </s:c>
      <s:c r="N447" s="11" t="n">
        <s:f>IF(AND(COUNT('Потребление (МВт·ч)'!C447:I447)=7,SUM('Потребление (МВт·ч)'!C447:I447)&gt;0),SUMIF(C447:I447,"&lt;&gt;",'Потребление (МВт·ч)'!C447:I447)/SUM('Потребление (МВт·ч)'!C447:I447),"")</s:f>
        <s:v>0.9566326320725999</s:v>
      </s:c>
    </s:row>
    <s:row r="448">
      <s:c r="A448" s="5" t="n">
        <s:v>46284</s:v>
      </s:c>
      <s:c r="B448" s="2" t="n">
        <s:v>11</s:v>
      </s:c>
      <s:c r="C448" s="6" t="n">
        <s:v>2844.74268</s:v>
      </s:c>
      <s:c r="D448" s="6" t="n">
        <s:v>3556.04932</s:v>
      </s:c>
      <s:c r="E448" s="6" t="n">
        <s:v>2161.19434</s:v>
      </s:c>
      <s:c r="F448" s="6" t="n">
        <s:v>3018.41968</s:v>
      </s:c>
      <s:c r="G448" s="6" t="n">
        <s:v>2523.43335</s:v>
      </s:c>
      <s:c r="H448" s="6" t="n">
        <s:v>2020.397</s:v>
      </s:c>
      <s:c r="I448" s="6" t="n"/>
      <s:c r="J448" s="6" t="str">
        <s:f>IF(AND(COUNT(C448:I448)=7,COUNT('Потребление (МВт·ч)'!C448:I448)=7,SUM('Потребление (МВт·ч)'!C448:I448)&gt;0),SUMPRODUCT(C448:I448,'Потребление (МВт·ч)'!C448:I448)/SUM('Потребление (МВт·ч)'!C448:I448),"")</s:f>
      </s:c>
      <s:c r="K448" s="6" t="n">
        <s:f>IF(SUMIF(C448:I448,"&lt;&gt;",'Потребление (МВт·ч)'!C448:I448)&gt;0,SUMPRODUCT(C448:I448,'Потребление (МВт·ч)'!C448:I448)/SUMIF(C448:I448,"&lt;&gt;",'Потребление (МВт·ч)'!C448:I448),"")</s:f>
        <s:v>2721.0259777663605</s:v>
      </s:c>
      <s:c r="L448" s="6" t="n">
        <s:f>IF(COUNT(C448:I448)&gt;0,AVERAGE(C448:I448),"")</s:f>
        <s:v>2687.3727283333333</s:v>
      </s:c>
      <s:c r="M448" s="10" t="n">
        <s:f>COUNT(C448:I448)</s:f>
        <s:v>6</s:v>
      </s:c>
      <s:c r="N448" s="11" t="n">
        <s:f>IF(AND(COUNT('Потребление (МВт·ч)'!C448:I448)=7,SUM('Потребление (МВт·ч)'!C448:I448)&gt;0),SUMIF(C448:I448,"&lt;&gt;",'Потребление (МВт·ч)'!C448:I448)/SUM('Потребление (МВт·ч)'!C448:I448),"")</s:f>
        <s:v>0.9560558307068888</s:v>
      </s:c>
    </s:row>
    <s:row r="449">
      <s:c r="A449" s="5" t="n">
        <s:v>46284</s:v>
      </s:c>
      <s:c r="B449" s="2" t="n">
        <s:v>12</s:v>
      </s:c>
      <s:c r="C449" s="6" t="n">
        <s:v>2745.13477</s:v>
      </s:c>
      <s:c r="D449" s="6" t="n">
        <s:v>3497.27124</s:v>
      </s:c>
      <s:c r="E449" s="6" t="n">
        <s:v>2381.878</s:v>
      </s:c>
      <s:c r="F449" s="6" t="n">
        <s:v>2986.88647</s:v>
      </s:c>
      <s:c r="G449" s="6" t="n">
        <s:v>2510.676</s:v>
      </s:c>
      <s:c r="H449" s="6" t="n">
        <s:v>2146.464</s:v>
      </s:c>
      <s:c r="I449" s="6" t="n"/>
      <s:c r="J449" s="6" t="str">
        <s:f>IF(AND(COUNT(C449:I449)=7,COUNT('Потребление (МВт·ч)'!C449:I449)=7,SUM('Потребление (МВт·ч)'!C449:I449)&gt;0),SUMPRODUCT(C449:I449,'Потребление (МВт·ч)'!C449:I449)/SUM('Потребление (МВт·ч)'!C449:I449),"")</s:f>
      </s:c>
      <s:c r="K449" s="6" t="n">
        <s:f>IF(SUMIF(C449:I449,"&lt;&gt;",'Потребление (МВт·ч)'!C449:I449)&gt;0,SUMPRODUCT(C449:I449,'Потребление (МВт·ч)'!C449:I449)/SUMIF(C449:I449,"&lt;&gt;",'Потребление (МВт·ч)'!C449:I449),"")</s:f>
        <s:v>2739.483504289437</s:v>
      </s:c>
      <s:c r="L449" s="6" t="n">
        <s:f>IF(COUNT(C449:I449)&gt;0,AVERAGE(C449:I449),"")</s:f>
        <s:v>2711.38508</s:v>
      </s:c>
      <s:c r="M449" s="10" t="n">
        <s:f>COUNT(C449:I449)</s:f>
        <s:v>6</s:v>
      </s:c>
      <s:c r="N449" s="11" t="n">
        <s:f>IF(AND(COUNT('Потребление (МВт·ч)'!C449:I449)=7,SUM('Потребление (МВт·ч)'!C449:I449)&gt;0),SUMIF(C449:I449,"&lt;&gt;",'Потребление (МВт·ч)'!C449:I449)/SUM('Потребление (МВт·ч)'!C449:I449),"")</s:f>
        <s:v>0.9548134401891875</s:v>
      </s:c>
    </s:row>
    <s:row r="450">
      <s:c r="A450" s="5" t="n">
        <s:v>46284</s:v>
      </s:c>
      <s:c r="B450" s="2" t="n">
        <s:v>13</s:v>
      </s:c>
      <s:c r="C450" s="6" t="n">
        <s:v>2699.34717</s:v>
      </s:c>
      <s:c r="D450" s="6" t="n">
        <s:v>3196.145</s:v>
      </s:c>
      <s:c r="E450" s="6" t="n">
        <s:v>2753.2522</s:v>
      </s:c>
      <s:c r="F450" s="6" t="n">
        <s:v>2977.46045</s:v>
      </s:c>
      <s:c r="G450" s="6" t="n">
        <s:v>2509.11938</s:v>
      </s:c>
      <s:c r="H450" s="6" t="n">
        <s:v>2246.11157</s:v>
      </s:c>
      <s:c r="I450" s="6" t="n"/>
      <s:c r="J450" s="6" t="str">
        <s:f>IF(AND(COUNT(C450:I450)=7,COUNT('Потребление (МВт·ч)'!C450:I450)=7,SUM('Потребление (МВт·ч)'!C450:I450)&gt;0),SUMPRODUCT(C450:I450,'Потребление (МВт·ч)'!C450:I450)/SUM('Потребление (МВт·ч)'!C450:I450),"")</s:f>
      </s:c>
      <s:c r="K450" s="6" t="n">
        <s:f>IF(SUMIF(C450:I450,"&lt;&gt;",'Потребление (МВт·ч)'!C450:I450)&gt;0,SUMPRODUCT(C450:I450,'Потребление (МВт·ч)'!C450:I450)/SUMIF(C450:I450,"&lt;&gt;",'Потребление (МВт·ч)'!C450:I450),"")</s:f>
        <s:v>2716.8953621930614</s:v>
      </s:c>
      <s:c r="L450" s="6" t="n">
        <s:f>IF(COUNT(C450:I450)&gt;0,AVERAGE(C450:I450),"")</s:f>
        <s:v>2730.239295</s:v>
      </s:c>
      <s:c r="M450" s="10" t="n">
        <s:f>COUNT(C450:I450)</s:f>
        <s:v>6</s:v>
      </s:c>
      <s:c r="N450" s="11" t="n">
        <s:f>IF(AND(COUNT('Потребление (МВт·ч)'!C450:I450)=7,SUM('Потребление (МВт·ч)'!C450:I450)&gt;0),SUMIF(C450:I450,"&lt;&gt;",'Потребление (МВт·ч)'!C450:I450)/SUM('Потребление (МВт·ч)'!C450:I450),"")</s:f>
        <s:v>0.9556933873677967</s:v>
      </s:c>
    </s:row>
    <s:row r="451">
      <s:c r="A451" s="5" t="n">
        <s:v>46284</s:v>
      </s:c>
      <s:c r="B451" s="2" t="n">
        <s:v>14</s:v>
      </s:c>
      <s:c r="C451" s="6" t="n">
        <s:v>2619.71216</s:v>
      </s:c>
      <s:c r="D451" s="6" t="n">
        <s:v>3139.79468</s:v>
      </s:c>
      <s:c r="E451" s="6" t="n">
        <s:v>2757.825</s:v>
      </s:c>
      <s:c r="F451" s="6" t="n">
        <s:v>2896.5105</s:v>
      </s:c>
      <s:c r="G451" s="6" t="n">
        <s:v>2448.82</s:v>
      </s:c>
      <s:c r="H451" s="6" t="n">
        <s:v>1998.843</s:v>
      </s:c>
      <s:c r="I451" s="6" t="n"/>
      <s:c r="J451" s="6" t="str">
        <s:f>IF(AND(COUNT(C451:I451)=7,COUNT('Потребление (МВт·ч)'!C451:I451)=7,SUM('Потребление (МВт·ч)'!C451:I451)&gt;0),SUMPRODUCT(C451:I451,'Потребление (МВт·ч)'!C451:I451)/SUM('Потребление (МВт·ч)'!C451:I451),"")</s:f>
      </s:c>
      <s:c r="K451" s="6" t="n">
        <s:f>IF(SUMIF(C451:I451,"&lt;&gt;",'Потребление (МВт·ч)'!C451:I451)&gt;0,SUMPRODUCT(C451:I451,'Потребление (МВт·ч)'!C451:I451)/SUMIF(C451:I451,"&lt;&gt;",'Потребление (МВт·ч)'!C451:I451),"")</s:f>
        <s:v>2620.2082820908154</s:v>
      </s:c>
      <s:c r="L451" s="6" t="n">
        <s:f>IF(COUNT(C451:I451)&gt;0,AVERAGE(C451:I451),"")</s:f>
        <s:v>2643.5842233333333</s:v>
      </s:c>
      <s:c r="M451" s="10" t="n">
        <s:f>COUNT(C451:I451)</s:f>
        <s:v>6</s:v>
      </s:c>
      <s:c r="N451" s="11" t="n">
        <s:f>IF(AND(COUNT('Потребление (МВт·ч)'!C451:I451)=7,SUM('Потребление (МВт·ч)'!C451:I451)&gt;0),SUMIF(C451:I451,"&lt;&gt;",'Потребление (МВт·ч)'!C451:I451)/SUM('Потребление (МВт·ч)'!C451:I451),"")</s:f>
        <s:v>0.9565253156747419</s:v>
      </s:c>
    </s:row>
    <s:row r="452">
      <s:c r="A452" s="5" t="n">
        <s:v>46284</s:v>
      </s:c>
      <s:c r="B452" s="2" t="n">
        <s:v>15</s:v>
      </s:c>
      <s:c r="C452" s="6" t="n">
        <s:v>2591.037</s:v>
      </s:c>
      <s:c r="D452" s="6" t="n">
        <s:v>3093.20679</s:v>
      </s:c>
      <s:c r="E452" s="6" t="n">
        <s:v>2767.4895</s:v>
      </s:c>
      <s:c r="F452" s="6" t="n">
        <s:v>2871.10229</s:v>
      </s:c>
      <s:c r="G452" s="6" t="n">
        <s:v>2478.09937</s:v>
      </s:c>
      <s:c r="H452" s="6" t="n">
        <s:v>2067.89722</s:v>
      </s:c>
      <s:c r="I452" s="6" t="n"/>
      <s:c r="J452" s="6" t="str">
        <s:f>IF(AND(COUNT(C452:I452)=7,COUNT('Потребление (МВт·ч)'!C452:I452)=7,SUM('Потребление (МВт·ч)'!C452:I452)&gt;0),SUMPRODUCT(C452:I452,'Потребление (МВт·ч)'!C452:I452)/SUM('Потребление (МВт·ч)'!C452:I452),"")</s:f>
      </s:c>
      <s:c r="K452" s="6" t="n">
        <s:f>IF(SUMIF(C452:I452,"&lt;&gt;",'Потребление (МВт·ч)'!C452:I452)&gt;0,SUMPRODUCT(C452:I452,'Потребление (МВт·ч)'!C452:I452)/SUMIF(C452:I452,"&lt;&gt;",'Потребление (МВт·ч)'!C452:I452),"")</s:f>
        <s:v>2624.66943992092</s:v>
      </s:c>
      <s:c r="L452" s="6" t="n">
        <s:f>IF(COUNT(C452:I452)&gt;0,AVERAGE(C452:I452),"")</s:f>
        <s:v>2644.805361666666</s:v>
      </s:c>
      <s:c r="M452" s="10" t="n">
        <s:f>COUNT(C452:I452)</s:f>
        <s:v>6</s:v>
      </s:c>
      <s:c r="N452" s="11" t="n">
        <s:f>IF(AND(COUNT('Потребление (МВт·ч)'!C452:I452)=7,SUM('Потребление (МВт·ч)'!C452:I452)&gt;0),SUMIF(C452:I452,"&lt;&gt;",'Потребление (МВт·ч)'!C452:I452)/SUM('Потребление (МВт·ч)'!C452:I452),"")</s:f>
        <s:v>0.9573336855836072</s:v>
      </s:c>
    </s:row>
    <s:row r="453">
      <s:c r="A453" s="5" t="n">
        <s:v>46284</s:v>
      </s:c>
      <s:c r="B453" s="2" t="n">
        <s:v>16</s:v>
      </s:c>
      <s:c r="C453" s="6" t="n">
        <s:v>2581.55933</s:v>
      </s:c>
      <s:c r="D453" s="6" t="n">
        <s:v>3026.02</s:v>
      </s:c>
      <s:c r="E453" s="6" t="n">
        <s:v>2885.6582</s:v>
      </s:c>
      <s:c r="F453" s="6" t="n">
        <s:v>2878.04541</s:v>
      </s:c>
      <s:c r="G453" s="6" t="n">
        <s:v>2513.33618</s:v>
      </s:c>
      <s:c r="H453" s="6" t="n">
        <s:v>2084.79761</s:v>
      </s:c>
      <s:c r="I453" s="6" t="n"/>
      <s:c r="J453" s="6" t="str">
        <s:f>IF(AND(COUNT(C453:I453)=7,COUNT('Потребление (МВт·ч)'!C453:I453)=7,SUM('Потребление (МВт·ч)'!C453:I453)&gt;0),SUMPRODUCT(C453:I453,'Потребление (МВт·ч)'!C453:I453)/SUM('Потребление (МВт·ч)'!C453:I453),"")</s:f>
      </s:c>
      <s:c r="K453" s="6" t="n">
        <s:f>IF(SUMIF(C453:I453,"&lt;&gt;",'Потребление (МВт·ч)'!C453:I453)&gt;0,SUMPRODUCT(C453:I453,'Потребление (МВт·ч)'!C453:I453)/SUMIF(C453:I453,"&lt;&gt;",'Потребление (МВт·ч)'!C453:I453),"")</s:f>
        <s:v>2632.497322007274</s:v>
      </s:c>
      <s:c r="L453" s="6" t="n">
        <s:f>IF(COUNT(C453:I453)&gt;0,AVERAGE(C453:I453),"")</s:f>
        <s:v>2661.5694550000003</s:v>
      </s:c>
      <s:c r="M453" s="10" t="n">
        <s:f>COUNT(C453:I453)</s:f>
        <s:v>6</s:v>
      </s:c>
      <s:c r="N453" s="11" t="n">
        <s:f>IF(AND(COUNT('Потребление (МВт·ч)'!C453:I453)=7,SUM('Потребление (МВт·ч)'!C453:I453)&gt;0),SUMIF(C453:I453,"&lt;&gt;",'Потребление (МВт·ч)'!C453:I453)/SUM('Потребление (МВт·ч)'!C453:I453),"")</s:f>
        <s:v>0.9598394241877707</s:v>
      </s:c>
    </s:row>
    <s:row r="454">
      <s:c r="A454" s="5" t="n">
        <s:v>46284</s:v>
      </s:c>
      <s:c r="B454" s="2" t="n">
        <s:v>17</s:v>
      </s:c>
      <s:c r="C454" s="6" t="n">
        <s:v>2580.82715</s:v>
      </s:c>
      <s:c r="D454" s="6" t="n">
        <s:v>3027.71362</s:v>
      </s:c>
      <s:c r="E454" s="6" t="n">
        <s:v>2940.82959</s:v>
      </s:c>
      <s:c r="F454" s="6" t="n">
        <s:v>2878.29224</s:v>
      </s:c>
      <s:c r="G454" s="6" t="n">
        <s:v>2500.89917</s:v>
      </s:c>
      <s:c r="H454" s="6" t="n">
        <s:v>1775.339</s:v>
      </s:c>
      <s:c r="I454" s="6" t="n"/>
      <s:c r="J454" s="6" t="str">
        <s:f>IF(AND(COUNT(C454:I454)=7,COUNT('Потребление (МВт·ч)'!C454:I454)=7,SUM('Потребление (МВт·ч)'!C454:I454)&gt;0),SUMPRODUCT(C454:I454,'Потребление (МВт·ч)'!C454:I454)/SUM('Потребление (МВт·ч)'!C454:I454),"")</s:f>
      </s:c>
      <s:c r="K454" s="6" t="n">
        <s:f>IF(SUMIF(C454:I454,"&lt;&gt;",'Потребление (МВт·ч)'!C454:I454)&gt;0,SUMPRODUCT(C454:I454,'Потребление (МВт·ч)'!C454:I454)/SUMIF(C454:I454,"&lt;&gt;",'Потребление (МВт·ч)'!C454:I454),"")</s:f>
        <s:v>2571.176826280735</s:v>
      </s:c>
      <s:c r="L454" s="6" t="n">
        <s:f>IF(COUNT(C454:I454)&gt;0,AVERAGE(C454:I454),"")</s:f>
        <s:v>2617.316795</s:v>
      </s:c>
      <s:c r="M454" s="10" t="n">
        <s:f>COUNT(C454:I454)</s:f>
        <s:v>6</s:v>
      </s:c>
      <s:c r="N454" s="11" t="n">
        <s:f>IF(AND(COUNT('Потребление (МВт·ч)'!C454:I454)=7,SUM('Потребление (МВт·ч)'!C454:I454)&gt;0),SUMIF(C454:I454,"&lt;&gt;",'Потребление (МВт·ч)'!C454:I454)/SUM('Потребление (МВт·ч)'!C454:I454),"")</s:f>
        <s:v>0.9610192177404696</s:v>
      </s:c>
    </s:row>
    <s:row r="455">
      <s:c r="A455" s="5" t="n">
        <s:v>46284</s:v>
      </s:c>
      <s:c r="B455" s="2" t="n">
        <s:v>18</s:v>
      </s:c>
      <s:c r="C455" s="6" t="n">
        <s:v>2696.74878</s:v>
      </s:c>
      <s:c r="D455" s="6" t="n">
        <s:v>3212.66528</s:v>
      </s:c>
      <s:c r="E455" s="6" t="n">
        <s:v>2880.44141</s:v>
      </s:c>
      <s:c r="F455" s="6" t="n">
        <s:v>2949.26245</s:v>
      </s:c>
      <s:c r="G455" s="6" t="n">
        <s:v>2475.46045</s:v>
      </s:c>
      <s:c r="H455" s="6" t="n">
        <s:v>1523.40613</s:v>
      </s:c>
      <s:c r="I455" s="6" t="n"/>
      <s:c r="J455" s="6" t="str">
        <s:f>IF(AND(COUNT(C455:I455)=7,COUNT('Потребление (МВт·ч)'!C455:I455)=7,SUM('Потребление (МВт·ч)'!C455:I455)&gt;0),SUMPRODUCT(C455:I455,'Потребление (МВт·ч)'!C455:I455)/SUM('Потребление (МВт·ч)'!C455:I455),"")</s:f>
      </s:c>
      <s:c r="K455" s="6" t="n">
        <s:f>IF(SUMIF(C455:I455,"&lt;&gt;",'Потребление (МВт·ч)'!C455:I455)&gt;0,SUMPRODUCT(C455:I455,'Потребление (МВт·ч)'!C455:I455)/SUMIF(C455:I455,"&lt;&gt;",'Потребление (МВт·ч)'!C455:I455),"")</s:f>
        <s:v>2586.936595021133</s:v>
      </s:c>
      <s:c r="L455" s="6" t="n">
        <s:f>IF(COUNT(C455:I455)&gt;0,AVERAGE(C455:I455),"")</s:f>
        <s:v>2622.9974166666666</s:v>
      </s:c>
      <s:c r="M455" s="10" t="n">
        <s:f>COUNT(C455:I455)</s:f>
        <s:v>6</s:v>
      </s:c>
      <s:c r="N455" s="11" t="n">
        <s:f>IF(AND(COUNT('Потребление (МВт·ч)'!C455:I455)=7,SUM('Потребление (МВт·ч)'!C455:I455)&gt;0),SUMIF(C455:I455,"&lt;&gt;",'Потребление (МВт·ч)'!C455:I455)/SUM('Потребление (МВт·ч)'!C455:I455),"")</s:f>
        <s:v>0.9619088993991656</s:v>
      </s:c>
    </s:row>
    <s:row r="456">
      <s:c r="A456" s="5" t="n">
        <s:v>46284</s:v>
      </s:c>
      <s:c r="B456" s="2" t="n">
        <s:v>19</s:v>
      </s:c>
      <s:c r="C456" s="6" t="n">
        <s:v>3095.993</s:v>
      </s:c>
      <s:c r="D456" s="6" t="n">
        <s:v>3851.58521</s:v>
      </s:c>
      <s:c r="E456" s="6" t="n">
        <s:v>2924.84033</s:v>
      </s:c>
      <s:c r="F456" s="6" t="n">
        <s:v>3179.607</s:v>
      </s:c>
      <s:c r="G456" s="6" t="n">
        <s:v>2531.73926</s:v>
      </s:c>
      <s:c r="H456" s="6" t="n">
        <s:v>1629.87109</s:v>
      </s:c>
      <s:c r="I456" s="6" t="n"/>
      <s:c r="J456" s="6" t="str">
        <s:f>IF(AND(COUNT(C456:I456)=7,COUNT('Потребление (МВт·ч)'!C456:I456)=7,SUM('Потребление (МВт·ч)'!C456:I456)&gt;0),SUMPRODUCT(C456:I456,'Потребление (МВт·ч)'!C456:I456)/SUM('Потребление (МВт·ч)'!C456:I456),"")</s:f>
      </s:c>
      <s:c r="K456" s="6" t="n">
        <s:f>IF(SUMIF(C456:I456,"&lt;&gt;",'Потребление (МВт·ч)'!C456:I456)&gt;0,SUMPRODUCT(C456:I456,'Потребление (МВт·ч)'!C456:I456)/SUMIF(C456:I456,"&lt;&gt;",'Потребление (МВт·ч)'!C456:I456),"")</s:f>
        <s:v>2859.301904375824</s:v>
      </s:c>
      <s:c r="L456" s="6" t="n">
        <s:f>IF(COUNT(C456:I456)&gt;0,AVERAGE(C456:I456),"")</s:f>
        <s:v>2868.9393149999996</s:v>
      </s:c>
      <s:c r="M456" s="10" t="n">
        <s:f>COUNT(C456:I456)</s:f>
        <s:v>6</s:v>
      </s:c>
      <s:c r="N456" s="11" t="n">
        <s:f>IF(AND(COUNT('Потребление (МВт·ч)'!C456:I456)=7,SUM('Потребление (МВт·ч)'!C456:I456)&gt;0),SUMIF(C456:I456,"&lt;&gt;",'Потребление (МВт·ч)'!C456:I456)/SUM('Потребление (МВт·ч)'!C456:I456),"")</s:f>
        <s:v>0.9620772546419099</s:v>
      </s:c>
    </s:row>
    <s:row r="457">
      <s:c r="A457" s="5" t="n">
        <s:v>46284</s:v>
      </s:c>
      <s:c r="B457" s="2" t="n">
        <s:v>20</s:v>
      </s:c>
      <s:c r="C457" s="6" t="n">
        <s:v>3258.756</s:v>
      </s:c>
      <s:c r="D457" s="6" t="n">
        <s:v>3987.24023</s:v>
      </s:c>
      <s:c r="E457" s="6" t="n">
        <s:v>3010.16235</s:v>
      </s:c>
      <s:c r="F457" s="6" t="n">
        <s:v>3243.80884</s:v>
      </s:c>
      <s:c r="G457" s="6" t="n">
        <s:v>2356.197</s:v>
      </s:c>
      <s:c r="H457" s="6" t="n">
        <s:v>1466.58374</s:v>
      </s:c>
      <s:c r="I457" s="6" t="n"/>
      <s:c r="J457" s="6" t="str">
        <s:f>IF(AND(COUNT(C457:I457)=7,COUNT('Потребление (МВт·ч)'!C457:I457)=7,SUM('Потребление (МВт·ч)'!C457:I457)&gt;0),SUMPRODUCT(C457:I457,'Потребление (МВт·ч)'!C457:I457)/SUM('Потребление (МВт·ч)'!C457:I457),"")</s:f>
      </s:c>
      <s:c r="K457" s="6" t="n">
        <s:f>IF(SUMIF(C457:I457,"&lt;&gt;",'Потребление (МВт·ч)'!C457:I457)&gt;0,SUMPRODUCT(C457:I457,'Потребление (МВт·ч)'!C457:I457)/SUMIF(C457:I457,"&lt;&gt;",'Потребление (МВт·ч)'!C457:I457),"")</s:f>
        <s:v>2854.6512174738173</s:v>
      </s:c>
      <s:c r="L457" s="6" t="n">
        <s:f>IF(COUNT(C457:I457)&gt;0,AVERAGE(C457:I457),"")</s:f>
        <s:v>2887.124693333333</s:v>
      </s:c>
      <s:c r="M457" s="10" t="n">
        <s:f>COUNT(C457:I457)</s:f>
        <s:v>6</s:v>
      </s:c>
      <s:c r="N457" s="11" t="n">
        <s:f>IF(AND(COUNT('Потребление (МВт·ч)'!C457:I457)=7,SUM('Потребление (МВт·ч)'!C457:I457)&gt;0),SUMIF(C457:I457,"&lt;&gt;",'Потребление (МВт·ч)'!C457:I457)/SUM('Потребление (МВт·ч)'!C457:I457),"")</s:f>
        <s:v>0.962317300474829</s:v>
      </s:c>
    </s:row>
    <s:row r="458">
      <s:c r="A458" s="5" t="n">
        <s:v>46284</s:v>
      </s:c>
      <s:c r="B458" s="2" t="n">
        <s:v>21</s:v>
      </s:c>
      <s:c r="C458" s="6" t="n">
        <s:v>2461.12866</s:v>
      </s:c>
      <s:c r="D458" s="6" t="n">
        <s:v>2928.83057</s:v>
      </s:c>
      <s:c r="E458" s="6" t="n">
        <s:v>2990.2417</s:v>
      </s:c>
      <s:c r="F458" s="6" t="n">
        <s:v>2773.58838</s:v>
      </s:c>
      <s:c r="G458" s="6" t="n">
        <s:v>2185.26831</s:v>
      </s:c>
      <s:c r="H458" s="6" t="n">
        <s:v>1486.19714</s:v>
      </s:c>
      <s:c r="I458" s="6" t="n"/>
      <s:c r="J458" s="6" t="str">
        <s:f>IF(AND(COUNT(C458:I458)=7,COUNT('Потребление (МВт·ч)'!C458:I458)=7,SUM('Потребление (МВт·ч)'!C458:I458)&gt;0),SUMPRODUCT(C458:I458,'Потребление (МВт·ч)'!C458:I458)/SUM('Потребление (МВт·ч)'!C458:I458),"")</s:f>
      </s:c>
      <s:c r="K458" s="6" t="n">
        <s:f>IF(SUMIF(C458:I458,"&lt;&gt;",'Потребление (МВт·ч)'!C458:I458)&gt;0,SUMPRODUCT(C458:I458,'Потребление (МВт·ч)'!C458:I458)/SUMIF(C458:I458,"&lt;&gt;",'Потребление (МВт·ч)'!C458:I458),"")</s:f>
        <s:v>2408.066994091212</s:v>
      </s:c>
      <s:c r="L458" s="6" t="n">
        <s:f>IF(COUNT(C458:I458)&gt;0,AVERAGE(C458:I458),"")</s:f>
        <s:v>2470.875793333333</s:v>
      </s:c>
      <s:c r="M458" s="10" t="n">
        <s:f>COUNT(C458:I458)</s:f>
        <s:v>6</s:v>
      </s:c>
      <s:c r="N458" s="11" t="n">
        <s:f>IF(AND(COUNT('Потребление (МВт·ч)'!C458:I458)=7,SUM('Потребление (МВт·ч)'!C458:I458)&gt;0),SUMIF(C458:I458,"&lt;&gt;",'Потребление (МВт·ч)'!C458:I458)/SUM('Потребление (МВт·ч)'!C458:I458),"")</s:f>
        <s:v>0.9610923276983095</s:v>
      </s:c>
    </s:row>
    <s:row r="459">
      <s:c r="A459" s="5" t="n">
        <s:v>46284</s:v>
      </s:c>
      <s:c r="B459" s="2" t="n">
        <s:v>22</s:v>
      </s:c>
      <s:c r="C459" s="6" t="n">
        <s:v>2103.46069</s:v>
      </s:c>
      <s:c r="D459" s="6" t="n">
        <s:v>2457.94165</s:v>
      </s:c>
      <s:c r="E459" s="6" t="n">
        <s:v>2529.30859</s:v>
      </s:c>
      <s:c r="F459" s="6" t="n">
        <s:v>2335.28247</s:v>
      </s:c>
      <s:c r="G459" s="6" t="n">
        <s:v>1903.10828</s:v>
      </s:c>
      <s:c r="H459" s="6" t="n">
        <s:v>1273.18616</s:v>
      </s:c>
      <s:c r="I459" s="6" t="n"/>
      <s:c r="J459" s="6" t="str">
        <s:f>IF(AND(COUNT(C459:I459)=7,COUNT('Потребление (МВт·ч)'!C459:I459)=7,SUM('Потребление (МВт·ч)'!C459:I459)&gt;0),SUMPRODUCT(C459:I459,'Потребление (МВт·ч)'!C459:I459)/SUM('Потребление (МВт·ч)'!C459:I459),"")</s:f>
      </s:c>
      <s:c r="K459" s="6" t="n">
        <s:f>IF(SUMIF(C459:I459,"&lt;&gt;",'Потребление (МВт·ч)'!C459:I459)&gt;0,SUMPRODUCT(C459:I459,'Потребление (МВт·ч)'!C459:I459)/SUMIF(C459:I459,"&lt;&gt;",'Потребление (МВт·ч)'!C459:I459),"")</s:f>
        <s:v>2037.4672763536578</s:v>
      </s:c>
      <s:c r="L459" s="6" t="n">
        <s:f>IF(COUNT(C459:I459)&gt;0,AVERAGE(C459:I459),"")</s:f>
        <s:v>2100.3813066666667</s:v>
      </s:c>
      <s:c r="M459" s="10" t="n">
        <s:f>COUNT(C459:I459)</s:f>
        <s:v>6</s:v>
      </s:c>
      <s:c r="N459" s="11" t="n">
        <s:f>IF(AND(COUNT('Потребление (МВт·ч)'!C459:I459)=7,SUM('Потребление (МВт·ч)'!C459:I459)&gt;0),SUMIF(C459:I459,"&lt;&gt;",'Потребление (МВт·ч)'!C459:I459)/SUM('Потребление (МВт·ч)'!C459:I459),"")</s:f>
        <s:v>0.9584393630126516</s:v>
      </s:c>
    </s:row>
    <s:row r="460">
      <s:c r="A460" s="5" t="n">
        <s:v>46284</s:v>
      </s:c>
      <s:c r="B460" s="2" t="n">
        <s:v>23</s:v>
      </s:c>
      <s:c r="C460" s="6" t="n">
        <s:v>2028.3512</s:v>
      </s:c>
      <s:c r="D460" s="6" t="n">
        <s:v>2376.25732</s:v>
      </s:c>
      <s:c r="E460" s="6" t="n">
        <s:v>2419.70386</s:v>
      </s:c>
      <s:c r="F460" s="6" t="n">
        <s:v>2268.40356</s:v>
      </s:c>
      <s:c r="G460" s="6" t="n">
        <s:v>1886.68542</s:v>
      </s:c>
      <s:c r="H460" s="6" t="n">
        <s:v>1497.62781</s:v>
      </s:c>
      <s:c r="I460" s="6" t="n"/>
      <s:c r="J460" s="6" t="str">
        <s:f>IF(AND(COUNT(C460:I460)=7,COUNT('Потребление (МВт·ч)'!C460:I460)=7,SUM('Потребление (МВт·ч)'!C460:I460)&gt;0),SUMPRODUCT(C460:I460,'Потребление (МВт·ч)'!C460:I460)/SUM('Потребление (МВт·ч)'!C460:I460),"")</s:f>
      </s:c>
      <s:c r="K460" s="6" t="n">
        <s:f>IF(SUMIF(C460:I460,"&lt;&gt;",'Потребление (МВт·ч)'!C460:I460)&gt;0,SUMPRODUCT(C460:I460,'Потребление (МВт·ч)'!C460:I460)/SUMIF(C460:I460,"&lt;&gt;",'Потребление (МВт·ч)'!C460:I460),"")</s:f>
        <s:v>2030.9615832212598</s:v>
      </s:c>
      <s:c r="L460" s="6" t="n">
        <s:f>IF(COUNT(C460:I460)&gt;0,AVERAGE(C460:I460),"")</s:f>
        <s:v>2079.504861666667</s:v>
      </s:c>
      <s:c r="M460" s="10" t="n">
        <s:f>COUNT(C460:I460)</s:f>
        <s:v>6</s:v>
      </s:c>
      <s:c r="N460" s="11" t="n">
        <s:f>IF(AND(COUNT('Потребление (МВт·ч)'!C460:I460)=7,SUM('Потребление (МВт·ч)'!C460:I460)&gt;0),SUMIF(C460:I460,"&lt;&gt;",'Потребление (МВт·ч)'!C460:I460)/SUM('Потребление (МВт·ч)'!C460:I460),"")</s:f>
        <s:v>0.9573109932812107</s:v>
      </s:c>
    </s:row>
    <s:row r="461">
      <s:c r="A461" s="5" t="n">
        <s:v>46285</s:v>
      </s:c>
      <s:c r="B461" s="2" t="n">
        <s:v>0</s:v>
      </s:c>
      <s:c r="C461" s="6" t="n">
        <s:v>1959.72437</s:v>
      </s:c>
      <s:c r="D461" s="6" t="n">
        <s:v>2349.54272</s:v>
      </s:c>
      <s:c r="E461" s="6" t="n">
        <s:v>2427.635</s:v>
      </s:c>
      <s:c r="F461" s="6" t="n">
        <s:v>2260.31885</s:v>
      </s:c>
      <s:c r="G461" s="6" t="n">
        <s:v>1843.62292</s:v>
      </s:c>
      <s:c r="H461" s="6" t="n">
        <s:v>1604.85669</s:v>
      </s:c>
      <s:c r="I461" s="6" t="n"/>
      <s:c r="J461" s="6" t="str">
        <s:f>IF(AND(COUNT(C461:I461)=7,COUNT('Потребление (МВт·ч)'!C461:I461)=7,SUM('Потребление (МВт·ч)'!C461:I461)&gt;0),SUMPRODUCT(C461:I461,'Потребление (МВт·ч)'!C461:I461)/SUM('Потребление (МВт·ч)'!C461:I461),"")</s:f>
      </s:c>
      <s:c r="K461" s="6" t="n">
        <s:f>IF(SUMIF(C461:I461,"&lt;&gt;",'Потребление (МВт·ч)'!C461:I461)&gt;0,SUMPRODUCT(C461:I461,'Потребление (МВт·ч)'!C461:I461)/SUMIF(C461:I461,"&lt;&gt;",'Потребление (МВт·ч)'!C461:I461),"")</s:f>
        <s:v>2025.01434245242</s:v>
      </s:c>
      <s:c r="L461" s="6" t="n">
        <s:f>IF(COUNT(C461:I461)&gt;0,AVERAGE(C461:I461),"")</s:f>
        <s:v>2074.283425</s:v>
      </s:c>
      <s:c r="M461" s="10" t="n">
        <s:f>COUNT(C461:I461)</s:f>
        <s:v>6</s:v>
      </s:c>
      <s:c r="N461" s="11" t="n">
        <s:f>IF(AND(COUNT('Потребление (МВт·ч)'!C461:I461)=7,SUM('Потребление (МВт·ч)'!C461:I461)&gt;0),SUMIF(C461:I461,"&lt;&gt;",'Потребление (МВт·ч)'!C461:I461)/SUM('Потребление (МВт·ч)'!C461:I461),"")</s:f>
        <s:v>0.9564089159260492</s:v>
      </s:c>
    </s:row>
    <s:row r="462">
      <s:c r="A462" s="5" t="n">
        <s:v>46285</s:v>
      </s:c>
      <s:c r="B462" s="2" t="n">
        <s:v>1</s:v>
      </s:c>
      <s:c r="C462" s="6" t="n">
        <s:v>1537.57959</s:v>
      </s:c>
      <s:c r="D462" s="6" t="n">
        <s:v>2096.86523</s:v>
      </s:c>
      <s:c r="E462" s="6" t="n">
        <s:v>2126.8457</s:v>
      </s:c>
      <s:c r="F462" s="6" t="n">
        <s:v>2043.71619</s:v>
      </s:c>
      <s:c r="G462" s="6" t="n">
        <s:v>1768.6322</s:v>
      </s:c>
      <s:c r="H462" s="6" t="n">
        <s:v>1635.4978</s:v>
      </s:c>
      <s:c r="I462" s="6" t="n"/>
      <s:c r="J462" s="6" t="str">
        <s:f>IF(AND(COUNT(C462:I462)=7,COUNT('Потребление (МВт·ч)'!C462:I462)=7,SUM('Потребление (МВт·ч)'!C462:I462)&gt;0),SUMPRODUCT(C462:I462,'Потребление (МВт·ч)'!C462:I462)/SUM('Потребление (МВт·ч)'!C462:I462),"")</s:f>
      </s:c>
      <s:c r="K462" s="6" t="n">
        <s:f>IF(SUMIF(C462:I462,"&lt;&gt;",'Потребление (МВт·ч)'!C462:I462)&gt;0,SUMPRODUCT(C462:I462,'Потребление (МВт·ч)'!C462:I462)/SUMIF(C462:I462,"&lt;&gt;",'Потребление (МВт·ч)'!C462:I462),"")</s:f>
        <s:v>1858.1278455614859</s:v>
      </s:c>
      <s:c r="L462" s="6" t="n">
        <s:f>IF(COUNT(C462:I462)&gt;0,AVERAGE(C462:I462),"")</s:f>
        <s:v>1868.1894516666664</s:v>
      </s:c>
      <s:c r="M462" s="10" t="n">
        <s:f>COUNT(C462:I462)</s:f>
        <s:v>6</s:v>
      </s:c>
      <s:c r="N462" s="11" t="n">
        <s:f>IF(AND(COUNT('Потребление (МВт·ч)'!C462:I462)=7,SUM('Потребление (МВт·ч)'!C462:I462)&gt;0),SUMIF(C462:I462,"&lt;&gt;",'Потребление (МВт·ч)'!C462:I462)/SUM('Потребление (МВт·ч)'!C462:I462),"")</s:f>
        <s:v>0.952068820332236</s:v>
      </s:c>
    </s:row>
    <s:row r="463">
      <s:c r="A463" s="5" t="n">
        <s:v>46285</s:v>
      </s:c>
      <s:c r="B463" s="2" t="n">
        <s:v>2</s:v>
      </s:c>
      <s:c r="C463" s="6" t="n">
        <s:v>1706.81763</s:v>
      </s:c>
      <s:c r="D463" s="6" t="n">
        <s:v>1960.47083</s:v>
      </s:c>
      <s:c r="E463" s="6" t="n">
        <s:v>1993.59766</s:v>
      </s:c>
      <s:c r="F463" s="6" t="n">
        <s:v>1937.75366</s:v>
      </s:c>
      <s:c r="G463" s="6" t="n">
        <s:v>1727.24561</s:v>
      </s:c>
      <s:c r="H463" s="6" t="n">
        <s:v>1638.11975</s:v>
      </s:c>
      <s:c r="I463" s="6" t="n"/>
      <s:c r="J463" s="6" t="str">
        <s:f>IF(AND(COUNT(C463:I463)=7,COUNT('Потребление (МВт·ч)'!C463:I463)=7,SUM('Потребление (МВт·ч)'!C463:I463)&gt;0),SUMPRODUCT(C463:I463,'Потребление (МВт·ч)'!C463:I463)/SUM('Потребление (МВт·ч)'!C463:I463),"")</s:f>
      </s:c>
      <s:c r="K463" s="6" t="n">
        <s:f>IF(SUMIF(C463:I463,"&lt;&gt;",'Потребление (МВт·ч)'!C463:I463)&gt;0,SUMPRODUCT(C463:I463,'Потребление (МВт·ч)'!C463:I463)/SUMIF(C463:I463,"&lt;&gt;",'Потребление (МВт·ч)'!C463:I463),"")</s:f>
        <s:v>1807.0656413565564</s:v>
      </s:c>
      <s:c r="L463" s="6" t="n">
        <s:f>IF(COUNT(C463:I463)&gt;0,AVERAGE(C463:I463),"")</s:f>
        <s:v>1827.3341899999998</s:v>
      </s:c>
      <s:c r="M463" s="10" t="n">
        <s:f>COUNT(C463:I463)</s:f>
        <s:v>6</s:v>
      </s:c>
      <s:c r="N463" s="11" t="n">
        <s:f>IF(AND(COUNT('Потребление (МВт·ч)'!C463:I463)=7,SUM('Потребление (МВт·ч)'!C463:I463)&gt;0),SUMIF(C463:I463,"&lt;&gt;",'Потребление (МВт·ч)'!C463:I463)/SUM('Потребление (МВт·ч)'!C463:I463),"")</s:f>
        <s:v>0.9500682679179246</s:v>
      </s:c>
    </s:row>
    <s:row r="464">
      <s:c r="A464" s="5" t="n">
        <s:v>46285</s:v>
      </s:c>
      <s:c r="B464" s="2" t="n">
        <s:v>3</s:v>
      </s:c>
      <s:c r="C464" s="6" t="n">
        <s:v>1704.75</s:v>
      </s:c>
      <s:c r="D464" s="6" t="n">
        <s:v>1962.96</s:v>
      </s:c>
      <s:c r="E464" s="6" t="n">
        <s:v>2012.87354</s:v>
      </s:c>
      <s:c r="F464" s="6" t="n">
        <s:v>1945.19678</s:v>
      </s:c>
      <s:c r="G464" s="6" t="n">
        <s:v>1733.18884</s:v>
      </s:c>
      <s:c r="H464" s="6" t="n">
        <s:v>1598.84583</s:v>
      </s:c>
      <s:c r="I464" s="6" t="n"/>
      <s:c r="J464" s="6" t="str">
        <s:f>IF(AND(COUNT(C464:I464)=7,COUNT('Потребление (МВт·ч)'!C464:I464)=7,SUM('Потребление (МВт·ч)'!C464:I464)&gt;0),SUMPRODUCT(C464:I464,'Потребление (МВт·ч)'!C464:I464)/SUM('Потребление (МВт·ч)'!C464:I464),"")</s:f>
      </s:c>
      <s:c r="K464" s="6" t="n">
        <s:f>IF(SUMIF(C464:I464,"&lt;&gt;",'Потребление (МВт·ч)'!C464:I464)&gt;0,SUMPRODUCT(C464:I464,'Потребление (МВт·ч)'!C464:I464)/SUMIF(C464:I464,"&lt;&gt;",'Потребление (МВт·ч)'!C464:I464),"")</s:f>
        <s:v>1801.0547007277678</s:v>
      </s:c>
      <s:c r="L464" s="6" t="n">
        <s:f>IF(COUNT(C464:I464)&gt;0,AVERAGE(C464:I464),"")</s:f>
        <s:v>1826.3024983333335</s:v>
      </s:c>
      <s:c r="M464" s="10" t="n">
        <s:f>COUNT(C464:I464)</s:f>
        <s:v>6</s:v>
      </s:c>
      <s:c r="N464" s="11" t="n">
        <s:f>IF(AND(COUNT('Потребление (МВт·ч)'!C464:I464)=7,SUM('Потребление (МВт·ч)'!C464:I464)&gt;0),SUMIF(C464:I464,"&lt;&gt;",'Потребление (МВт·ч)'!C464:I464)/SUM('Потребление (МВт·ч)'!C464:I464),"")</s:f>
        <s:v>0.950801441828361</s:v>
      </s:c>
    </s:row>
    <s:row r="465">
      <s:c r="A465" s="5" t="n">
        <s:v>46285</s:v>
      </s:c>
      <s:c r="B465" s="2" t="n">
        <s:v>4</s:v>
      </s:c>
      <s:c r="C465" s="6" t="n">
        <s:v>1515.06946</s:v>
      </s:c>
      <s:c r="D465" s="6" t="n">
        <s:v>1946.92664</s:v>
      </s:c>
      <s:c r="E465" s="6" t="n">
        <s:v>2036.86719</s:v>
      </s:c>
      <s:c r="F465" s="6" t="n">
        <s:v>1970.00269</s:v>
      </s:c>
      <s:c r="G465" s="6" t="n">
        <s:v>1753.72119</s:v>
      </s:c>
      <s:c r="H465" s="6" t="n">
        <s:v>1671.3186</s:v>
      </s:c>
      <s:c r="I465" s="6" t="n"/>
      <s:c r="J465" s="6" t="str">
        <s:f>IF(AND(COUNT(C465:I465)=7,COUNT('Потребление (МВт·ч)'!C465:I465)=7,SUM('Потребление (МВт·ч)'!C465:I465)&gt;0),SUMPRODUCT(C465:I465,'Потребление (МВт·ч)'!C465:I465)/SUM('Потребление (МВт·ч)'!C465:I465),"")</s:f>
      </s:c>
      <s:c r="K465" s="6" t="n">
        <s:f>IF(SUMIF(C465:I465,"&lt;&gt;",'Потребление (МВт·ч)'!C465:I465)&gt;0,SUMPRODUCT(C465:I465,'Потребление (МВт·ч)'!C465:I465)/SUMIF(C465:I465,"&lt;&gt;",'Потребление (МВт·ч)'!C465:I465),"")</s:f>
        <s:v>1805.723321659167</s:v>
      </s:c>
      <s:c r="L465" s="6" t="n">
        <s:f>IF(COUNT(C465:I465)&gt;0,AVERAGE(C465:I465),"")</s:f>
        <s:v>1815.6509616666665</s:v>
      </s:c>
      <s:c r="M465" s="10" t="n">
        <s:f>COUNT(C465:I465)</s:f>
        <s:v>6</s:v>
      </s:c>
      <s:c r="N465" s="11" t="n">
        <s:f>IF(AND(COUNT('Потребление (МВт·ч)'!C465:I465)=7,SUM('Потребление (МВт·ч)'!C465:I465)&gt;0),SUMIF(C465:I465,"&lt;&gt;",'Потребление (МВт·ч)'!C465:I465)/SUM('Потребление (МВт·ч)'!C465:I465),"")</s:f>
        <s:v>0.9508562212418765</s:v>
      </s:c>
    </s:row>
    <s:row r="466">
      <s:c r="A466" s="5" t="n">
        <s:v>46285</s:v>
      </s:c>
      <s:c r="B466" s="2" t="n">
        <s:v>5</s:v>
      </s:c>
      <s:c r="C466" s="6" t="n">
        <s:v>1519.06165</s:v>
      </s:c>
      <s:c r="D466" s="6" t="n">
        <s:v>2025.212</s:v>
      </s:c>
      <s:c r="E466" s="6" t="n">
        <s:v>2103.418</s:v>
      </s:c>
      <s:c r="F466" s="6" t="n">
        <s:v>2050.81714</s:v>
      </s:c>
      <s:c r="G466" s="6" t="n">
        <s:v>1777.50671</s:v>
      </s:c>
      <s:c r="H466" s="6" t="n">
        <s:v>1678.46082</s:v>
      </s:c>
      <s:c r="I466" s="6" t="n"/>
      <s:c r="J466" s="6" t="str">
        <s:f>IF(AND(COUNT(C466:I466)=7,COUNT('Потребление (МВт·ч)'!C466:I466)=7,SUM('Потребление (МВт·ч)'!C466:I466)&gt;0),SUMPRODUCT(C466:I466,'Потребление (МВт·ч)'!C466:I466)/SUM('Потребление (МВт·ч)'!C466:I466),"")</s:f>
      </s:c>
      <s:c r="K466" s="6" t="n">
        <s:f>IF(SUMIF(C466:I466,"&lt;&gt;",'Потребление (МВт·ч)'!C466:I466)&gt;0,SUMPRODUCT(C466:I466,'Потребление (МВт·ч)'!C466:I466)/SUMIF(C466:I466,"&lt;&gt;",'Потребление (МВт·ч)'!C466:I466),"")</s:f>
        <s:v>1844.7450969140339</s:v>
      </s:c>
      <s:c r="L466" s="6" t="n">
        <s:f>IF(COUNT(C466:I466)&gt;0,AVERAGE(C466:I466),"")</s:f>
        <s:v>1859.079386666667</s:v>
      </s:c>
      <s:c r="M466" s="10" t="n">
        <s:f>COUNT(C466:I466)</s:f>
        <s:v>6</s:v>
      </s:c>
      <s:c r="N466" s="11" t="n">
        <s:f>IF(AND(COUNT('Потребление (МВт·ч)'!C466:I466)=7,SUM('Потребление (МВт·ч)'!C466:I466)&gt;0),SUMIF(C466:I466,"&lt;&gt;",'Потребление (МВт·ч)'!C466:I466)/SUM('Потребление (МВт·ч)'!C466:I466),"")</s:f>
        <s:v>0.9501992777351571</s:v>
      </s:c>
    </s:row>
    <s:row r="467">
      <s:c r="A467" s="5" t="n">
        <s:v>46285</s:v>
      </s:c>
      <s:c r="B467" s="2" t="n">
        <s:v>6</s:v>
      </s:c>
      <s:c r="C467" s="6" t="n">
        <s:v>763.916931</s:v>
      </s:c>
      <s:c r="D467" s="6" t="n">
        <s:v>1902.275</s:v>
      </s:c>
      <s:c r="E467" s="6" t="n">
        <s:v>1937.41907</s:v>
      </s:c>
      <s:c r="F467" s="6" t="n">
        <s:v>1957.1842</s:v>
      </s:c>
      <s:c r="G467" s="6" t="n">
        <s:v>1786.99207</s:v>
      </s:c>
      <s:c r="H467" s="6" t="n">
        <s:v>1687.623</s:v>
      </s:c>
      <s:c r="I467" s="6" t="n"/>
      <s:c r="J467" s="6" t="str">
        <s:f>IF(AND(COUNT(C467:I467)=7,COUNT('Потребление (МВт·ч)'!C467:I467)=7,SUM('Потребление (МВт·ч)'!C467:I467)&gt;0),SUMPRODUCT(C467:I467,'Потребление (МВт·ч)'!C467:I467)/SUM('Потребление (МВт·ч)'!C467:I467),"")</s:f>
      </s:c>
      <s:c r="K467" s="6" t="n">
        <s:f>IF(SUMIF(C467:I467,"&lt;&gt;",'Потребление (МВт·ч)'!C467:I467)&gt;0,SUMPRODUCT(C467:I467,'Потребление (МВт·ч)'!C467:I467)/SUMIF(C467:I467,"&lt;&gt;",'Потребление (МВт·ч)'!C467:I467),"")</s:f>
        <s:v>1730.4178278834102</s:v>
      </s:c>
      <s:c r="L467" s="6" t="n">
        <s:f>IF(COUNT(C467:I467)&gt;0,AVERAGE(C467:I467),"")</s:f>
        <s:v>1672.5683784999999</s:v>
      </s:c>
      <s:c r="M467" s="10" t="n">
        <s:f>COUNT(C467:I467)</s:f>
        <s:v>6</s:v>
      </s:c>
      <s:c r="N467" s="11" t="n">
        <s:f>IF(AND(COUNT('Потребление (МВт·ч)'!C467:I467)=7,SUM('Потребление (МВт·ч)'!C467:I467)&gt;0),SUMIF(C467:I467,"&lt;&gt;",'Потребление (МВт·ч)'!C467:I467)/SUM('Потребление (МВт·ч)'!C467:I467),"")</s:f>
        <s:v>0.9532171740656655</s:v>
      </s:c>
    </s:row>
    <s:row r="468">
      <s:c r="A468" s="5" t="n">
        <s:v>46285</s:v>
      </s:c>
      <s:c r="B468" s="2" t="n">
        <s:v>7</s:v>
      </s:c>
      <s:c r="C468" s="6" t="n">
        <s:v>2064.03345</s:v>
      </s:c>
      <s:c r="D468" s="6" t="n">
        <s:v>2376.98486</s:v>
      </s:c>
      <s:c r="E468" s="6" t="n">
        <s:v>2425.21484</s:v>
      </s:c>
      <s:c r="F468" s="6" t="n">
        <s:v>2332.57</s:v>
      </s:c>
      <s:c r="G468" s="6" t="n">
        <s:v>1950.92407</s:v>
      </s:c>
      <s:c r="H468" s="6" t="n">
        <s:v>1688.514</s:v>
      </s:c>
      <s:c r="I468" s="6" t="n"/>
      <s:c r="J468" s="6" t="str">
        <s:f>IF(AND(COUNT(C468:I468)=7,COUNT('Потребление (МВт·ч)'!C468:I468)=7,SUM('Потребление (МВт·ч)'!C468:I468)&gt;0),SUMPRODUCT(C468:I468,'Потребление (МВт·ч)'!C468:I468)/SUM('Потребление (МВт·ч)'!C468:I468),"")</s:f>
      </s:c>
      <s:c r="K468" s="6" t="n">
        <s:f>IF(SUMIF(C468:I468,"&lt;&gt;",'Потребление (МВт·ч)'!C468:I468)&gt;0,SUMPRODUCT(C468:I468,'Потребление (МВт·ч)'!C468:I468)/SUMIF(C468:I468,"&lt;&gt;",'Потребление (МВт·ч)'!C468:I468),"")</s:f>
        <s:v>2085.3627119018497</s:v>
      </s:c>
      <s:c r="L468" s="6" t="n">
        <s:f>IF(COUNT(C468:I468)&gt;0,AVERAGE(C468:I468),"")</s:f>
        <s:v>2139.70687</s:v>
      </s:c>
      <s:c r="M468" s="10" t="n">
        <s:f>COUNT(C468:I468)</s:f>
        <s:v>6</s:v>
      </s:c>
      <s:c r="N468" s="11" t="n">
        <s:f>IF(AND(COUNT('Потребление (МВт·ч)'!C468:I468)=7,SUM('Потребление (МВт·ч)'!C468:I468)&gt;0),SUMIF(C468:I468,"&lt;&gt;",'Потребление (МВт·ч)'!C468:I468)/SUM('Потребление (МВт·ч)'!C468:I468),"")</s:f>
        <s:v>0.955387429626867</s:v>
      </s:c>
    </s:row>
    <s:row r="469">
      <s:c r="A469" s="5" t="n">
        <s:v>46285</s:v>
      </s:c>
      <s:c r="B469" s="2" t="n">
        <s:v>8</s:v>
      </s:c>
      <s:c r="C469" s="6" t="n">
        <s:v>2433.646</s:v>
      </s:c>
      <s:c r="D469" s="6" t="n">
        <s:v>2849.53564</s:v>
      </s:c>
      <s:c r="E469" s="6" t="n">
        <s:v>2863.426</s:v>
      </s:c>
      <s:c r="F469" s="6" t="n">
        <s:v>2701.59229</s:v>
      </s:c>
      <s:c r="G469" s="6" t="n">
        <s:v>1977.41919</s:v>
      </s:c>
      <s:c r="H469" s="6" t="n">
        <s:v>1692.61646</s:v>
      </s:c>
      <s:c r="I469" s="6" t="n"/>
      <s:c r="J469" s="6" t="str">
        <s:f>IF(AND(COUNT(C469:I469)=7,COUNT('Потребление (МВт·ч)'!C469:I469)=7,SUM('Потребление (МВт·ч)'!C469:I469)&gt;0),SUMPRODUCT(C469:I469,'Потребление (МВт·ч)'!C469:I469)/SUM('Потребление (МВт·ч)'!C469:I469),"")</s:f>
      </s:c>
      <s:c r="K469" s="6" t="n">
        <s:f>IF(SUMIF(C469:I469,"&lt;&gt;",'Потребление (МВт·ч)'!C469:I469)&gt;0,SUMPRODUCT(C469:I469,'Потребление (МВт·ч)'!C469:I469)/SUMIF(C469:I469,"&lt;&gt;",'Потребление (МВт·ч)'!C469:I469),"")</s:f>
        <s:v>2330.7613010466503</s:v>
      </s:c>
      <s:c r="L469" s="6" t="n">
        <s:f>IF(COUNT(C469:I469)&gt;0,AVERAGE(C469:I469),"")</s:f>
        <s:v>2419.70593</s:v>
      </s:c>
      <s:c r="M469" s="10" t="n">
        <s:f>COUNT(C469:I469)</s:f>
        <s:v>6</s:v>
      </s:c>
      <s:c r="N469" s="11" t="n">
        <s:f>IF(AND(COUNT('Потребление (МВт·ч)'!C469:I469)=7,SUM('Потребление (МВт·ч)'!C469:I469)&gt;0),SUMIF(C469:I469,"&lt;&gt;",'Потребление (МВт·ч)'!C469:I469)/SUM('Потребление (МВт·ч)'!C469:I469),"")</s:f>
        <s:v>0.9561413281002288</s:v>
      </s:c>
    </s:row>
    <s:row r="470">
      <s:c r="A470" s="5" t="n">
        <s:v>46285</s:v>
      </s:c>
      <s:c r="B470" s="2" t="n">
        <s:v>9</s:v>
      </s:c>
      <s:c r="C470" s="6" t="n">
        <s:v>2282.49341</s:v>
      </s:c>
      <s:c r="D470" s="6" t="n">
        <s:v>2918.782</s:v>
      </s:c>
      <s:c r="E470" s="6" t="n">
        <s:v>2918.605</s:v>
      </s:c>
      <s:c r="F470" s="6" t="n">
        <s:v>2725.92261</s:v>
      </s:c>
      <s:c r="G470" s="6" t="n">
        <s:v>1940.452</s:v>
      </s:c>
      <s:c r="H470" s="6" t="n">
        <s:v>1689.06677</s:v>
      </s:c>
      <s:c r="I470" s="6" t="n"/>
      <s:c r="J470" s="6" t="str">
        <s:f>IF(AND(COUNT(C470:I470)=7,COUNT('Потребление (МВт·ч)'!C470:I470)=7,SUM('Потребление (МВт·ч)'!C470:I470)&gt;0),SUMPRODUCT(C470:I470,'Потребление (МВт·ч)'!C470:I470)/SUM('Потребление (МВт·ч)'!C470:I470),"")</s:f>
      </s:c>
      <s:c r="K470" s="6" t="n">
        <s:f>IF(SUMIF(C470:I470,"&lt;&gt;",'Потребление (МВт·ч)'!C470:I470)&gt;0,SUMPRODUCT(C470:I470,'Потребление (МВт·ч)'!C470:I470)/SUMIF(C470:I470,"&lt;&gt;",'Потребление (МВт·ч)'!C470:I470),"")</s:f>
        <s:v>2341.4068092119333</s:v>
      </s:c>
      <s:c r="L470" s="6" t="n">
        <s:f>IF(COUNT(C470:I470)&gt;0,AVERAGE(C470:I470),"")</s:f>
        <s:v>2412.553631666666</s:v>
      </s:c>
      <s:c r="M470" s="10" t="n">
        <s:f>COUNT(C470:I470)</s:f>
        <s:v>6</s:v>
      </s:c>
      <s:c r="N470" s="11" t="n">
        <s:f>IF(AND(COUNT('Потребление (МВт·ч)'!C470:I470)=7,SUM('Потребление (МВт·ч)'!C470:I470)&gt;0),SUMIF(C470:I470,"&lt;&gt;",'Потребление (МВт·ч)'!C470:I470)/SUM('Потребление (МВт·ч)'!C470:I470),"")</s:f>
        <s:v>0.9562585530900268</s:v>
      </s:c>
    </s:row>
    <s:row r="471">
      <s:c r="A471" s="5" t="n">
        <s:v>46285</s:v>
      </s:c>
      <s:c r="B471" s="2" t="n">
        <s:v>10</s:v>
      </s:c>
      <s:c r="C471" s="6" t="n">
        <s:v>2285.74585</s:v>
      </s:c>
      <s:c r="D471" s="6" t="n">
        <s:v>2941.3457</s:v>
      </s:c>
      <s:c r="E471" s="6" t="n">
        <s:v>2952.48486</s:v>
      </s:c>
      <s:c r="F471" s="6" t="n">
        <s:v>2760.676</s:v>
      </s:c>
      <s:c r="G471" s="6" t="n">
        <s:v>1972.05115</s:v>
      </s:c>
      <s:c r="H471" s="6" t="n">
        <s:v>1691.80884</s:v>
      </s:c>
      <s:c r="I471" s="6" t="n"/>
      <s:c r="J471" s="6" t="str">
        <s:f>IF(AND(COUNT(C471:I471)=7,COUNT('Потребление (МВт·ч)'!C471:I471)=7,SUM('Потребление (МВт·ч)'!C471:I471)&gt;0),SUMPRODUCT(C471:I471,'Потребление (МВт·ч)'!C471:I471)/SUM('Потребление (МВт·ч)'!C471:I471),"")</s:f>
      </s:c>
      <s:c r="K471" s="6" t="n">
        <s:f>IF(SUMIF(C471:I471,"&lt;&gt;",'Потребление (МВт·ч)'!C471:I471)&gt;0,SUMPRODUCT(C471:I471,'Потребление (МВт·ч)'!C471:I471)/SUMIF(C471:I471,"&lt;&gt;",'Потребление (МВт·ч)'!C471:I471),"")</s:f>
        <s:v>2365.1133615722947</s:v>
      </s:c>
      <s:c r="L471" s="6" t="n">
        <s:f>IF(COUNT(C471:I471)&gt;0,AVERAGE(C471:I471),"")</s:f>
        <s:v>2434.018733333333</s:v>
      </s:c>
      <s:c r="M471" s="10" t="n">
        <s:f>COUNT(C471:I471)</s:f>
        <s:v>6</s:v>
      </s:c>
      <s:c r="N471" s="11" t="n">
        <s:f>IF(AND(COUNT('Потребление (МВт·ч)'!C471:I471)=7,SUM('Потребление (МВт·ч)'!C471:I471)&gt;0),SUMIF(C471:I471,"&lt;&gt;",'Потребление (МВт·ч)'!C471:I471)/SUM('Потребление (МВт·ч)'!C471:I471),"")</s:f>
        <s:v>0.9569755324913509</s:v>
      </s:c>
    </s:row>
    <s:row r="472">
      <s:c r="A472" s="5" t="n">
        <s:v>46285</s:v>
      </s:c>
      <s:c r="B472" s="2" t="n">
        <s:v>11</s:v>
      </s:c>
      <s:c r="C472" s="6" t="n">
        <s:v>1898.23132</s:v>
      </s:c>
      <s:c r="D472" s="6" t="n">
        <s:v>2960.37646</s:v>
      </s:c>
      <s:c r="E472" s="6" t="n">
        <s:v>2962.367</s:v>
      </s:c>
      <s:c r="F472" s="6" t="n">
        <s:v>2780.01343</s:v>
      </s:c>
      <s:c r="G472" s="6" t="n">
        <s:v>2014.45264</s:v>
      </s:c>
      <s:c r="H472" s="6" t="n">
        <s:v>1649.35034</s:v>
      </s:c>
      <s:c r="I472" s="6" t="n"/>
      <s:c r="J472" s="6" t="str">
        <s:f>IF(AND(COUNT(C472:I472)=7,COUNT('Потребление (МВт·ч)'!C472:I472)=7,SUM('Потребление (МВт·ч)'!C472:I472)&gt;0),SUMPRODUCT(C472:I472,'Потребление (МВт·ч)'!C472:I472)/SUM('Потребление (МВт·ч)'!C472:I472),"")</s:f>
      </s:c>
      <s:c r="K472" s="6" t="n">
        <s:f>IF(SUMIF(C472:I472,"&lt;&gt;",'Потребление (МВт·ч)'!C472:I472)&gt;0,SUMPRODUCT(C472:I472,'Потребление (МВт·ч)'!C472:I472)/SUMIF(C472:I472,"&lt;&gt;",'Потребление (МВт·ч)'!C472:I472),"")</s:f>
        <s:v>2336.935025947204</s:v>
      </s:c>
      <s:c r="L472" s="6" t="n">
        <s:f>IF(COUNT(C472:I472)&gt;0,AVERAGE(C472:I472),"")</s:f>
        <s:v>2377.4651983333333</s:v>
      </s:c>
      <s:c r="M472" s="10" t="n">
        <s:f>COUNT(C472:I472)</s:f>
        <s:v>6</s:v>
      </s:c>
      <s:c r="N472" s="11" t="n">
        <s:f>IF(AND(COUNT('Потребление (МВт·ч)'!C472:I472)=7,SUM('Потребление (МВт·ч)'!C472:I472)&gt;0),SUMIF(C472:I472,"&lt;&gt;",'Потребление (МВт·ч)'!C472:I472)/SUM('Потребление (МВт·ч)'!C472:I472),"")</s:f>
        <s:v>0.9565603941803558</s:v>
      </s:c>
    </s:row>
    <s:row r="473">
      <s:c r="A473" s="5" t="n">
        <s:v>46285</s:v>
      </s:c>
      <s:c r="B473" s="2" t="n">
        <s:v>12</s:v>
      </s:c>
      <s:c r="C473" s="6" t="n">
        <s:v>1836.92407</s:v>
      </s:c>
      <s:c r="D473" s="6" t="n">
        <s:v>2957.04126</s:v>
      </s:c>
      <s:c r="E473" s="6" t="n">
        <s:v>2955.326</s:v>
      </s:c>
      <s:c r="F473" s="6" t="n">
        <s:v>2773.71631</s:v>
      </s:c>
      <s:c r="G473" s="6" t="n">
        <s:v>2030.73792</s:v>
      </s:c>
      <s:c r="H473" s="6" t="n">
        <s:v>1747.673</s:v>
      </s:c>
      <s:c r="I473" s="6" t="n"/>
      <s:c r="J473" s="6" t="str">
        <s:f>IF(AND(COUNT(C473:I473)=7,COUNT('Потребление (МВт·ч)'!C473:I473)=7,SUM('Потребление (МВт·ч)'!C473:I473)&gt;0),SUMPRODUCT(C473:I473,'Потребление (МВт·ч)'!C473:I473)/SUM('Потребление (МВт·ч)'!C473:I473),"")</s:f>
      </s:c>
      <s:c r="K473" s="6" t="n">
        <s:f>IF(SUMIF(C473:I473,"&lt;&gt;",'Потребление (МВт·ч)'!C473:I473)&gt;0,SUMPRODUCT(C473:I473,'Потребление (МВт·ч)'!C473:I473)/SUMIF(C473:I473,"&lt;&gt;",'Потребление (МВт·ч)'!C473:I473),"")</s:f>
        <s:v>2353.468315128363</s:v>
      </s:c>
      <s:c r="L473" s="6" t="n">
        <s:f>IF(COUNT(C473:I473)&gt;0,AVERAGE(C473:I473),"")</s:f>
        <s:v>2383.56976</s:v>
      </s:c>
      <s:c r="M473" s="10" t="n">
        <s:f>COUNT(C473:I473)</s:f>
        <s:v>6</s:v>
      </s:c>
      <s:c r="N473" s="11" t="n">
        <s:f>IF(AND(COUNT('Потребление (МВт·ч)'!C473:I473)=7,SUM('Потребление (МВт·ч)'!C473:I473)&gt;0),SUMIF(C473:I473,"&lt;&gt;",'Потребление (МВт·ч)'!C473:I473)/SUM('Потребление (МВт·ч)'!C473:I473),"")</s:f>
        <s:v>0.9554509295933704</s:v>
      </s:c>
    </s:row>
    <s:row r="474">
      <s:c r="A474" s="5" t="n">
        <s:v>46285</s:v>
      </s:c>
      <s:c r="B474" s="2" t="n">
        <s:v>13</s:v>
      </s:c>
      <s:c r="C474" s="6" t="n">
        <s:v>1894.26416</s:v>
      </s:c>
      <s:c r="D474" s="6" t="n">
        <s:v>2960.89185</s:v>
      </s:c>
      <s:c r="E474" s="6" t="n">
        <s:v>2963.8457</s:v>
      </s:c>
      <s:c r="F474" s="6" t="n">
        <s:v>2785.7688</s:v>
      </s:c>
      <s:c r="G474" s="6" t="n">
        <s:v>2089.20044</s:v>
      </s:c>
      <s:c r="H474" s="6" t="n">
        <s:v>1950.66345</s:v>
      </s:c>
      <s:c r="I474" s="6" t="n"/>
      <s:c r="J474" s="6" t="str">
        <s:f>IF(AND(COUNT(C474:I474)=7,COUNT('Потребление (МВт·ч)'!C474:I474)=7,SUM('Потребление (МВт·ч)'!C474:I474)&gt;0),SUMPRODUCT(C474:I474,'Потребление (МВт·ч)'!C474:I474)/SUM('Потребление (МВт·ч)'!C474:I474),"")</s:f>
      </s:c>
      <s:c r="K474" s="6" t="n">
        <s:f>IF(SUMIF(C474:I474,"&lt;&gt;",'Потребление (МВт·ч)'!C474:I474)&gt;0,SUMPRODUCT(C474:I474,'Потребление (МВт·ч)'!C474:I474)/SUMIF(C474:I474,"&lt;&gt;",'Потребление (МВт·ч)'!C474:I474),"")</s:f>
        <s:v>2418.30902831132</s:v>
      </s:c>
      <s:c r="L474" s="6" t="n">
        <s:f>IF(COUNT(C474:I474)&gt;0,AVERAGE(C474:I474),"")</s:f>
        <s:v>2440.7724</s:v>
      </s:c>
      <s:c r="M474" s="10" t="n">
        <s:f>COUNT(C474:I474)</s:f>
        <s:v>6</s:v>
      </s:c>
      <s:c r="N474" s="11" t="n">
        <s:f>IF(AND(COUNT('Потребление (МВт·ч)'!C474:I474)=7,SUM('Потребление (МВт·ч)'!C474:I474)&gt;0),SUMIF(C474:I474,"&lt;&gt;",'Потребление (МВт·ч)'!C474:I474)/SUM('Потребление (МВт·ч)'!C474:I474),"")</s:f>
        <s:v>0.9554107342991158</s:v>
      </s:c>
    </s:row>
    <s:row r="475">
      <s:c r="A475" s="5" t="n">
        <s:v>46285</s:v>
      </s:c>
      <s:c r="B475" s="2" t="n">
        <s:v>14</s:v>
      </s:c>
      <s:c r="C475" s="6" t="n">
        <s:v>1889.7019</s:v>
      </s:c>
      <s:c r="D475" s="6" t="n">
        <s:v>2937.446</s:v>
      </s:c>
      <s:c r="E475" s="6" t="n">
        <s:v>2965.11157</s:v>
      </s:c>
      <s:c r="F475" s="6" t="n">
        <s:v>2789.33862</s:v>
      </s:c>
      <s:c r="G475" s="6" t="n">
        <s:v>2154.01025</s:v>
      </s:c>
      <s:c r="H475" s="6" t="n">
        <s:v>2055.70459</s:v>
      </s:c>
      <s:c r="I475" s="6" t="n"/>
      <s:c r="J475" s="6" t="str">
        <s:f>IF(AND(COUNT(C475:I475)=7,COUNT('Потребление (МВт·ч)'!C475:I475)=7,SUM('Потребление (МВт·ч)'!C475:I475)&gt;0),SUMPRODUCT(C475:I475,'Потребление (МВт·ч)'!C475:I475)/SUM('Потребление (МВт·ч)'!C475:I475),"")</s:f>
      </s:c>
      <s:c r="K475" s="6" t="n">
        <s:f>IF(SUMIF(C475:I475,"&lt;&gt;",'Потребление (МВт·ч)'!C475:I475)&gt;0,SUMPRODUCT(C475:I475,'Потребление (МВт·ч)'!C475:I475)/SUMIF(C475:I475,"&lt;&gt;",'Потребление (МВт·ч)'!C475:I475),"")</s:f>
        <s:v>2449.7768583043885</s:v>
      </s:c>
      <s:c r="L475" s="6" t="n">
        <s:f>IF(COUNT(C475:I475)&gt;0,AVERAGE(C475:I475),"")</s:f>
        <s:v>2465.2188216666664</s:v>
      </s:c>
      <s:c r="M475" s="10" t="n">
        <s:f>COUNT(C475:I475)</s:f>
        <s:v>6</s:v>
      </s:c>
      <s:c r="N475" s="11" t="n">
        <s:f>IF(AND(COUNT('Потребление (МВт·ч)'!C475:I475)=7,SUM('Потребление (МВт·ч)'!C475:I475)&gt;0),SUMIF(C475:I475,"&lt;&gt;",'Потребление (МВт·ч)'!C475:I475)/SUM('Потребление (МВт·ч)'!C475:I475),"")</s:f>
        <s:v>0.9565798540485343</s:v>
      </s:c>
    </s:row>
    <s:row r="476">
      <s:c r="A476" s="5" t="n">
        <s:v>46285</s:v>
      </s:c>
      <s:c r="B476" s="2" t="n">
        <s:v>15</s:v>
      </s:c>
      <s:c r="C476" s="6" t="n">
        <s:v>1890.10925</s:v>
      </s:c>
      <s:c r="D476" s="6" t="n">
        <s:v>2848.83618</s:v>
      </s:c>
      <s:c r="E476" s="6" t="n">
        <s:v>2963.87769</s:v>
      </s:c>
      <s:c r="F476" s="6" t="n">
        <s:v>2791.89941</s:v>
      </s:c>
      <s:c r="G476" s="6" t="n">
        <s:v>2264.22266</s:v>
      </s:c>
      <s:c r="H476" s="6" t="n">
        <s:v>2039.46069</s:v>
      </s:c>
      <s:c r="I476" s="6" t="n"/>
      <s:c r="J476" s="6" t="str">
        <s:f>IF(AND(COUNT(C476:I476)=7,COUNT('Потребление (МВт·ч)'!C476:I476)=7,SUM('Потребление (МВт·ч)'!C476:I476)&gt;0),SUMPRODUCT(C476:I476,'Потребление (МВт·ч)'!C476:I476)/SUM('Потребление (МВт·ч)'!C476:I476),"")</s:f>
      </s:c>
      <s:c r="K476" s="6" t="n">
        <s:f>IF(SUMIF(C476:I476,"&lt;&gt;",'Потребление (МВт·ч)'!C476:I476)&gt;0,SUMPRODUCT(C476:I476,'Потребление (МВт·ч)'!C476:I476)/SUMIF(C476:I476,"&lt;&gt;",'Потребление (МВт·ч)'!C476:I476),"")</s:f>
        <s:v>2451.1600476397225</s:v>
      </s:c>
      <s:c r="L476" s="6" t="n">
        <s:f>IF(COUNT(C476:I476)&gt;0,AVERAGE(C476:I476),"")</s:f>
        <s:v>2466.40098</s:v>
      </s:c>
      <s:c r="M476" s="10" t="n">
        <s:f>COUNT(C476:I476)</s:f>
        <s:v>6</s:v>
      </s:c>
      <s:c r="N476" s="11" t="n">
        <s:f>IF(AND(COUNT('Потребление (МВт·ч)'!C476:I476)=7,SUM('Потребление (МВт·ч)'!C476:I476)&gt;0),SUMIF(C476:I476,"&lt;&gt;",'Потребление (МВт·ч)'!C476:I476)/SUM('Потребление (МВт·ч)'!C476:I476),"")</s:f>
        <s:v>0.9575717421011222</s:v>
      </s:c>
    </s:row>
    <s:row r="477">
      <s:c r="A477" s="5" t="n">
        <s:v>46285</s:v>
      </s:c>
      <s:c r="B477" s="2" t="n">
        <s:v>16</s:v>
      </s:c>
      <s:c r="C477" s="6" t="n">
        <s:v>1851.32764</s:v>
      </s:c>
      <s:c r="D477" s="6" t="n">
        <s:v>2806.44824</s:v>
      </s:c>
      <s:c r="E477" s="6" t="n">
        <s:v>2965.63</s:v>
      </s:c>
      <s:c r="F477" s="6" t="n">
        <s:v>2753.91382</s:v>
      </s:c>
      <s:c r="G477" s="6" t="n">
        <s:v>2325.51123</s:v>
      </s:c>
      <s:c r="H477" s="6" t="n">
        <s:v>2013.42371</s:v>
      </s:c>
      <s:c r="I477" s="6" t="n"/>
      <s:c r="J477" s="6" t="str">
        <s:f>IF(AND(COUNT(C477:I477)=7,COUNT('Потребление (МВт·ч)'!C477:I477)=7,SUM('Потребление (МВт·ч)'!C477:I477)&gt;0),SUMPRODUCT(C477:I477,'Потребление (МВт·ч)'!C477:I477)/SUM('Потребление (МВт·ч)'!C477:I477),"")</s:f>
      </s:c>
      <s:c r="K477" s="6" t="n">
        <s:f>IF(SUMIF(C477:I477,"&lt;&gt;",'Потребление (МВт·ч)'!C477:I477)&gt;0,SUMPRODUCT(C477:I477,'Потребление (МВт·ч)'!C477:I477)/SUMIF(C477:I477,"&lt;&gt;",'Потребление (МВт·ч)'!C477:I477),"")</s:f>
        <s:v>2441.562808360214</s:v>
      </s:c>
      <s:c r="L477" s="6" t="n">
        <s:f>IF(COUNT(C477:I477)&gt;0,AVERAGE(C477:I477),"")</s:f>
        <s:v>2452.7091066666667</s:v>
      </s:c>
      <s:c r="M477" s="10" t="n">
        <s:f>COUNT(C477:I477)</s:f>
        <s:v>6</s:v>
      </s:c>
      <s:c r="N477" s="11" t="n">
        <s:f>IF(AND(COUNT('Потребление (МВт·ч)'!C477:I477)=7,SUM('Потребление (МВт·ч)'!C477:I477)&gt;0),SUMIF(C477:I477,"&lt;&gt;",'Потребление (МВт·ч)'!C477:I477)/SUM('Потребление (МВт·ч)'!C477:I477),"")</s:f>
        <s:v>0.9608824650677098</s:v>
      </s:c>
    </s:row>
    <s:row r="478">
      <s:c r="A478" s="5" t="n">
        <s:v>46285</s:v>
      </s:c>
      <s:c r="B478" s="2" t="n">
        <s:v>17</s:v>
      </s:c>
      <s:c r="C478" s="6" t="n">
        <s:v>1948.10718</s:v>
      </s:c>
      <s:c r="D478" s="6" t="n">
        <s:v>2824.58154</s:v>
      </s:c>
      <s:c r="E478" s="6" t="n">
        <s:v>2988.60864</s:v>
      </s:c>
      <s:c r="F478" s="6" t="n">
        <s:v>2778.64771</s:v>
      </s:c>
      <s:c r="G478" s="6" t="n">
        <s:v>2456.16626</s:v>
      </s:c>
      <s:c r="H478" s="6" t="n">
        <s:v>2036.51843</s:v>
      </s:c>
      <s:c r="I478" s="6" t="n"/>
      <s:c r="J478" s="6" t="str">
        <s:f>IF(AND(COUNT(C478:I478)=7,COUNT('Потребление (МВт·ч)'!C478:I478)=7,SUM('Потребление (МВт·ч)'!C478:I478)&gt;0),SUMPRODUCT(C478:I478,'Потребление (МВт·ч)'!C478:I478)/SUM('Потребление (МВт·ч)'!C478:I478),"")</s:f>
      </s:c>
      <s:c r="K478" s="6" t="n">
        <s:f>IF(SUMIF(C478:I478,"&lt;&gt;",'Потребление (МВт·ч)'!C478:I478)&gt;0,SUMPRODUCT(C478:I478,'Потребление (МВт·ч)'!C478:I478)/SUMIF(C478:I478,"&lt;&gt;",'Потребление (МВт·ч)'!C478:I478),"")</s:f>
        <s:v>2498.526544588415</s:v>
      </s:c>
      <s:c r="L478" s="6" t="n">
        <s:f>IF(COUNT(C478:I478)&gt;0,AVERAGE(C478:I478),"")</s:f>
        <s:v>2505.4382933333336</s:v>
      </s:c>
      <s:c r="M478" s="10" t="n">
        <s:f>COUNT(C478:I478)</s:f>
        <s:v>6</s:v>
      </s:c>
      <s:c r="N478" s="11" t="n">
        <s:f>IF(AND(COUNT('Потребление (МВт·ч)'!C478:I478)=7,SUM('Потребление (МВт·ч)'!C478:I478)&gt;0),SUMIF(C478:I478,"&lt;&gt;",'Потребление (МВт·ч)'!C478:I478)/SUM('Потребление (МВт·ч)'!C478:I478),"")</s:f>
        <s:v>0.9620066212527277</s:v>
      </s:c>
    </s:row>
    <s:row r="479">
      <s:c r="A479" s="5" t="n">
        <s:v>46285</s:v>
      </s:c>
      <s:c r="B479" s="2" t="n">
        <s:v>18</s:v>
      </s:c>
      <s:c r="C479" s="6" t="n">
        <s:v>1848.0625</s:v>
      </s:c>
      <s:c r="D479" s="6" t="n">
        <s:v>3037.921</s:v>
      </s:c>
      <s:c r="E479" s="6" t="n">
        <s:v>3197.27661</s:v>
      </s:c>
      <s:c r="F479" s="6" t="n">
        <s:v>2962.2417</s:v>
      </s:c>
      <s:c r="G479" s="6" t="n">
        <s:v>2398.76953</s:v>
      </s:c>
      <s:c r="H479" s="6" t="n">
        <s:v>1985.89648</s:v>
      </s:c>
      <s:c r="I479" s="6" t="n"/>
      <s:c r="J479" s="6" t="str">
        <s:f>IF(AND(COUNT(C479:I479)=7,COUNT('Потребление (МВт·ч)'!C479:I479)=7,SUM('Потребление (МВт·ч)'!C479:I479)&gt;0),SUMPRODUCT(C479:I479,'Потребление (МВт·ч)'!C479:I479)/SUM('Потребление (МВт·ч)'!C479:I479),"")</s:f>
      </s:c>
      <s:c r="K479" s="6" t="n">
        <s:f>IF(SUMIF(C479:I479,"&lt;&gt;",'Потребление (МВт·ч)'!C479:I479)&gt;0,SUMPRODUCT(C479:I479,'Потребление (МВт·ч)'!C479:I479)/SUMIF(C479:I479,"&lt;&gt;",'Потребление (МВт·ч)'!C479:I479),"")</s:f>
        <s:v>2571.3779216113985</s:v>
      </s:c>
      <s:c r="L479" s="6" t="n">
        <s:f>IF(COUNT(C479:I479)&gt;0,AVERAGE(C479:I479),"")</s:f>
        <s:v>2571.6946366666666</s:v>
      </s:c>
      <s:c r="M479" s="10" t="n">
        <s:f>COUNT(C479:I479)</s:f>
        <s:v>6</s:v>
      </s:c>
      <s:c r="N479" s="11" t="n">
        <s:f>IF(AND(COUNT('Потребление (МВт·ч)'!C479:I479)=7,SUM('Потребление (МВт·ч)'!C479:I479)&gt;0),SUMIF(C479:I479,"&lt;&gt;",'Потребление (МВт·ч)'!C479:I479)/SUM('Потребление (МВт·ч)'!C479:I479),"")</s:f>
        <s:v>0.962621876280213</s:v>
      </s:c>
    </s:row>
    <s:row r="480">
      <s:c r="A480" s="5" t="n">
        <s:v>46285</s:v>
      </s:c>
      <s:c r="B480" s="2" t="n">
        <s:v>19</s:v>
      </s:c>
      <s:c r="C480" s="6" t="n">
        <s:v>2293.50122</s:v>
      </s:c>
      <s:c r="D480" s="6" t="n">
        <s:v>3189.81274</s:v>
      </s:c>
      <s:c r="E480" s="6" t="n">
        <s:v>3295.655</s:v>
      </s:c>
      <s:c r="F480" s="6" t="n">
        <s:v>3017.31152</s:v>
      </s:c>
      <s:c r="G480" s="6" t="n">
        <s:v>2256.44556</s:v>
      </s:c>
      <s:c r="H480" s="6" t="n">
        <s:v>1981.48242</s:v>
      </s:c>
      <s:c r="I480" s="6" t="n"/>
      <s:c r="J480" s="6" t="str">
        <s:f>IF(AND(COUNT(C480:I480)=7,COUNT('Потребление (МВт·ч)'!C480:I480)=7,SUM('Потребление (МВт·ч)'!C480:I480)&gt;0),SUMPRODUCT(C480:I480,'Потребление (МВт·ч)'!C480:I480)/SUM('Потребление (МВт·ч)'!C480:I480),"")</s:f>
      </s:c>
      <s:c r="K480" s="6" t="n">
        <s:f>IF(SUMIF(C480:I480,"&lt;&gt;",'Потребление (МВт·ч)'!C480:I480)&gt;0,SUMPRODUCT(C480:I480,'Потребление (МВт·ч)'!C480:I480)/SUMIF(C480:I480,"&lt;&gt;",'Потребление (МВт·ч)'!C480:I480),"")</s:f>
        <s:v>2639.068679315697</s:v>
      </s:c>
      <s:c r="L480" s="6" t="n">
        <s:f>IF(COUNT(C480:I480)&gt;0,AVERAGE(C480:I480),"")</s:f>
        <s:v>2672.368076666667</s:v>
      </s:c>
      <s:c r="M480" s="10" t="n">
        <s:f>COUNT(C480:I480)</s:f>
        <s:v>6</s:v>
      </s:c>
      <s:c r="N480" s="11" t="n">
        <s:f>IF(AND(COUNT('Потребление (МВт·ч)'!C480:I480)=7,SUM('Потребление (МВт·ч)'!C480:I480)&gt;0),SUMIF(C480:I480,"&lt;&gt;",'Потребление (МВт·ч)'!C480:I480)/SUM('Потребление (МВт·ч)'!C480:I480),"")</s:f>
        <s:v>0.9641996042501538</s:v>
      </s:c>
    </s:row>
    <s:row r="481">
      <s:c r="A481" s="5" t="n">
        <s:v>46285</s:v>
      </s:c>
      <s:c r="B481" s="2" t="n">
        <s:v>20</s:v>
      </s:c>
      <s:c r="C481" s="6" t="n">
        <s:v>2676.769</s:v>
      </s:c>
      <s:c r="D481" s="6" t="n">
        <s:v>3330.23633</s:v>
      </s:c>
      <s:c r="E481" s="6" t="n">
        <s:v>3804.565</s:v>
      </s:c>
      <s:c r="F481" s="6" t="n">
        <s:v>2921.63916</s:v>
      </s:c>
      <s:c r="G481" s="6" t="n">
        <s:v>2278.581</s:v>
      </s:c>
      <s:c r="H481" s="6" t="n">
        <s:v>2047.14978</s:v>
      </s:c>
      <s:c r="I481" s="6" t="n"/>
      <s:c r="J481" s="6" t="str">
        <s:f>IF(AND(COUNT(C481:I481)=7,COUNT('Потребление (МВт·ч)'!C481:I481)=7,SUM('Потребление (МВт·ч)'!C481:I481)&gt;0),SUMPRODUCT(C481:I481,'Потребление (МВт·ч)'!C481:I481)/SUM('Потребление (МВт·ч)'!C481:I481),"")</s:f>
      </s:c>
      <s:c r="K481" s="6" t="n">
        <s:f>IF(SUMIF(C481:I481,"&lt;&gt;",'Потребление (МВт·ч)'!C481:I481)&gt;0,SUMPRODUCT(C481:I481,'Потребление (МВт·ч)'!C481:I481)/SUMIF(C481:I481,"&lt;&gt;",'Потребление (МВт·ч)'!C481:I481),"")</s:f>
        <s:v>2776.5500022659267</s:v>
      </s:c>
      <s:c r="L481" s="6" t="n">
        <s:f>IF(COUNT(C481:I481)&gt;0,AVERAGE(C481:I481),"")</s:f>
        <s:v>2843.156711666667</s:v>
      </s:c>
      <s:c r="M481" s="10" t="n">
        <s:f>COUNT(C481:I481)</s:f>
        <s:v>6</s:v>
      </s:c>
      <s:c r="N481" s="11" t="n">
        <s:f>IF(AND(COUNT('Потребление (МВт·ч)'!C481:I481)=7,SUM('Потребление (МВт·ч)'!C481:I481)&gt;0),SUMIF(C481:I481,"&lt;&gt;",'Потребление (МВт·ч)'!C481:I481)/SUM('Потребление (МВт·ч)'!C481:I481),"")</s:f>
        <s:v>0.9625151971161612</s:v>
      </s:c>
    </s:row>
    <s:row r="482">
      <s:c r="A482" s="5" t="n">
        <s:v>46285</s:v>
      </s:c>
      <s:c r="B482" s="2" t="n">
        <s:v>21</s:v>
      </s:c>
      <s:c r="C482" s="6" t="n">
        <s:v>2266.51245</s:v>
      </s:c>
      <s:c r="D482" s="6" t="n">
        <s:v>2996.381</s:v>
      </s:c>
      <s:c r="E482" s="6" t="n">
        <s:v>3041.42554</s:v>
      </s:c>
      <s:c r="F482" s="6" t="n">
        <s:v>2831.555</s:v>
      </s:c>
      <s:c r="G482" s="6" t="n">
        <s:v>2134.88623</s:v>
      </s:c>
      <s:c r="H482" s="6" t="n">
        <s:v>2136.85474</s:v>
      </s:c>
      <s:c r="I482" s="6" t="n"/>
      <s:c r="J482" s="6" t="str">
        <s:f>IF(AND(COUNT(C482:I482)=7,COUNT('Потребление (МВт·ч)'!C482:I482)=7,SUM('Потребление (МВт·ч)'!C482:I482)&gt;0),SUMPRODUCT(C482:I482,'Потребление (МВт·ч)'!C482:I482)/SUM('Потребление (МВт·ч)'!C482:I482),"")</s:f>
      </s:c>
      <s:c r="K482" s="6" t="n">
        <s:f>IF(SUMIF(C482:I482,"&lt;&gt;",'Потребление (МВт·ч)'!C482:I482)&gt;0,SUMPRODUCT(C482:I482,'Потребление (МВт·ч)'!C482:I482)/SUMIF(C482:I482,"&lt;&gt;",'Потребление (МВт·ч)'!C482:I482),"")</s:f>
        <s:v>2538.352575610207</s:v>
      </s:c>
      <s:c r="L482" s="6" t="n">
        <s:f>IF(COUNT(C482:I482)&gt;0,AVERAGE(C482:I482),"")</s:f>
        <s:v>2567.935826666667</s:v>
      </s:c>
      <s:c r="M482" s="10" t="n">
        <s:f>COUNT(C482:I482)</s:f>
        <s:v>6</s:v>
      </s:c>
      <s:c r="N482" s="11" t="n">
        <s:f>IF(AND(COUNT('Потребление (МВт·ч)'!C482:I482)=7,SUM('Потребление (МВт·ч)'!C482:I482)&gt;0),SUMIF(C482:I482,"&lt;&gt;",'Потребление (МВт·ч)'!C482:I482)/SUM('Потребление (МВт·ч)'!C482:I482),"")</s:f>
        <s:v>0.9604594205076968</s:v>
      </s:c>
    </s:row>
    <s:row r="483">
      <s:c r="A483" s="5" t="n">
        <s:v>46285</s:v>
      </s:c>
      <s:c r="B483" s="2" t="n">
        <s:v>22</s:v>
      </s:c>
      <s:c r="C483" s="6" t="n">
        <s:v>2155.40356</s:v>
      </s:c>
      <s:c r="D483" s="6" t="n">
        <s:v>2594.23364</s:v>
      </s:c>
      <s:c r="E483" s="6" t="n">
        <s:v>2728.69556</s:v>
      </s:c>
      <s:c r="F483" s="6" t="n">
        <s:v>2484.12671</s:v>
      </s:c>
      <s:c r="G483" s="6" t="n">
        <s:v>1965.1366</s:v>
      </s:c>
      <s:c r="H483" s="6" t="n">
        <s:v>2204.547</s:v>
      </s:c>
      <s:c r="I483" s="6" t="n"/>
      <s:c r="J483" s="6" t="str">
        <s:f>IF(AND(COUNT(C483:I483)=7,COUNT('Потребление (МВт·ч)'!C483:I483)=7,SUM('Потребление (МВт·ч)'!C483:I483)&gt;0),SUMPRODUCT(C483:I483,'Потребление (МВт·ч)'!C483:I483)/SUM('Потребление (МВт·ч)'!C483:I483),"")</s:f>
      </s:c>
      <s:c r="K483" s="6" t="n">
        <s:f>IF(SUMIF(C483:I483,"&lt;&gt;",'Потребление (МВт·ч)'!C483:I483)&gt;0,SUMPRODUCT(C483:I483,'Потребление (МВт·ч)'!C483:I483)/SUMIF(C483:I483,"&lt;&gt;",'Потребление (МВт·ч)'!C483:I483),"")</s:f>
        <s:v>2325.2503623337184</s:v>
      </s:c>
      <s:c r="L483" s="6" t="n">
        <s:f>IF(COUNT(C483:I483)&gt;0,AVERAGE(C483:I483),"")</s:f>
        <s:v>2355.357178333333</s:v>
      </s:c>
      <s:c r="M483" s="10" t="n">
        <s:f>COUNT(C483:I483)</s:f>
        <s:v>6</s:v>
      </s:c>
      <s:c r="N483" s="11" t="n">
        <s:f>IF(AND(COUNT('Потребление (МВт·ч)'!C483:I483)=7,SUM('Потребление (МВт·ч)'!C483:I483)&gt;0),SUMIF(C483:I483,"&lt;&gt;",'Потребление (МВт·ч)'!C483:I483)/SUM('Потребление (МВт·ч)'!C483:I483),"")</s:f>
        <s:v>0.9580344726633975</s:v>
      </s:c>
    </s:row>
    <s:row r="484">
      <s:c r="A484" s="5" t="n">
        <s:v>46285</s:v>
      </s:c>
      <s:c r="B484" s="2" t="n">
        <s:v>23</s:v>
      </s:c>
      <s:c r="C484" s="6" t="n">
        <s:v>316.4902</s:v>
      </s:c>
      <s:c r="D484" s="6" t="n">
        <s:v>2341.05469</s:v>
      </s:c>
      <s:c r="E484" s="6" t="n">
        <s:v>2435.77</s:v>
      </s:c>
      <s:c r="F484" s="6" t="n">
        <s:v>2314.274</s:v>
      </s:c>
      <s:c r="G484" s="6" t="n">
        <s:v>1913.40125</s:v>
      </s:c>
      <s:c r="H484" s="6" t="n">
        <s:v>2511.17188</s:v>
      </s:c>
      <s:c r="I484" s="6" t="n"/>
      <s:c r="J484" s="6" t="str">
        <s:f>IF(AND(COUNT(C484:I484)=7,COUNT('Потребление (МВт·ч)'!C484:I484)=7,SUM('Потребление (МВт·ч)'!C484:I484)&gt;0),SUMPRODUCT(C484:I484,'Потребление (МВт·ч)'!C484:I484)/SUM('Потребление (МВт·ч)'!C484:I484),"")</s:f>
      </s:c>
      <s:c r="K484" s="6" t="n">
        <s:f>IF(SUMIF(C484:I484,"&lt;&gt;",'Потребление (МВт·ч)'!C484:I484)&gt;0,SUMPRODUCT(C484:I484,'Потребление (МВт·ч)'!C484:I484)/SUMIF(C484:I484,"&lt;&gt;",'Потребление (МВт·ч)'!C484:I484),"")</s:f>
        <s:v>2087.774029809695</s:v>
      </s:c>
      <s:c r="L484" s="6" t="n">
        <s:f>IF(COUNT(C484:I484)&gt;0,AVERAGE(C484:I484),"")</s:f>
        <s:v>1972.027003333333</s:v>
      </s:c>
      <s:c r="M484" s="10" t="n">
        <s:f>COUNT(C484:I484)</s:f>
        <s:v>6</s:v>
      </s:c>
      <s:c r="N484" s="11" t="n">
        <s:f>IF(AND(COUNT('Потребление (МВт·ч)'!C484:I484)=7,SUM('Потребление (МВт·ч)'!C484:I484)&gt;0),SUMIF(C484:I484,"&lt;&gt;",'Потребление (МВт·ч)'!C484:I484)/SUM('Потребление (МВт·ч)'!C484:I484),"")</s:f>
        <s:v>0.9550821427565024</s:v>
      </s:c>
    </s:row>
    <s:row r="485">
      <s:c r="A485" s="5" t="n">
        <s:v>46286</s:v>
      </s:c>
      <s:c r="B485" s="2" t="n">
        <s:v>0</s:v>
      </s:c>
      <s:c r="C485" s="6" t="n">
        <s:v>1702.71057</s:v>
      </s:c>
      <s:c r="D485" s="6" t="n">
        <s:v>2023.12292</s:v>
      </s:c>
      <s:c r="E485" s="6" t="n">
        <s:v>2089.769</s:v>
      </s:c>
      <s:c r="F485" s="6" t="n">
        <s:v>1957.15466</s:v>
      </s:c>
      <s:c r="G485" s="6" t="n">
        <s:v>1743.38049</s:v>
      </s:c>
      <s:c r="H485" s="6" t="n">
        <s:v>1645.40723</s:v>
      </s:c>
      <s:c r="I485" s="6" t="n"/>
      <s:c r="J485" s="6" t="str">
        <s:f>IF(AND(COUNT(C485:I485)=7,COUNT('Потребление (МВт·ч)'!C485:I485)=7,SUM('Потребление (МВт·ч)'!C485:I485)&gt;0),SUMPRODUCT(C485:I485,'Потребление (МВт·ч)'!C485:I485)/SUM('Потребление (МВт·ч)'!C485:I485),"")</s:f>
      </s:c>
      <s:c r="K485" s="6" t="n">
        <s:f>IF(SUMIF(C485:I485,"&lt;&gt;",'Потребление (МВт·ч)'!C485:I485)&gt;0,SUMPRODUCT(C485:I485,'Потребление (МВт·ч)'!C485:I485)/SUMIF(C485:I485,"&lt;&gt;",'Потребление (МВт·ч)'!C485:I485),"")</s:f>
        <s:v>1840.099649285192</s:v>
      </s:c>
      <s:c r="L485" s="6" t="n">
        <s:f>IF(COUNT(C485:I485)&gt;0,AVERAGE(C485:I485),"")</s:f>
        <s:v>1860.2574783333332</s:v>
      </s:c>
      <s:c r="M485" s="10" t="n">
        <s:f>COUNT(C485:I485)</s:f>
        <s:v>6</s:v>
      </s:c>
      <s:c r="N485" s="11" t="n">
        <s:f>IF(AND(COUNT('Потребление (МВт·ч)'!C485:I485)=7,SUM('Потребление (МВт·ч)'!C485:I485)&gt;0),SUMIF(C485:I485,"&lt;&gt;",'Потребление (МВт·ч)'!C485:I485)/SUM('Потребление (МВт·ч)'!C485:I485),"")</s:f>
        <s:v>0.9523105536744718</s:v>
      </s:c>
    </s:row>
    <s:row r="486">
      <s:c r="A486" s="5" t="n">
        <s:v>46286</s:v>
      </s:c>
      <s:c r="B486" s="2" t="n">
        <s:v>1</s:v>
      </s:c>
      <s:c r="C486" s="6" t="n">
        <s:v>1625.89246</s:v>
      </s:c>
      <s:c r="D486" s="6" t="n">
        <s:v>1944.74976</s:v>
      </s:c>
      <s:c r="E486" s="6" t="n">
        <s:v>1987.46533</s:v>
      </s:c>
      <s:c r="F486" s="6" t="n">
        <s:v>1940.525</s:v>
      </s:c>
      <s:c r="G486" s="6" t="n">
        <s:v>1725.23352</s:v>
      </s:c>
      <s:c r="H486" s="6" t="n">
        <s:v>1606.33911</s:v>
      </s:c>
      <s:c r="I486" s="6" t="n"/>
      <s:c r="J486" s="6" t="str">
        <s:f>IF(AND(COUNT(C486:I486)=7,COUNT('Потребление (МВт·ч)'!C486:I486)=7,SUM('Потребление (МВт·ч)'!C486:I486)&gt;0),SUMPRODUCT(C486:I486,'Потребление (МВт·ч)'!C486:I486)/SUM('Потребление (МВт·ч)'!C486:I486),"")</s:f>
      </s:c>
      <s:c r="K486" s="6" t="n">
        <s:f>IF(SUMIF(C486:I486,"&lt;&gt;",'Потребление (МВт·ч)'!C486:I486)&gt;0,SUMPRODUCT(C486:I486,'Потребление (МВт·ч)'!C486:I486)/SUMIF(C486:I486,"&lt;&gt;",'Потребление (МВт·ч)'!C486:I486),"")</s:f>
        <s:v>1786.8090945794443</s:v>
      </s:c>
      <s:c r="L486" s="6" t="n">
        <s:f>IF(COUNT(C486:I486)&gt;0,AVERAGE(C486:I486),"")</s:f>
        <s:v>1805.0341966666667</s:v>
      </s:c>
      <s:c r="M486" s="10" t="n">
        <s:f>COUNT(C486:I486)</s:f>
        <s:v>6</s:v>
      </s:c>
      <s:c r="N486" s="11" t="n">
        <s:f>IF(AND(COUNT('Потребление (МВт·ч)'!C486:I486)=7,SUM('Потребление (МВт·ч)'!C486:I486)&gt;0),SUMIF(C486:I486,"&lt;&gt;",'Потребление (МВт·ч)'!C486:I486)/SUM('Потребление (МВт·ч)'!C486:I486),"")</s:f>
        <s:v>0.950090524460968</s:v>
      </s:c>
    </s:row>
    <s:row r="487">
      <s:c r="A487" s="5" t="n">
        <s:v>46286</s:v>
      </s:c>
      <s:c r="B487" s="2" t="n">
        <s:v>2</s:v>
      </s:c>
      <s:c r="C487" s="6" t="n">
        <s:v>1543.6394</s:v>
      </s:c>
      <s:c r="D487" s="6" t="n">
        <s:v>1852.09314</s:v>
      </s:c>
      <s:c r="E487" s="6" t="n">
        <s:v>1856.79712</s:v>
      </s:c>
      <s:c r="F487" s="6" t="n">
        <s:v>1843.81384</s:v>
      </s:c>
      <s:c r="G487" s="6" t="n">
        <s:v>1711.52026</s:v>
      </s:c>
      <s:c r="H487" s="6" t="n">
        <s:v>1627.49292</s:v>
      </s:c>
      <s:c r="I487" s="6" t="n"/>
      <s:c r="J487" s="6" t="str">
        <s:f>IF(AND(COUNT(C487:I487)=7,COUNT('Потребление (МВт·ч)'!C487:I487)=7,SUM('Потребление (МВт·ч)'!C487:I487)&gt;0),SUMPRODUCT(C487:I487,'Потребление (МВт·ч)'!C487:I487)/SUM('Потребление (МВт·ч)'!C487:I487),"")</s:f>
      </s:c>
      <s:c r="K487" s="6" t="n">
        <s:f>IF(SUMIF(C487:I487,"&lt;&gt;",'Потребление (МВт·ч)'!C487:I487)&gt;0,SUMPRODUCT(C487:I487,'Потребление (МВт·ч)'!C487:I487)/SUMIF(C487:I487,"&lt;&gt;",'Потребление (МВт·ч)'!C487:I487),"")</s:f>
        <s:v>1735.6502872809087</s:v>
      </s:c>
      <s:c r="L487" s="6" t="n">
        <s:f>IF(COUNT(C487:I487)&gt;0,AVERAGE(C487:I487),"")</s:f>
        <s:v>1739.2261133333334</s:v>
      </s:c>
      <s:c r="M487" s="10" t="n">
        <s:f>COUNT(C487:I487)</s:f>
        <s:v>6</s:v>
      </s:c>
      <s:c r="N487" s="11" t="n">
        <s:f>IF(AND(COUNT('Потребление (МВт·ч)'!C487:I487)=7,SUM('Потребление (МВт·ч)'!C487:I487)&gt;0),SUMIF(C487:I487,"&lt;&gt;",'Потребление (МВт·ч)'!C487:I487)/SUM('Потребление (МВт·ч)'!C487:I487),"")</s:f>
        <s:v>0.950889028092324</s:v>
      </s:c>
    </s:row>
    <s:row r="488">
      <s:c r="A488" s="5" t="n">
        <s:v>46286</s:v>
      </s:c>
      <s:c r="B488" s="2" t="n">
        <s:v>3</s:v>
      </s:c>
      <s:c r="C488" s="6" t="n">
        <s:v>1482.484</s:v>
      </s:c>
      <s:c r="D488" s="6" t="n">
        <s:v>1824.13647</s:v>
      </s:c>
      <s:c r="E488" s="6" t="n">
        <s:v>1850.50525</s:v>
      </s:c>
      <s:c r="F488" s="6" t="n">
        <s:v>1842.875</s:v>
      </s:c>
      <s:c r="G488" s="6" t="n">
        <s:v>1720.02356</s:v>
      </s:c>
      <s:c r="H488" s="6" t="n">
        <s:v>1583.54834</s:v>
      </s:c>
      <s:c r="I488" s="6" t="n"/>
      <s:c r="J488" s="6" t="str">
        <s:f>IF(AND(COUNT(C488:I488)=7,COUNT('Потребление (МВт·ч)'!C488:I488)=7,SUM('Потребление (МВт·ч)'!C488:I488)&gt;0),SUMPRODUCT(C488:I488,'Потребление (МВт·ч)'!C488:I488)/SUM('Потребление (МВт·ч)'!C488:I488),"")</s:f>
      </s:c>
      <s:c r="K488" s="6" t="n">
        <s:f>IF(SUMIF(C488:I488,"&lt;&gt;",'Потребление (МВт·ч)'!C488:I488)&gt;0,SUMPRODUCT(C488:I488,'Потребление (МВт·ч)'!C488:I488)/SUMIF(C488:I488,"&lt;&gt;",'Потребление (МВт·ч)'!C488:I488),"")</s:f>
        <s:v>1714.4281936292825</s:v>
      </s:c>
      <s:c r="L488" s="6" t="n">
        <s:f>IF(COUNT(C488:I488)&gt;0,AVERAGE(C488:I488),"")</s:f>
        <s:v>1717.2621033333332</s:v>
      </s:c>
      <s:c r="M488" s="10" t="n">
        <s:f>COUNT(C488:I488)</s:f>
        <s:v>6</s:v>
      </s:c>
      <s:c r="N488" s="11" t="n">
        <s:f>IF(AND(COUNT('Потребление (МВт·ч)'!C488:I488)=7,SUM('Потребление (МВт·ч)'!C488:I488)&gt;0),SUMIF(C488:I488,"&lt;&gt;",'Потребление (МВт·ч)'!C488:I488)/SUM('Потребление (МВт·ч)'!C488:I488),"")</s:f>
        <s:v>0.9506283576819947</s:v>
      </s:c>
    </s:row>
    <s:row r="489">
      <s:c r="A489" s="5" t="n">
        <s:v>46286</s:v>
      </s:c>
      <s:c r="B489" s="2" t="n">
        <s:v>4</s:v>
      </s:c>
      <s:c r="C489" s="6" t="n">
        <s:v>1495.10059</s:v>
      </s:c>
      <s:c r="D489" s="6" t="n">
        <s:v>1931.46228</s:v>
      </s:c>
      <s:c r="E489" s="6" t="n">
        <s:v>1969.77319</s:v>
      </s:c>
      <s:c r="F489" s="6" t="n">
        <s:v>1938.66711</s:v>
      </s:c>
      <s:c r="G489" s="6" t="n">
        <s:v>1785.36975</s:v>
      </s:c>
      <s:c r="H489" s="6" t="n">
        <s:v>1743.47791</s:v>
      </s:c>
      <s:c r="I489" s="6" t="n"/>
      <s:c r="J489" s="6" t="str">
        <s:f>IF(AND(COUNT(C489:I489)=7,COUNT('Потребление (МВт·ч)'!C489:I489)=7,SUM('Потребление (МВт·ч)'!C489:I489)&gt;0),SUMPRODUCT(C489:I489,'Потребление (МВт·ч)'!C489:I489)/SUM('Потребление (МВт·ч)'!C489:I489),"")</s:f>
      </s:c>
      <s:c r="K489" s="6" t="n">
        <s:f>IF(SUMIF(C489:I489,"&lt;&gt;",'Потребление (МВт·ч)'!C489:I489)&gt;0,SUMPRODUCT(C489:I489,'Потребление (МВт·ч)'!C489:I489)/SUMIF(C489:I489,"&lt;&gt;",'Потребление (МВт·ч)'!C489:I489),"")</s:f>
        <s:v>1816.066519353318</s:v>
      </s:c>
      <s:c r="L489" s="6" t="n">
        <s:f>IF(COUNT(C489:I489)&gt;0,AVERAGE(C489:I489),"")</s:f>
        <s:v>1810.641805</s:v>
      </s:c>
      <s:c r="M489" s="10" t="n">
        <s:f>COUNT(C489:I489)</s:f>
        <s:v>6</s:v>
      </s:c>
      <s:c r="N489" s="11" t="n">
        <s:f>IF(AND(COUNT('Потребление (МВт·ч)'!C489:I489)=7,SUM('Потребление (МВт·ч)'!C489:I489)&gt;0),SUMIF(C489:I489,"&lt;&gt;",'Потребление (МВт·ч)'!C489:I489)/SUM('Потребление (МВт·ч)'!C489:I489),"")</s:f>
        <s:v>0.9520923925749287</s:v>
      </s:c>
    </s:row>
    <s:row r="490">
      <s:c r="A490" s="5" t="n">
        <s:v>46286</s:v>
      </s:c>
      <s:c r="B490" s="2" t="n">
        <s:v>5</s:v>
      </s:c>
      <s:c r="C490" s="6" t="n">
        <s:v>1523.54419</s:v>
      </s:c>
      <s:c r="D490" s="6" t="n">
        <s:v>2196.18677</s:v>
      </s:c>
      <s:c r="E490" s="6" t="n">
        <s:v>2206.07568</s:v>
      </s:c>
      <s:c r="F490" s="6" t="n">
        <s:v>2182.99146</s:v>
      </s:c>
      <s:c r="G490" s="6" t="n">
        <s:v>1925.03943</s:v>
      </s:c>
      <s:c r="H490" s="6" t="n">
        <s:v>1766.54675</s:v>
      </s:c>
      <s:c r="I490" s="6" t="n"/>
      <s:c r="J490" s="6" t="str">
        <s:f>IF(AND(COUNT(C490:I490)=7,COUNT('Потребление (МВт·ч)'!C490:I490)=7,SUM('Потребление (МВт·ч)'!C490:I490)&gt;0),SUMPRODUCT(C490:I490,'Потребление (МВт·ч)'!C490:I490)/SUM('Потребление (МВт·ч)'!C490:I490),"")</s:f>
      </s:c>
      <s:c r="K490" s="6" t="n">
        <s:f>IF(SUMIF(C490:I490,"&lt;&gt;",'Потребление (МВт·ч)'!C490:I490)&gt;0,SUMPRODUCT(C490:I490,'Потребление (МВт·ч)'!C490:I490)/SUMIF(C490:I490,"&lt;&gt;",'Потребление (МВт·ч)'!C490:I490),"")</s:f>
        <s:v>1968.1218836766147</s:v>
      </s:c>
      <s:c r="L490" s="6" t="n">
        <s:f>IF(COUNT(C490:I490)&gt;0,AVERAGE(C490:I490),"")</s:f>
        <s:v>1966.7307133333334</s:v>
      </s:c>
      <s:c r="M490" s="10" t="n">
        <s:f>COUNT(C490:I490)</s:f>
        <s:v>6</s:v>
      </s:c>
      <s:c r="N490" s="11" t="n">
        <s:f>IF(AND(COUNT('Потребление (МВт·ч)'!C490:I490)=7,SUM('Потребление (МВт·ч)'!C490:I490)&gt;0),SUMIF(C490:I490,"&lt;&gt;",'Потребление (МВт·ч)'!C490:I490)/SUM('Потребление (МВт·ч)'!C490:I490),"")</s:f>
        <s:v>0.9535648429906712</s:v>
      </s:c>
    </s:row>
    <s:row r="491">
      <s:c r="A491" s="5" t="n">
        <s:v>46286</s:v>
      </s:c>
      <s:c r="B491" s="2" t="n">
        <s:v>6</s:v>
      </s:c>
      <s:c r="C491" s="6" t="n">
        <s:v>1974.71375</s:v>
      </s:c>
      <s:c r="D491" s="6" t="n">
        <s:v>2350.46851</s:v>
      </s:c>
      <s:c r="E491" s="6" t="n">
        <s:v>2365.39624</s:v>
      </s:c>
      <s:c r="F491" s="6" t="n">
        <s:v>2317.09839</s:v>
      </s:c>
      <s:c r="G491" s="6" t="n">
        <s:v>1977.56726</s:v>
      </s:c>
      <s:c r="H491" s="6" t="n">
        <s:v>1752.63806</s:v>
      </s:c>
      <s:c r="I491" s="6" t="n"/>
      <s:c r="J491" s="6" t="str">
        <s:f>IF(AND(COUNT(C491:I491)=7,COUNT('Потребление (МВт·ч)'!C491:I491)=7,SUM('Потребление (МВт·ч)'!C491:I491)&gt;0),SUMPRODUCT(C491:I491,'Потребление (МВт·ч)'!C491:I491)/SUM('Потребление (МВт·ч)'!C491:I491),"")</s:f>
      </s:c>
      <s:c r="K491" s="6" t="n">
        <s:f>IF(SUMIF(C491:I491,"&lt;&gt;",'Потребление (МВт·ч)'!C491:I491)&gt;0,SUMPRODUCT(C491:I491,'Потребление (МВт·ч)'!C491:I491)/SUMIF(C491:I491,"&lt;&gt;",'Потребление (МВт·ч)'!C491:I491),"")</s:f>
        <s:v>2088.6367124799854</s:v>
      </s:c>
      <s:c r="L491" s="6" t="n">
        <s:f>IF(COUNT(C491:I491)&gt;0,AVERAGE(C491:I491),"")</s:f>
        <s:v>2122.980368333333</s:v>
      </s:c>
      <s:c r="M491" s="10" t="n">
        <s:f>COUNT(C491:I491)</s:f>
        <s:v>6</s:v>
      </s:c>
      <s:c r="N491" s="11" t="n">
        <s:f>IF(AND(COUNT('Потребление (МВт·ч)'!C491:I491)=7,SUM('Потребление (МВт·ч)'!C491:I491)&gt;0),SUMIF(C491:I491,"&lt;&gt;",'Потребление (МВт·ч)'!C491:I491)/SUM('Потребление (МВт·ч)'!C491:I491),"")</s:f>
        <s:v>0.9562131622083493</s:v>
      </s:c>
    </s:row>
    <s:row r="492">
      <s:c r="A492" s="5" t="n">
        <s:v>46286</s:v>
      </s:c>
      <s:c r="B492" s="2" t="n">
        <s:v>7</s:v>
      </s:c>
      <s:c r="C492" s="6" t="n">
        <s:v>2337.99341</s:v>
      </s:c>
      <s:c r="D492" s="6" t="n">
        <s:v>2779.56616</s:v>
      </s:c>
      <s:c r="E492" s="6" t="n">
        <s:v>2764.879</s:v>
      </s:c>
      <s:c r="F492" s="6" t="n">
        <s:v>2626.481</s:v>
      </s:c>
      <s:c r="G492" s="6" t="n">
        <s:v>2047.14551</s:v>
      </s:c>
      <s:c r="H492" s="6" t="n">
        <s:v>1741.51184</s:v>
      </s:c>
      <s:c r="I492" s="6" t="n"/>
      <s:c r="J492" s="6" t="str">
        <s:f>IF(AND(COUNT(C492:I492)=7,COUNT('Потребление (МВт·ч)'!C492:I492)=7,SUM('Потребление (МВт·ч)'!C492:I492)&gt;0),SUMPRODUCT(C492:I492,'Потребление (МВт·ч)'!C492:I492)/SUM('Потребление (МВт·ч)'!C492:I492),"")</s:f>
      </s:c>
      <s:c r="K492" s="6" t="n">
        <s:f>IF(SUMIF(C492:I492,"&lt;&gt;",'Потребление (МВт·ч)'!C492:I492)&gt;0,SUMPRODUCT(C492:I492,'Потребление (МВт·ч)'!C492:I492)/SUMIF(C492:I492,"&lt;&gt;",'Потребление (МВт·ч)'!C492:I492),"")</s:f>
        <s:v>2319.5381414694784</s:v>
      </s:c>
      <s:c r="L492" s="6" t="n">
        <s:f>IF(COUNT(C492:I492)&gt;0,AVERAGE(C492:I492),"")</s:f>
        <s:v>2382.9294866666664</s:v>
      </s:c>
      <s:c r="M492" s="10" t="n">
        <s:f>COUNT(C492:I492)</s:f>
        <s:v>6</s:v>
      </s:c>
      <s:c r="N492" s="11" t="n">
        <s:f>IF(AND(COUNT('Потребление (МВт·ч)'!C492:I492)=7,SUM('Потребление (МВт·ч)'!C492:I492)&gt;0),SUMIF(C492:I492,"&lt;&gt;",'Потребление (МВт·ч)'!C492:I492)/SUM('Потребление (МВт·ч)'!C492:I492),"")</s:f>
        <s:v>0.9566574173252254</s:v>
      </s:c>
    </s:row>
    <s:row r="493">
      <s:c r="A493" s="5" t="n">
        <s:v>46286</s:v>
      </s:c>
      <s:c r="B493" s="2" t="n">
        <s:v>8</s:v>
      </s:c>
      <s:c r="C493" s="6" t="n">
        <s:v>2627.819</s:v>
      </s:c>
      <s:c r="D493" s="6" t="n">
        <s:v>3272.449</s:v>
      </s:c>
      <s:c r="E493" s="6" t="n">
        <s:v>3084.87036</s:v>
      </s:c>
      <s:c r="F493" s="6" t="n">
        <s:v>2942.687</s:v>
      </s:c>
      <s:c r="G493" s="6" t="n">
        <s:v>2194.93018</s:v>
      </s:c>
      <s:c r="H493" s="6" t="n">
        <s:v>1729.66382</s:v>
      </s:c>
      <s:c r="I493" s="6" t="n"/>
      <s:c r="J493" s="6" t="str">
        <s:f>IF(AND(COUNT(C493:I493)=7,COUNT('Потребление (МВт·ч)'!C493:I493)=7,SUM('Потребление (МВт·ч)'!C493:I493)&gt;0),SUMPRODUCT(C493:I493,'Потребление (МВт·ч)'!C493:I493)/SUM('Потребление (МВт·ч)'!C493:I493),"")</s:f>
      </s:c>
      <s:c r="K493" s="6" t="n">
        <s:f>IF(SUMIF(C493:I493,"&lt;&gt;",'Потребление (МВт·ч)'!C493:I493)&gt;0,SUMPRODUCT(C493:I493,'Потребление (МВт·ч)'!C493:I493)/SUMIF(C493:I493,"&lt;&gt;",'Потребление (МВт·ч)'!C493:I493),"")</s:f>
        <s:v>2579.341325568766</s:v>
      </s:c>
      <s:c r="L493" s="6" t="n">
        <s:f>IF(COUNT(C493:I493)&gt;0,AVERAGE(C493:I493),"")</s:f>
        <s:v>2642.0698933333333</s:v>
      </s:c>
      <s:c r="M493" s="10" t="n">
        <s:f>COUNT(C493:I493)</s:f>
        <s:v>6</s:v>
      </s:c>
      <s:c r="N493" s="11" t="n">
        <s:f>IF(AND(COUNT('Потребление (МВт·ч)'!C493:I493)=7,SUM('Потребление (МВт·ч)'!C493:I493)&gt;0),SUMIF(C493:I493,"&lt;&gt;",'Потребление (МВт·ч)'!C493:I493)/SUM('Потребление (МВт·ч)'!C493:I493),"")</s:f>
        <s:v>0.9590585250008133</s:v>
      </s:c>
    </s:row>
    <s:row r="494">
      <s:c r="A494" s="5" t="n">
        <s:v>46286</s:v>
      </s:c>
      <s:c r="B494" s="2" t="n">
        <s:v>9</s:v>
      </s:c>
      <s:c r="C494" s="6" t="n">
        <s:v>2754.66675</s:v>
      </s:c>
      <s:c r="D494" s="6" t="n">
        <s:v>3293.59766</s:v>
      </s:c>
      <s:c r="E494" s="6" t="n">
        <s:v>3094.30518</s:v>
      </s:c>
      <s:c r="F494" s="6" t="n">
        <s:v>2902.887</s:v>
      </s:c>
      <s:c r="G494" s="6" t="n">
        <s:v>2305.54028</s:v>
      </s:c>
      <s:c r="H494" s="6" t="n">
        <s:v>1808.35364</s:v>
      </s:c>
      <s:c r="I494" s="6" t="n"/>
      <s:c r="J494" s="6" t="str">
        <s:f>IF(AND(COUNT(C494:I494)=7,COUNT('Потребление (МВт·ч)'!C494:I494)=7,SUM('Потребление (МВт·ч)'!C494:I494)&gt;0),SUMPRODUCT(C494:I494,'Потребление (МВт·ч)'!C494:I494)/SUM('Потребление (МВт·ч)'!C494:I494),"")</s:f>
      </s:c>
      <s:c r="K494" s="6" t="n">
        <s:f>IF(SUMIF(C494:I494,"&lt;&gt;",'Потребление (МВт·ч)'!C494:I494)&gt;0,SUMPRODUCT(C494:I494,'Потребление (МВт·ч)'!C494:I494)/SUMIF(C494:I494,"&lt;&gt;",'Потребление (МВт·ч)'!C494:I494),"")</s:f>
        <s:v>2639.953469875717</s:v>
      </s:c>
      <s:c r="L494" s="6" t="n">
        <s:f>IF(COUNT(C494:I494)&gt;0,AVERAGE(C494:I494),"")</s:f>
        <s:v>2693.2250849999996</s:v>
      </s:c>
      <s:c r="M494" s="10" t="n">
        <s:f>COUNT(C494:I494)</s:f>
        <s:v>6</s:v>
      </s:c>
      <s:c r="N494" s="11" t="n">
        <s:f>IF(AND(COUNT('Потребление (МВт·ч)'!C494:I494)=7,SUM('Потребление (МВт·ч)'!C494:I494)&gt;0),SUMIF(C494:I494,"&lt;&gt;",'Потребление (МВт·ч)'!C494:I494)/SUM('Потребление (МВт·ч)'!C494:I494),"")</s:f>
        <s:v>0.9589169226799552</s:v>
      </s:c>
    </s:row>
    <s:row r="495">
      <s:c r="A495" s="5" t="n">
        <s:v>46286</s:v>
      </s:c>
      <s:c r="B495" s="2" t="n">
        <s:v>10</s:v>
      </s:c>
      <s:c r="C495" s="6" t="n">
        <s:v>2684.16724</s:v>
      </s:c>
      <s:c r="D495" s="6" t="n">
        <s:v>3218.01953</s:v>
      </s:c>
      <s:c r="E495" s="6" t="n">
        <s:v>3068.71167</s:v>
      </s:c>
      <s:c r="F495" s="6" t="n">
        <s:v>2843.34253</s:v>
      </s:c>
      <s:c r="G495" s="6" t="n">
        <s:v>2130.474</s:v>
      </s:c>
      <s:c r="H495" s="6" t="n">
        <s:v>1561.08716</s:v>
      </s:c>
      <s:c r="I495" s="6" t="n"/>
      <s:c r="J495" s="6" t="str">
        <s:f>IF(AND(COUNT(C495:I495)=7,COUNT('Потребление (МВт·ч)'!C495:I495)=7,SUM('Потребление (МВт·ч)'!C495:I495)&gt;0),SUMPRODUCT(C495:I495,'Потребление (МВт·ч)'!C495:I495)/SUM('Потребление (МВт·ч)'!C495:I495),"")</s:f>
      </s:c>
      <s:c r="K495" s="6" t="n">
        <s:f>IF(SUMIF(C495:I495,"&lt;&gt;",'Потребление (МВт·ч)'!C495:I495)&gt;0,SUMPRODUCT(C495:I495,'Потребление (МВт·ч)'!C495:I495)/SUMIF(C495:I495,"&lt;&gt;",'Потребление (МВт·ч)'!C495:I495),"")</s:f>
        <s:v>2515.0396304538776</s:v>
      </s:c>
      <s:c r="L495" s="6" t="n">
        <s:f>IF(COUNT(C495:I495)&gt;0,AVERAGE(C495:I495),"")</s:f>
        <s:v>2584.300355</s:v>
      </s:c>
      <s:c r="M495" s="10" t="n">
        <s:f>COUNT(C495:I495)</s:f>
        <s:v>6</s:v>
      </s:c>
      <s:c r="N495" s="11" t="n">
        <s:f>IF(AND(COUNT('Потребление (МВт·ч)'!C495:I495)=7,SUM('Потребление (МВт·ч)'!C495:I495)&gt;0),SUMIF(C495:I495,"&lt;&gt;",'Потребление (МВт·ч)'!C495:I495)/SUM('Потребление (МВт·ч)'!C495:I495),"")</s:f>
        <s:v>0.9579916466147866</s:v>
      </s:c>
    </s:row>
    <s:row r="496">
      <s:c r="A496" s="5" t="n">
        <s:v>46286</s:v>
      </s:c>
      <s:c r="B496" s="2" t="n">
        <s:v>11</s:v>
      </s:c>
      <s:c r="C496" s="6" t="n">
        <s:v>2432.04224</s:v>
      </s:c>
      <s:c r="D496" s="6" t="n">
        <s:v>2906.28833</s:v>
      </s:c>
      <s:c r="E496" s="6" t="n">
        <s:v>2931.393</s:v>
      </s:c>
      <s:c r="F496" s="6" t="n">
        <s:v>2728.894</s:v>
      </s:c>
      <s:c r="G496" s="6" t="n">
        <s:v>2278.92676</s:v>
      </s:c>
      <s:c r="H496" s="6" t="n">
        <s:v>1635.04041</s:v>
      </s:c>
      <s:c r="I496" s="6" t="n"/>
      <s:c r="J496" s="6" t="str">
        <s:f>IF(AND(COUNT(C496:I496)=7,COUNT('Потребление (МВт·ч)'!C496:I496)=7,SUM('Потребление (МВт·ч)'!C496:I496)&gt;0),SUMPRODUCT(C496:I496,'Потребление (МВт·ч)'!C496:I496)/SUM('Потребление (МВт·ч)'!C496:I496),"")</s:f>
      </s:c>
      <s:c r="K496" s="6" t="n">
        <s:f>IF(SUMIF(C496:I496,"&lt;&gt;",'Потребление (МВт·ч)'!C496:I496)&gt;0,SUMPRODUCT(C496:I496,'Потребление (МВт·ч)'!C496:I496)/SUMIF(C496:I496,"&lt;&gt;",'Потребление (МВт·ч)'!C496:I496),"")</s:f>
        <s:v>2437.662959529742</s:v>
      </s:c>
      <s:c r="L496" s="6" t="n">
        <s:f>IF(COUNT(C496:I496)&gt;0,AVERAGE(C496:I496),"")</s:f>
        <s:v>2485.43079</s:v>
      </s:c>
      <s:c r="M496" s="10" t="n">
        <s:f>COUNT(C496:I496)</s:f>
        <s:v>6</s:v>
      </s:c>
      <s:c r="N496" s="11" t="n">
        <s:f>IF(AND(COUNT('Потребление (МВт·ч)'!C496:I496)=7,SUM('Потребление (МВт·ч)'!C496:I496)&gt;0),SUMIF(C496:I496,"&lt;&gt;",'Потребление (МВт·ч)'!C496:I496)/SUM('Потребление (МВт·ч)'!C496:I496),"")</s:f>
        <s:v>0.9567321629892093</s:v>
      </s:c>
    </s:row>
    <s:row r="497">
      <s:c r="A497" s="5" t="n">
        <s:v>46286</s:v>
      </s:c>
      <s:c r="B497" s="2" t="n">
        <s:v>12</s:v>
      </s:c>
      <s:c r="C497" s="6" t="n">
        <s:v>2089.262</s:v>
      </s:c>
      <s:c r="D497" s="6" t="n">
        <s:v>2962.89966</s:v>
      </s:c>
      <s:c r="E497" s="6" t="n">
        <s:v>2963.66919</s:v>
      </s:c>
      <s:c r="F497" s="6" t="n">
        <s:v>2797.39331</s:v>
      </s:c>
      <s:c r="G497" s="6" t="n">
        <s:v>2312.17847</s:v>
      </s:c>
      <s:c r="H497" s="6" t="n">
        <s:v>1725.55945</s:v>
      </s:c>
      <s:c r="I497" s="6" t="n"/>
      <s:c r="J497" s="6" t="str">
        <s:f>IF(AND(COUNT(C497:I497)=7,COUNT('Потребление (МВт·ч)'!C497:I497)=7,SUM('Потребление (МВт·ч)'!C497:I497)&gt;0),SUMPRODUCT(C497:I497,'Потребление (МВт·ч)'!C497:I497)/SUM('Потребление (МВт·ч)'!C497:I497),"")</s:f>
      </s:c>
      <s:c r="K497" s="6" t="n">
        <s:f>IF(SUMIF(C497:I497,"&lt;&gt;",'Потребление (МВт·ч)'!C497:I497)&gt;0,SUMPRODUCT(C497:I497,'Потребление (МВт·ч)'!C497:I497)/SUMIF(C497:I497,"&lt;&gt;",'Потребление (МВт·ч)'!C497:I497),"")</s:f>
        <s:v>2455.587084762283</s:v>
      </s:c>
      <s:c r="L497" s="6" t="n">
        <s:f>IF(COUNT(C497:I497)&gt;0,AVERAGE(C497:I497),"")</s:f>
        <s:v>2475.160346666667</s:v>
      </s:c>
      <s:c r="M497" s="10" t="n">
        <s:f>COUNT(C497:I497)</s:f>
        <s:v>6</s:v>
      </s:c>
      <s:c r="N497" s="11" t="n">
        <s:f>IF(AND(COUNT('Потребление (МВт·ч)'!C497:I497)=7,SUM('Потребление (МВт·ч)'!C497:I497)&gt;0),SUMIF(C497:I497,"&lt;&gt;",'Потребление (МВт·ч)'!C497:I497)/SUM('Потребление (МВт·ч)'!C497:I497),"")</s:f>
        <s:v>0.9568541471149801</s:v>
      </s:c>
    </s:row>
    <s:row r="498">
      <s:c r="A498" s="5" t="n">
        <s:v>46286</s:v>
      </s:c>
      <s:c r="B498" s="2" t="n">
        <s:v>13</s:v>
      </s:c>
      <s:c r="C498" s="6" t="n">
        <s:v>2469.03516</s:v>
      </s:c>
      <s:c r="D498" s="6" t="n">
        <s:v>2979.59229</s:v>
      </s:c>
      <s:c r="E498" s="6" t="n">
        <s:v>3002.35742</s:v>
      </s:c>
      <s:c r="F498" s="6" t="n">
        <s:v>2813.06543</s:v>
      </s:c>
      <s:c r="G498" s="6" t="n">
        <s:v>2336.26514</s:v>
      </s:c>
      <s:c r="H498" s="6" t="n">
        <s:v>1955.55249</s:v>
      </s:c>
      <s:c r="I498" s="6" t="n"/>
      <s:c r="J498" s="6" t="str">
        <s:f>IF(AND(COUNT(C498:I498)=7,COUNT('Потребление (МВт·ч)'!C498:I498)=7,SUM('Потребление (МВт·ч)'!C498:I498)&gt;0),SUMPRODUCT(C498:I498,'Потребление (МВт·ч)'!C498:I498)/SUM('Потребление (МВт·ч)'!C498:I498),"")</s:f>
      </s:c>
      <s:c r="K498" s="6" t="n">
        <s:f>IF(SUMIF(C498:I498,"&lt;&gt;",'Потребление (МВт·ч)'!C498:I498)&gt;0,SUMPRODUCT(C498:I498,'Потребление (МВт·ч)'!C498:I498)/SUMIF(C498:I498,"&lt;&gt;",'Потребление (МВт·ч)'!C498:I498),"")</s:f>
        <s:v>2555.2371408712743</s:v>
      </s:c>
      <s:c r="L498" s="6" t="n">
        <s:f>IF(COUNT(C498:I498)&gt;0,AVERAGE(C498:I498),"")</s:f>
        <s:v>2592.644655</s:v>
      </s:c>
      <s:c r="M498" s="10" t="n">
        <s:f>COUNT(C498:I498)</s:f>
        <s:v>6</s:v>
      </s:c>
      <s:c r="N498" s="11" t="n">
        <s:f>IF(AND(COUNT('Потребление (МВт·ч)'!C498:I498)=7,SUM('Потребление (МВт·ч)'!C498:I498)&gt;0),SUMIF(C498:I498,"&lt;&gt;",'Потребление (МВт·ч)'!C498:I498)/SUM('Потребление (МВт·ч)'!C498:I498),"")</s:f>
        <s:v>0.9563914245307277</s:v>
      </s:c>
    </s:row>
    <s:row r="499">
      <s:c r="A499" s="5" t="n">
        <s:v>46286</s:v>
      </s:c>
      <s:c r="B499" s="2" t="n">
        <s:v>14</s:v>
      </s:c>
      <s:c r="C499" s="6" t="n">
        <s:v>2421.98047</s:v>
      </s:c>
      <s:c r="D499" s="6" t="n">
        <s:v>2917.21436</s:v>
      </s:c>
      <s:c r="E499" s="6" t="n">
        <s:v>3000.26147</s:v>
      </s:c>
      <s:c r="F499" s="6" t="n">
        <s:v>2759.19727</s:v>
      </s:c>
      <s:c r="G499" s="6" t="n">
        <s:v>2318.294</s:v>
      </s:c>
      <s:c r="H499" s="6" t="n">
        <s:v>2023.64343</s:v>
      </s:c>
      <s:c r="I499" s="6" t="n"/>
      <s:c r="J499" s="6" t="str">
        <s:f>IF(AND(COUNT(C499:I499)=7,COUNT('Потребление (МВт·ч)'!C499:I499)=7,SUM('Потребление (МВт·ч)'!C499:I499)&gt;0),SUMPRODUCT(C499:I499,'Потребление (МВт·ч)'!C499:I499)/SUM('Потребление (МВт·ч)'!C499:I499),"")</s:f>
      </s:c>
      <s:c r="K499" s="6" t="n">
        <s:f>IF(SUMIF(C499:I499,"&lt;&gt;",'Потребление (МВт·ч)'!C499:I499)&gt;0,SUMPRODUCT(C499:I499,'Потребление (МВт·ч)'!C499:I499)/SUMIF(C499:I499,"&lt;&gt;",'Потребление (МВт·ч)'!C499:I499),"")</s:f>
        <s:v>2538.3128947909477</s:v>
      </s:c>
      <s:c r="L499" s="6" t="n">
        <s:f>IF(COUNT(C499:I499)&gt;0,AVERAGE(C499:I499),"")</s:f>
        <s:v>2573.4318333333335</s:v>
      </s:c>
      <s:c r="M499" s="10" t="n">
        <s:f>COUNT(C499:I499)</s:f>
        <s:v>6</s:v>
      </s:c>
      <s:c r="N499" s="11" t="n">
        <s:f>IF(AND(COUNT('Потребление (МВт·ч)'!C499:I499)=7,SUM('Потребление (МВт·ч)'!C499:I499)&gt;0),SUMIF(C499:I499,"&lt;&gt;",'Потребление (МВт·ч)'!C499:I499)/SUM('Потребление (МВт·ч)'!C499:I499),"")</s:f>
        <s:v>0.9574600204837058</s:v>
      </s:c>
    </s:row>
    <s:row r="500">
      <s:c r="A500" s="5" t="n">
        <s:v>46286</s:v>
      </s:c>
      <s:c r="B500" s="2" t="n">
        <s:v>15</s:v>
      </s:c>
      <s:c r="C500" s="6" t="n">
        <s:v>2085.17578</s:v>
      </s:c>
      <s:c r="D500" s="6" t="n">
        <s:v>2940.13135</s:v>
      </s:c>
      <s:c r="E500" s="6" t="n">
        <s:v>3039.28076</s:v>
      </s:c>
      <s:c r="F500" s="6" t="n">
        <s:v>2790.60327</s:v>
      </s:c>
      <s:c r="G500" s="6" t="n">
        <s:v>2372.40186</s:v>
      </s:c>
      <s:c r="H500" s="6" t="n">
        <s:v>1974.29871</s:v>
      </s:c>
      <s:c r="I500" s="6" t="n"/>
      <s:c r="J500" s="6" t="str">
        <s:f>IF(AND(COUNT(C500:I500)=7,COUNT('Потребление (МВт·ч)'!C500:I500)=7,SUM('Потребление (МВт·ч)'!C500:I500)&gt;0),SUMPRODUCT(C500:I500,'Потребление (МВт·ч)'!C500:I500)/SUM('Потребление (МВт·ч)'!C500:I500),"")</s:f>
      </s:c>
      <s:c r="K500" s="6" t="n">
        <s:f>IF(SUMIF(C500:I500,"&lt;&gt;",'Потребление (МВт·ч)'!C500:I500)&gt;0,SUMPRODUCT(C500:I500,'Потребление (МВт·ч)'!C500:I500)/SUMIF(C500:I500,"&lt;&gt;",'Потребление (МВт·ч)'!C500:I500),"")</s:f>
        <s:v>2518.760958475983</s:v>
      </s:c>
      <s:c r="L500" s="6" t="n">
        <s:f>IF(COUNT(C500:I500)&gt;0,AVERAGE(C500:I500),"")</s:f>
        <s:v>2533.6486216666667</s:v>
      </s:c>
      <s:c r="M500" s="10" t="n">
        <s:f>COUNT(C500:I500)</s:f>
        <s:v>6</s:v>
      </s:c>
      <s:c r="N500" s="11" t="n">
        <s:f>IF(AND(COUNT('Потребление (МВт·ч)'!C500:I500)=7,SUM('Потребление (МВт·ч)'!C500:I500)&gt;0),SUMIF(C500:I500,"&lt;&gt;",'Потребление (МВт·ч)'!C500:I500)/SUM('Потребление (МВт·ч)'!C500:I500),"")</s:f>
        <s:v>0.9596444502011706</s:v>
      </s:c>
    </s:row>
    <s:row r="501">
      <s:c r="A501" s="5" t="n">
        <s:v>46286</s:v>
      </s:c>
      <s:c r="B501" s="2" t="n">
        <s:v>16</s:v>
      </s:c>
      <s:c r="C501" s="6" t="n">
        <s:v>1901.73547</s:v>
      </s:c>
      <s:c r="D501" s="6" t="n">
        <s:v>2910.33154</s:v>
      </s:c>
      <s:c r="E501" s="6" t="n">
        <s:v>3045.56982</s:v>
      </s:c>
      <s:c r="F501" s="6" t="n">
        <s:v>2824.91577</s:v>
      </s:c>
      <s:c r="G501" s="6" t="n">
        <s:v>2497.1792</s:v>
      </s:c>
      <s:c r="H501" s="6" t="n">
        <s:v>2114.818</s:v>
      </s:c>
      <s:c r="I501" s="6" t="n"/>
      <s:c r="J501" s="6" t="str">
        <s:f>IF(AND(COUNT(C501:I501)=7,COUNT('Потребление (МВт·ч)'!C501:I501)=7,SUM('Потребление (МВт·ч)'!C501:I501)&gt;0),SUMPRODUCT(C501:I501,'Потребление (МВт·ч)'!C501:I501)/SUM('Потребление (МВт·ч)'!C501:I501),"")</s:f>
      </s:c>
      <s:c r="K501" s="6" t="n">
        <s:f>IF(SUMIF(C501:I501,"&lt;&gt;",'Потребление (МВт·ч)'!C501:I501)&gt;0,SUMPRODUCT(C501:I501,'Потребление (МВт·ч)'!C501:I501)/SUMIF(C501:I501,"&lt;&gt;",'Потребление (МВт·ч)'!C501:I501),"")</s:f>
        <s:v>2555.9852972194803</s:v>
      </s:c>
      <s:c r="L501" s="6" t="n">
        <s:f>IF(COUNT(C501:I501)&gt;0,AVERAGE(C501:I501),"")</s:f>
        <s:v>2549.0916333333334</s:v>
      </s:c>
      <s:c r="M501" s="10" t="n">
        <s:f>COUNT(C501:I501)</s:f>
        <s:v>6</s:v>
      </s:c>
      <s:c r="N501" s="11" t="n">
        <s:f>IF(AND(COUNT('Потребление (МВт·ч)'!C501:I501)=7,SUM('Потребление (МВт·ч)'!C501:I501)&gt;0),SUMIF(C501:I501,"&lt;&gt;",'Потребление (МВт·ч)'!C501:I501)/SUM('Потребление (МВт·ч)'!C501:I501),"")</s:f>
        <s:v>0.959962482668624</s:v>
      </s:c>
    </s:row>
    <s:row r="502">
      <s:c r="A502" s="5" t="n">
        <s:v>46286</s:v>
      </s:c>
      <s:c r="B502" s="2" t="n">
        <s:v>17</s:v>
      </s:c>
      <s:c r="C502" s="6" t="n">
        <s:v>2406.53442</s:v>
      </s:c>
      <s:c r="D502" s="6" t="n">
        <s:v>3157.86914</s:v>
      </s:c>
      <s:c r="E502" s="6" t="n">
        <s:v>3262.5</s:v>
      </s:c>
      <s:c r="F502" s="6" t="n">
        <s:v>2963.08862</s:v>
      </s:c>
      <s:c r="G502" s="6" t="n">
        <s:v>2617.02734</s:v>
      </s:c>
      <s:c r="H502" s="6" t="n">
        <s:v>1889.67212</s:v>
      </s:c>
      <s:c r="I502" s="6" t="n"/>
      <s:c r="J502" s="6" t="str">
        <s:f>IF(AND(COUNT(C502:I502)=7,COUNT('Потребление (МВт·ч)'!C502:I502)=7,SUM('Потребление (МВт·ч)'!C502:I502)&gt;0),SUMPRODUCT(C502:I502,'Потребление (МВт·ч)'!C502:I502)/SUM('Потребление (МВт·ч)'!C502:I502),"")</s:f>
      </s:c>
      <s:c r="K502" s="6" t="n">
        <s:f>IF(SUMIF(C502:I502,"&lt;&gt;",'Потребление (МВт·ч)'!C502:I502)&gt;0,SUMPRODUCT(C502:I502,'Потребление (МВт·ч)'!C502:I502)/SUMIF(C502:I502,"&lt;&gt;",'Потребление (МВт·ч)'!C502:I502),"")</s:f>
        <s:v>2684.1343375131914</s:v>
      </s:c>
      <s:c r="L502" s="6" t="n">
        <s:f>IF(COUNT(C502:I502)&gt;0,AVERAGE(C502:I502),"")</s:f>
        <s:v>2716.1152733333333</s:v>
      </s:c>
      <s:c r="M502" s="10" t="n">
        <s:f>COUNT(C502:I502)</s:f>
        <s:v>6</s:v>
      </s:c>
      <s:c r="N502" s="11" t="n">
        <s:f>IF(AND(COUNT('Потребление (МВт·ч)'!C502:I502)=7,SUM('Потребление (МВт·ч)'!C502:I502)&gt;0),SUMIF(C502:I502,"&lt;&gt;",'Потребление (МВт·ч)'!C502:I502)/SUM('Потребление (МВт·ч)'!C502:I502),"")</s:f>
        <s:v>0.9622437883755345</s:v>
      </s:c>
    </s:row>
    <s:row r="503">
      <s:c r="A503" s="5" t="n">
        <s:v>46286</s:v>
      </s:c>
      <s:c r="B503" s="2" t="n">
        <s:v>18</s:v>
      </s:c>
      <s:c r="C503" s="6" t="n">
        <s:v>2093.49731</s:v>
      </s:c>
      <s:c r="D503" s="6" t="n">
        <s:v>3398.27344</s:v>
      </s:c>
      <s:c r="E503" s="6" t="n">
        <s:v>3568.6416</s:v>
      </s:c>
      <s:c r="F503" s="6" t="n">
        <s:v>3110.67285</s:v>
      </s:c>
      <s:c r="G503" s="6" t="n">
        <s:v>2483.10181</s:v>
      </s:c>
      <s:c r="H503" s="6" t="n">
        <s:v>1642.40527</s:v>
      </s:c>
      <s:c r="I503" s="6" t="n"/>
      <s:c r="J503" s="6" t="str">
        <s:f>IF(AND(COUNT(C503:I503)=7,COUNT('Потребление (МВт·ч)'!C503:I503)=7,SUM('Потребление (МВт·ч)'!C503:I503)&gt;0),SUMPRODUCT(C503:I503,'Потребление (МВт·ч)'!C503:I503)/SUM('Потребление (МВт·ч)'!C503:I503),"")</s:f>
      </s:c>
      <s:c r="K503" s="6" t="n">
        <s:f>IF(SUMIF(C503:I503,"&lt;&gt;",'Потребление (МВт·ч)'!C503:I503)&gt;0,SUMPRODUCT(C503:I503,'Потребление (МВт·ч)'!C503:I503)/SUMIF(C503:I503,"&lt;&gt;",'Потребление (МВт·ч)'!C503:I503),"")</s:f>
        <s:v>2695.6749141785845</s:v>
      </s:c>
      <s:c r="L503" s="6" t="n">
        <s:f>IF(COUNT(C503:I503)&gt;0,AVERAGE(C503:I503),"")</s:f>
        <s:v>2716.098713333333</s:v>
      </s:c>
      <s:c r="M503" s="10" t="n">
        <s:f>COUNT(C503:I503)</s:f>
        <s:v>6</s:v>
      </s:c>
      <s:c r="N503" s="11" t="n">
        <s:f>IF(AND(COUNT('Потребление (МВт·ч)'!C503:I503)=7,SUM('Потребление (МВт·ч)'!C503:I503)&gt;0),SUMIF(C503:I503,"&lt;&gt;",'Потребление (МВт·ч)'!C503:I503)/SUM('Потребление (МВт·ч)'!C503:I503),"")</s:f>
        <s:v>0.9628011767470885</s:v>
      </s:c>
    </s:row>
    <s:row r="504">
      <s:c r="A504" s="5" t="n">
        <s:v>46286</s:v>
      </s:c>
      <s:c r="B504" s="2" t="n">
        <s:v>19</s:v>
      </s:c>
      <s:c r="C504" s="6" t="n">
        <s:v>2272.3562</s:v>
      </s:c>
      <s:c r="D504" s="6" t="n">
        <s:v>3376.75073</s:v>
      </s:c>
      <s:c r="E504" s="6" t="n">
        <s:v>3462.62866</s:v>
      </s:c>
      <s:c r="F504" s="6" t="n">
        <s:v>3019.60278</s:v>
      </s:c>
      <s:c r="G504" s="6" t="n">
        <s:v>2073.582</s:v>
      </s:c>
      <s:c r="H504" s="6" t="n">
        <s:v>1432.7135</s:v>
      </s:c>
      <s:c r="I504" s="6" t="n"/>
      <s:c r="J504" s="6" t="str">
        <s:f>IF(AND(COUNT(C504:I504)=7,COUNT('Потребление (МВт·ч)'!C504:I504)=7,SUM('Потребление (МВт·ч)'!C504:I504)&gt;0),SUMPRODUCT(C504:I504,'Потребление (МВт·ч)'!C504:I504)/SUM('Потребление (МВт·ч)'!C504:I504),"")</s:f>
      </s:c>
      <s:c r="K504" s="6" t="n">
        <s:f>IF(SUMIF(C504:I504,"&lt;&gt;",'Потребление (МВт·ч)'!C504:I504)&gt;0,SUMPRODUCT(C504:I504,'Потребление (МВт·ч)'!C504:I504)/SUMIF(C504:I504,"&lt;&gt;",'Потребление (МВт·ч)'!C504:I504),"")</s:f>
        <s:v>2555.4980598829293</s:v>
      </s:c>
      <s:c r="L504" s="6" t="n">
        <s:f>IF(COUNT(C504:I504)&gt;0,AVERAGE(C504:I504),"")</s:f>
        <s:v>2606.272311666667</s:v>
      </s:c>
      <s:c r="M504" s="10" t="n">
        <s:f>COUNT(C504:I504)</s:f>
        <s:v>6</s:v>
      </s:c>
      <s:c r="N504" s="11" t="n">
        <s:f>IF(AND(COUNT('Потребление (МВт·ч)'!C504:I504)=7,SUM('Потребление (МВт·ч)'!C504:I504)&gt;0),SUMIF(C504:I504,"&lt;&gt;",'Потребление (МВт·ч)'!C504:I504)/SUM('Потребление (МВт·ч)'!C504:I504),"")</s:f>
        <s:v>0.9630685798587358</s:v>
      </s:c>
    </s:row>
    <s:row r="505">
      <s:c r="A505" s="5" t="n">
        <s:v>46286</s:v>
      </s:c>
      <s:c r="B505" s="2" t="n">
        <s:v>20</s:v>
      </s:c>
      <s:c r="C505" s="6" t="n">
        <s:v>2126.55786</s:v>
      </s:c>
      <s:c r="D505" s="6" t="n">
        <s:v>3105.17188</s:v>
      </s:c>
      <s:c r="E505" s="6" t="n">
        <s:v>3186.72144</s:v>
      </s:c>
      <s:c r="F505" s="6" t="n">
        <s:v>2795.66016</s:v>
      </s:c>
      <s:c r="G505" s="6" t="n">
        <s:v>1952.52771</s:v>
      </s:c>
      <s:c r="H505" s="6" t="n">
        <s:v>1571.37915</s:v>
      </s:c>
      <s:c r="I505" s="6" t="n"/>
      <s:c r="J505" s="6" t="str">
        <s:f>IF(AND(COUNT(C505:I505)=7,COUNT('Потребление (МВт·ч)'!C505:I505)=7,SUM('Потребление (МВт·ч)'!C505:I505)&gt;0),SUMPRODUCT(C505:I505,'Потребление (МВт·ч)'!C505:I505)/SUM('Потребление (МВт·ч)'!C505:I505),"")</s:f>
      </s:c>
      <s:c r="K505" s="6" t="n">
        <s:f>IF(SUMIF(C505:I505,"&lt;&gt;",'Потребление (МВт·ч)'!C505:I505)&gt;0,SUMPRODUCT(C505:I505,'Потребление (МВт·ч)'!C505:I505)/SUMIF(C505:I505,"&lt;&gt;",'Потребление (МВт·ч)'!C505:I505),"")</s:f>
        <s:v>2413.7022789862604</s:v>
      </s:c>
      <s:c r="L505" s="6" t="n">
        <s:f>IF(COUNT(C505:I505)&gt;0,AVERAGE(C505:I505),"")</s:f>
        <s:v>2456.336366666667</s:v>
      </s:c>
      <s:c r="M505" s="10" t="n">
        <s:f>COUNT(C505:I505)</s:f>
        <s:v>6</s:v>
      </s:c>
      <s:c r="N505" s="11" t="n">
        <s:f>IF(AND(COUNT('Потребление (МВт·ч)'!C505:I505)=7,SUM('Потребление (МВт·ч)'!C505:I505)&gt;0),SUMIF(C505:I505,"&lt;&gt;",'Потребление (МВт·ч)'!C505:I505)/SUM('Потребление (МВт·ч)'!C505:I505),"")</s:f>
        <s:v>0.9612557943531395</s:v>
      </s:c>
    </s:row>
    <s:row r="506">
      <s:c r="A506" s="5" t="n">
        <s:v>46286</s:v>
      </s:c>
      <s:c r="B506" s="2" t="n">
        <s:v>21</s:v>
      </s:c>
      <s:c r="C506" s="6" t="n">
        <s:v>2078.62</s:v>
      </s:c>
      <s:c r="D506" s="6" t="n">
        <s:v>2925.10767</s:v>
      </s:c>
      <s:c r="E506" s="6" t="n">
        <s:v>3039.72168</s:v>
      </s:c>
      <s:c r="F506" s="6" t="n">
        <s:v>2594.29028</s:v>
      </s:c>
      <s:c r="G506" s="6" t="n">
        <s:v>1895.84375</s:v>
      </s:c>
      <s:c r="H506" s="6" t="n">
        <s:v>1549.50854</s:v>
      </s:c>
      <s:c r="I506" s="6" t="n"/>
      <s:c r="J506" s="6" t="str">
        <s:f>IF(AND(COUNT(C506:I506)=7,COUNT('Потребление (МВт·ч)'!C506:I506)=7,SUM('Потребление (МВт·ч)'!C506:I506)&gt;0),SUMPRODUCT(C506:I506,'Потребление (МВт·ч)'!C506:I506)/SUM('Потребление (МВт·ч)'!C506:I506),"")</s:f>
      </s:c>
      <s:c r="K506" s="6" t="n">
        <s:f>IF(SUMIF(C506:I506,"&lt;&gt;",'Потребление (МВт·ч)'!C506:I506)&gt;0,SUMPRODUCT(C506:I506,'Потребление (МВт·ч)'!C506:I506)/SUMIF(C506:I506,"&lt;&gt;",'Потребление (МВт·ч)'!C506:I506),"")</s:f>
        <s:v>2300.5922218795886</s:v>
      </s:c>
      <s:c r="L506" s="6" t="n">
        <s:f>IF(COUNT(C506:I506)&gt;0,AVERAGE(C506:I506),"")</s:f>
        <s:v>2347.181986666667</s:v>
      </s:c>
      <s:c r="M506" s="10" t="n">
        <s:f>COUNT(C506:I506)</s:f>
        <s:v>6</s:v>
      </s:c>
      <s:c r="N506" s="11" t="n">
        <s:f>IF(AND(COUNT('Потребление (МВт·ч)'!C506:I506)=7,SUM('Потребление (МВт·ч)'!C506:I506)&gt;0),SUMIF(C506:I506,"&lt;&gt;",'Потребление (МВт·ч)'!C506:I506)/SUM('Потребление (МВт·ч)'!C506:I506),"")</s:f>
        <s:v>0.9599829677778164</s:v>
      </s:c>
    </s:row>
    <s:row r="507">
      <s:c r="A507" s="5" t="n">
        <s:v>46286</s:v>
      </s:c>
      <s:c r="B507" s="2" t="n">
        <s:v>22</s:v>
      </s:c>
      <s:c r="C507" s="6" t="n">
        <s:v>1486.10547</s:v>
      </s:c>
      <s:c r="D507" s="6" t="n">
        <s:v>2412.17676</s:v>
      </s:c>
      <s:c r="E507" s="6" t="n">
        <s:v>2535.057</s:v>
      </s:c>
      <s:c r="F507" s="6" t="n">
        <s:v>2266.144</s:v>
      </s:c>
      <s:c r="G507" s="6" t="n">
        <s:v>1816.66614</s:v>
      </s:c>
      <s:c r="H507" s="6" t="n">
        <s:v>1252.41272</s:v>
      </s:c>
      <s:c r="I507" s="6" t="n"/>
      <s:c r="J507" s="6" t="str">
        <s:f>IF(AND(COUNT(C507:I507)=7,COUNT('Потребление (МВт·ч)'!C507:I507)=7,SUM('Потребление (МВт·ч)'!C507:I507)&gt;0),SUMPRODUCT(C507:I507,'Потребление (МВт·ч)'!C507:I507)/SUM('Потребление (МВт·ч)'!C507:I507),"")</s:f>
      </s:c>
      <s:c r="K507" s="6" t="n">
        <s:f>IF(SUMIF(C507:I507,"&lt;&gt;",'Потребление (МВт·ч)'!C507:I507)&gt;0,SUMPRODUCT(C507:I507,'Потребление (МВт·ч)'!C507:I507)/SUMIF(C507:I507,"&lt;&gt;",'Потребление (МВт·ч)'!C507:I507),"")</s:f>
        <s:v>1933.2534379941633</s:v>
      </s:c>
      <s:c r="L507" s="6" t="n">
        <s:f>IF(COUNT(C507:I507)&gt;0,AVERAGE(C507:I507),"")</s:f>
        <s:v>1961.427015</s:v>
      </s:c>
      <s:c r="M507" s="10" t="n">
        <s:f>COUNT(C507:I507)</s:f>
        <s:v>6</s:v>
      </s:c>
      <s:c r="N507" s="11" t="n">
        <s:f>IF(AND(COUNT('Потребление (МВт·ч)'!C507:I507)=7,SUM('Потребление (МВт·ч)'!C507:I507)&gt;0),SUMIF(C507:I507,"&lt;&gt;",'Потребление (МВт·ч)'!C507:I507)/SUM('Потребление (МВт·ч)'!C507:I507),"")</s:f>
        <s:v>0.957975590558305</s:v>
      </s:c>
    </s:row>
    <s:row r="508">
      <s:c r="A508" s="5" t="n">
        <s:v>46286</s:v>
      </s:c>
      <s:c r="B508" s="2" t="n">
        <s:v>23</s:v>
      </s:c>
      <s:c r="C508" s="6" t="n">
        <s:v>977.56665</s:v>
      </s:c>
      <s:c r="D508" s="6" t="n">
        <s:v>2167.94629</s:v>
      </s:c>
      <s:c r="E508" s="6" t="n">
        <s:v>2331.378</s:v>
      </s:c>
      <s:c r="F508" s="6" t="n">
        <s:v>2108.14087</s:v>
      </s:c>
      <s:c r="G508" s="6" t="n">
        <s:v>1752.90015</s:v>
      </s:c>
      <s:c r="H508" s="6" t="n">
        <s:v>810.7117</s:v>
      </s:c>
      <s:c r="I508" s="6" t="n"/>
      <s:c r="J508" s="6" t="str">
        <s:f>IF(AND(COUNT(C508:I508)=7,COUNT('Потребление (МВт·ч)'!C508:I508)=7,SUM('Потребление (МВт·ч)'!C508:I508)&gt;0),SUMPRODUCT(C508:I508,'Потребление (МВт·ч)'!C508:I508)/SUM('Потребление (МВт·ч)'!C508:I508),"")</s:f>
      </s:c>
      <s:c r="K508" s="6" t="n">
        <s:f>IF(SUMIF(C508:I508,"&lt;&gt;",'Потребление (МВт·ч)'!C508:I508)&gt;0,SUMPRODUCT(C508:I508,'Потребление (МВт·ч)'!C508:I508)/SUMIF(C508:I508,"&lt;&gt;",'Потребление (МВт·ч)'!C508:I508),"")</s:f>
        <s:v>1663.1240136922488</s:v>
      </s:c>
      <s:c r="L508" s="6" t="n">
        <s:f>IF(COUNT(C508:I508)&gt;0,AVERAGE(C508:I508),"")</s:f>
        <s:v>1691.4406099999999</s:v>
      </s:c>
      <s:c r="M508" s="10" t="n">
        <s:f>COUNT(C508:I508)</s:f>
        <s:v>6</s:v>
      </s:c>
      <s:c r="N508" s="11" t="n">
        <s:f>IF(AND(COUNT('Потребление (МВт·ч)'!C508:I508)=7,SUM('Потребление (МВт·ч)'!C508:I508)&gt;0),SUMIF(C508:I508,"&lt;&gt;",'Потребление (МВт·ч)'!C508:I508)/SUM('Потребление (МВт·ч)'!C508:I508),"")</s:f>
        <s:v>0.9537468425484142</s:v>
      </s:c>
    </s:row>
    <s:row r="509">
      <s:c r="A509" s="5" t="n">
        <s:v>46287</s:v>
      </s:c>
      <s:c r="B509" s="2" t="n">
        <s:v>0</s:v>
      </s:c>
      <s:c r="C509" s="6" t="n">
        <s:v>1628.72766</s:v>
      </s:c>
      <s:c r="D509" s="6" t="n">
        <s:v>2119.66968</s:v>
      </s:c>
      <s:c r="E509" s="6" t="n">
        <s:v>2217.17017</s:v>
      </s:c>
      <s:c r="F509" s="6" t="n">
        <s:v>2055.463</s:v>
      </s:c>
      <s:c r="G509" s="6" t="n">
        <s:v>1722.32971</s:v>
      </s:c>
      <s:c r="H509" s="6" t="n">
        <s:v>1256.08032</s:v>
      </s:c>
      <s:c r="I509" s="6" t="n"/>
      <s:c r="J509" s="6" t="str">
        <s:f>IF(AND(COUNT(C509:I509)=7,COUNT('Потребление (МВт·ч)'!C509:I509)=7,SUM('Потребление (МВт·ч)'!C509:I509)&gt;0),SUMPRODUCT(C509:I509,'Потребление (МВт·ч)'!C509:I509)/SUM('Потребление (МВт·ч)'!C509:I509),"")</s:f>
      </s:c>
      <s:c r="K509" s="6" t="n">
        <s:f>IF(SUMIF(C509:I509,"&lt;&gt;",'Потребление (МВт·ч)'!C509:I509)&gt;0,SUMPRODUCT(C509:I509,'Потребление (МВт·ч)'!C509:I509)/SUMIF(C509:I509,"&lt;&gt;",'Потребление (МВт·ч)'!C509:I509),"")</s:f>
        <s:v>1784.3853548207396</s:v>
      </s:c>
      <s:c r="L509" s="6" t="n">
        <s:f>IF(COUNT(C509:I509)&gt;0,AVERAGE(C509:I509),"")</s:f>
        <s:v>1833.24009</s:v>
      </s:c>
      <s:c r="M509" s="10" t="n">
        <s:f>COUNT(C509:I509)</s:f>
        <s:v>6</s:v>
      </s:c>
      <s:c r="N509" s="11" t="n">
        <s:f>IF(AND(COUNT('Потребление (МВт·ч)'!C509:I509)=7,SUM('Потребление (МВт·ч)'!C509:I509)&gt;0),SUMIF(C509:I509,"&lt;&gt;",'Потребление (МВт·ч)'!C509:I509)/SUM('Потребление (МВт·ч)'!C509:I509),"")</s:f>
        <s:v>0.9508333175687179</s:v>
      </s:c>
    </s:row>
    <s:row r="510">
      <s:c r="A510" s="5" t="n">
        <s:v>46287</s:v>
      </s:c>
      <s:c r="B510" s="2" t="n">
        <s:v>1</s:v>
      </s:c>
      <s:c r="C510" s="6" t="n">
        <s:v>1614.77393</s:v>
      </s:c>
      <s:c r="D510" s="6" t="n">
        <s:v>1982.37451</s:v>
      </s:c>
      <s:c r="E510" s="6" t="n">
        <s:v>2068.85327</s:v>
      </s:c>
      <s:c r="F510" s="6" t="n">
        <s:v>1950.64807</s:v>
      </s:c>
      <s:c r="G510" s="6" t="n">
        <s:v>1668.66772</s:v>
      </s:c>
      <s:c r="H510" s="6" t="n">
        <s:v>1261.93628</s:v>
      </s:c>
      <s:c r="I510" s="6" t="n"/>
      <s:c r="J510" s="6" t="str">
        <s:f>IF(AND(COUNT(C510:I510)=7,COUNT('Потребление (МВт·ч)'!C510:I510)=7,SUM('Потребление (МВт·ч)'!C510:I510)&gt;0),SUMPRODUCT(C510:I510,'Потребление (МВт·ч)'!C510:I510)/SUM('Потребление (МВт·ч)'!C510:I510),"")</s:f>
      </s:c>
      <s:c r="K510" s="6" t="n">
        <s:f>IF(SUMIF(C510:I510,"&lt;&gt;",'Потребление (МВт·ч)'!C510:I510)&gt;0,SUMPRODUCT(C510:I510,'Потребление (МВт·ч)'!C510:I510)/SUMIF(C510:I510,"&lt;&gt;",'Потребление (МВт·ч)'!C510:I510),"")</s:f>
        <s:v>1709.0941388674848</s:v>
      </s:c>
      <s:c r="L510" s="6" t="n">
        <s:f>IF(COUNT(C510:I510)&gt;0,AVERAGE(C510:I510),"")</s:f>
        <s:v>1757.8756300000002</s:v>
      </s:c>
      <s:c r="M510" s="10" t="n">
        <s:f>COUNT(C510:I510)</s:f>
        <s:v>6</s:v>
      </s:c>
      <s:c r="N510" s="11" t="n">
        <s:f>IF(AND(COUNT('Потребление (МВт·ч)'!C510:I510)=7,SUM('Потребление (МВт·ч)'!C510:I510)&gt;0),SUMIF(C510:I510,"&lt;&gt;",'Потребление (МВт·ч)'!C510:I510)/SUM('Потребление (МВт·ч)'!C510:I510),"")</s:f>
        <s:v>0.9559865578492559</s:v>
      </s:c>
    </s:row>
    <s:row r="511">
      <s:c r="A511" s="5" t="n">
        <s:v>46287</s:v>
      </s:c>
      <s:c r="B511" s="2" t="n">
        <s:v>2</s:v>
      </s:c>
      <s:c r="C511" s="6" t="n">
        <s:v>1615.8877</s:v>
      </s:c>
      <s:c r="D511" s="6" t="n">
        <s:v>1945.7052</s:v>
      </s:c>
      <s:c r="E511" s="6" t="n">
        <s:v>1996.22021</s:v>
      </s:c>
      <s:c r="F511" s="6" t="n">
        <s:v>1907.46045</s:v>
      </s:c>
      <s:c r="G511" s="6" t="n">
        <s:v>1701.76221</s:v>
      </s:c>
      <s:c r="H511" s="6" t="n">
        <s:v>1517.79578</s:v>
      </s:c>
      <s:c r="I511" s="6" t="n"/>
      <s:c r="J511" s="6" t="str">
        <s:f>IF(AND(COUNT(C511:I511)=7,COUNT('Потребление (МВт·ч)'!C511:I511)=7,SUM('Потребление (МВт·ч)'!C511:I511)&gt;0),SUMPRODUCT(C511:I511,'Потребление (МВт·ч)'!C511:I511)/SUM('Потребление (МВт·ч)'!C511:I511),"")</s:f>
      </s:c>
      <s:c r="K511" s="6" t="n">
        <s:f>IF(SUMIF(C511:I511,"&lt;&gt;",'Потребление (МВт·ч)'!C511:I511)&gt;0,SUMPRODUCT(C511:I511,'Потребление (МВт·ч)'!C511:I511)/SUMIF(C511:I511,"&lt;&gt;",'Потребление (МВт·ч)'!C511:I511),"")</s:f>
        <s:v>1754.0876396582155</s:v>
      </s:c>
      <s:c r="L511" s="6" t="n">
        <s:f>IF(COUNT(C511:I511)&gt;0,AVERAGE(C511:I511),"")</s:f>
        <s:v>1780.8052583333335</s:v>
      </s:c>
      <s:c r="M511" s="10" t="n">
        <s:f>COUNT(C511:I511)</s:f>
        <s:v>6</s:v>
      </s:c>
      <s:c r="N511" s="11" t="n">
        <s:f>IF(AND(COUNT('Потребление (МВт·ч)'!C511:I511)=7,SUM('Потребление (МВт·ч)'!C511:I511)&gt;0),SUMIF(C511:I511,"&lt;&gt;",'Потребление (МВт·ч)'!C511:I511)/SUM('Потребление (МВт·ч)'!C511:I511),"")</s:f>
        <s:v>0.9526832523115051</s:v>
      </s:c>
    </s:row>
    <s:row r="512">
      <s:c r="A512" s="5" t="n">
        <s:v>46287</s:v>
      </s:c>
      <s:c r="B512" s="2" t="n">
        <s:v>3</s:v>
      </s:c>
      <s:c r="C512" s="6" t="n">
        <s:v>1683.35449</s:v>
      </s:c>
      <s:c r="D512" s="6" t="n">
        <s:v>1963.23</s:v>
      </s:c>
      <s:c r="E512" s="6" t="n">
        <s:v>2020.3822</s:v>
      </s:c>
      <s:c r="F512" s="6" t="n">
        <s:v>1954.90588</s:v>
      </s:c>
      <s:c r="G512" s="6" t="n">
        <s:v>1716.352</s:v>
      </s:c>
      <s:c r="H512" s="6" t="n">
        <s:v>1494.02856</s:v>
      </s:c>
      <s:c r="I512" s="6" t="n"/>
      <s:c r="J512" s="6" t="str">
        <s:f>IF(AND(COUNT(C512:I512)=7,COUNT('Потребление (МВт·ч)'!C512:I512)=7,SUM('Потребление (МВт·ч)'!C512:I512)&gt;0),SUMPRODUCT(C512:I512,'Потребление (МВт·ч)'!C512:I512)/SUM('Потребление (МВт·ч)'!C512:I512),"")</s:f>
      </s:c>
      <s:c r="K512" s="6" t="n">
        <s:f>IF(SUMIF(C512:I512,"&lt;&gt;",'Потребление (МВт·ч)'!C512:I512)&gt;0,SUMPRODUCT(C512:I512,'Потребление (МВт·ч)'!C512:I512)/SUMIF(C512:I512,"&lt;&gt;",'Потребление (МВт·ч)'!C512:I512),"")</s:f>
        <s:v>1769.257443344154</s:v>
      </s:c>
      <s:c r="L512" s="6" t="n">
        <s:f>IF(COUNT(C512:I512)&gt;0,AVERAGE(C512:I512),"")</s:f>
        <s:v>1805.3755216666668</s:v>
      </s:c>
      <s:c r="M512" s="10" t="n">
        <s:f>COUNT(C512:I512)</s:f>
        <s:v>6</s:v>
      </s:c>
      <s:c r="N512" s="11" t="n">
        <s:f>IF(AND(COUNT('Потребление (МВт·ч)'!C512:I512)=7,SUM('Потребление (МВт·ч)'!C512:I512)&gt;0),SUMIF(C512:I512,"&lt;&gt;",'Потребление (МВт·ч)'!C512:I512)/SUM('Потребление (МВт·ч)'!C512:I512),"")</s:f>
        <s:v>0.952203058776679</s:v>
      </s:c>
    </s:row>
    <s:row r="513">
      <s:c r="A513" s="5" t="n">
        <s:v>46287</s:v>
      </s:c>
      <s:c r="B513" s="2" t="n">
        <s:v>4</s:v>
      </s:c>
      <s:c r="C513" s="6" t="n">
        <s:v>1726.2594</s:v>
      </s:c>
      <s:c r="D513" s="6" t="n">
        <s:v>2248.14258</s:v>
      </s:c>
      <s:c r="E513" s="6" t="n">
        <s:v>2337.78345</s:v>
      </s:c>
      <s:c r="F513" s="6" t="n">
        <s:v>2211.50269</s:v>
      </s:c>
      <s:c r="G513" s="6" t="n">
        <s:v>1865.47961</s:v>
      </s:c>
      <s:c r="H513" s="6" t="n">
        <s:v>1550.00183</s:v>
      </s:c>
      <s:c r="I513" s="6" t="n"/>
      <s:c r="J513" s="6" t="str">
        <s:f>IF(AND(COUNT(C513:I513)=7,COUNT('Потребление (МВт·ч)'!C513:I513)=7,SUM('Потребление (МВт·ч)'!C513:I513)&gt;0),SUMPRODUCT(C513:I513,'Потребление (МВт·ч)'!C513:I513)/SUM('Потребление (МВт·ч)'!C513:I513),"")</s:f>
      </s:c>
      <s:c r="K513" s="6" t="n">
        <s:f>IF(SUMIF(C513:I513,"&lt;&gt;",'Потребление (МВт·ч)'!C513:I513)&gt;0,SUMPRODUCT(C513:I513,'Потребление (МВт·ч)'!C513:I513)/SUMIF(C513:I513,"&lt;&gt;",'Потребление (МВт·ч)'!C513:I513),"")</s:f>
        <s:v>1943.0190506878116</s:v>
      </s:c>
      <s:c r="L513" s="6" t="n">
        <s:f>IF(COUNT(C513:I513)&gt;0,AVERAGE(C513:I513),"")</s:f>
        <s:v>1989.861593333333</s:v>
      </s:c>
      <s:c r="M513" s="10" t="n">
        <s:f>COUNT(C513:I513)</s:f>
        <s:v>6</s:v>
      </s:c>
      <s:c r="N513" s="11" t="n">
        <s:f>IF(AND(COUNT('Потребление (МВт·ч)'!C513:I513)=7,SUM('Потребление (МВт·ч)'!C513:I513)&gt;0),SUMIF(C513:I513,"&lt;&gt;",'Потребление (МВт·ч)'!C513:I513)/SUM('Потребление (МВт·ч)'!C513:I513),"")</s:f>
        <s:v>0.9512138535209176</s:v>
      </s:c>
    </s:row>
    <s:row r="514">
      <s:c r="A514" s="5" t="n">
        <s:v>46287</s:v>
      </s:c>
      <s:c r="B514" s="2" t="n">
        <s:v>5</s:v>
      </s:c>
      <s:c r="C514" s="6" t="n">
        <s:v>1801.58936</s:v>
      </s:c>
      <s:c r="D514" s="6" t="n">
        <s:v>2330.35474</s:v>
      </s:c>
      <s:c r="E514" s="6" t="n">
        <s:v>2443.25464</s:v>
      </s:c>
      <s:c r="F514" s="6" t="n">
        <s:v>2275.33765</s:v>
      </s:c>
      <s:c r="G514" s="6" t="n">
        <s:v>1887.19214</s:v>
      </s:c>
      <s:c r="H514" s="6" t="n">
        <s:v>1569.837</s:v>
      </s:c>
      <s:c r="I514" s="6" t="n"/>
      <s:c r="J514" s="6" t="str">
        <s:f>IF(AND(COUNT(C514:I514)=7,COUNT('Потребление (МВт·ч)'!C514:I514)=7,SUM('Потребление (МВт·ч)'!C514:I514)&gt;0),SUMPRODUCT(C514:I514,'Потребление (МВт·ч)'!C514:I514)/SUM('Потребление (МВт·ч)'!C514:I514),"")</s:f>
      </s:c>
      <s:c r="K514" s="6" t="n">
        <s:f>IF(SUMIF(C514:I514,"&lt;&gt;",'Потребление (МВт·ч)'!C514:I514)&gt;0,SUMPRODUCT(C514:I514,'Потребление (МВт·ч)'!C514:I514)/SUMIF(C514:I514,"&lt;&gt;",'Потребление (МВт·ч)'!C514:I514),"")</s:f>
        <s:v>1999.8839342917786</s:v>
      </s:c>
      <s:c r="L514" s="6" t="n">
        <s:f>IF(COUNT(C514:I514)&gt;0,AVERAGE(C514:I514),"")</s:f>
        <s:v>2051.2609216666665</s:v>
      </s:c>
      <s:c r="M514" s="10" t="n">
        <s:f>COUNT(C514:I514)</s:f>
        <s:v>6</s:v>
      </s:c>
      <s:c r="N514" s="11" t="n">
        <s:f>IF(AND(COUNT('Потребление (МВт·ч)'!C514:I514)=7,SUM('Потребление (МВт·ч)'!C514:I514)&gt;0),SUMIF(C514:I514,"&lt;&gt;",'Потребление (МВт·ч)'!C514:I514)/SUM('Потребление (МВт·ч)'!C514:I514),"")</s:f>
        <s:v>0.9533059964647507</s:v>
      </s:c>
    </s:row>
    <s:row r="515">
      <s:c r="A515" s="5" t="n">
        <s:v>46287</s:v>
      </s:c>
      <s:c r="B515" s="2" t="n">
        <s:v>6</s:v>
      </s:c>
      <s:c r="C515" s="6" t="n">
        <s:v>2059.675</s:v>
      </s:c>
      <s:c r="D515" s="6" t="n">
        <s:v>2438.96045</s:v>
      </s:c>
      <s:c r="E515" s="6" t="n">
        <s:v>2543.38818</s:v>
      </s:c>
      <s:c r="F515" s="6" t="n">
        <s:v>2379.92432</s:v>
      </s:c>
      <s:c r="G515" s="6" t="n">
        <s:v>1975.77307</s:v>
      </s:c>
      <s:c r="H515" s="6" t="n">
        <s:v>1434.25549</s:v>
      </s:c>
      <s:c r="I515" s="6" t="n"/>
      <s:c r="J515" s="6" t="str">
        <s:f>IF(AND(COUNT(C515:I515)=7,COUNT('Потребление (МВт·ч)'!C515:I515)=7,SUM('Потребление (МВт·ч)'!C515:I515)&gt;0),SUMPRODUCT(C515:I515,'Потребление (МВт·ч)'!C515:I515)/SUM('Потребление (МВт·ч)'!C515:I515),"")</s:f>
      </s:c>
      <s:c r="K515" s="6" t="n">
        <s:f>IF(SUMIF(C515:I515,"&lt;&gt;",'Потребление (МВт·ч)'!C515:I515)&gt;0,SUMPRODUCT(C515:I515,'Потребление (МВт·ч)'!C515:I515)/SUMIF(C515:I515,"&lt;&gt;",'Потребление (МВт·ч)'!C515:I515),"")</s:f>
        <s:v>2067.6984838882904</s:v>
      </s:c>
      <s:c r="L515" s="6" t="n">
        <s:f>IF(COUNT(C515:I515)&gt;0,AVERAGE(C515:I515),"")</s:f>
        <s:v>2138.6627516666663</s:v>
      </s:c>
      <s:c r="M515" s="10" t="n">
        <s:f>COUNT(C515:I515)</s:f>
        <s:v>6</s:v>
      </s:c>
      <s:c r="N515" s="11" t="n">
        <s:f>IF(AND(COUNT('Потребление (МВт·ч)'!C515:I515)=7,SUM('Потребление (МВт·ч)'!C515:I515)&gt;0),SUMIF(C515:I515,"&lt;&gt;",'Потребление (МВт·ч)'!C515:I515)/SUM('Потребление (МВт·ч)'!C515:I515),"")</s:f>
        <s:v>0.9557601052959718</s:v>
      </s:c>
    </s:row>
    <s:row r="516">
      <s:c r="A516" s="5" t="n">
        <s:v>46287</s:v>
      </s:c>
      <s:c r="B516" s="2" t="n">
        <s:v>7</s:v>
      </s:c>
      <s:c r="C516" s="6" t="n">
        <s:v>2442.26538</s:v>
      </s:c>
      <s:c r="D516" s="6" t="n">
        <s:v>2952.0625</s:v>
      </s:c>
      <s:c r="E516" s="6" t="n">
        <s:v>2990.55322</s:v>
      </s:c>
      <s:c r="F516" s="6" t="n">
        <s:v>2788.233</s:v>
      </s:c>
      <s:c r="G516" s="6" t="n">
        <s:v>2025.26257</s:v>
      </s:c>
      <s:c r="H516" s="6" t="n">
        <s:v>1436.86414</s:v>
      </s:c>
      <s:c r="I516" s="6" t="n"/>
      <s:c r="J516" s="6" t="str">
        <s:f>IF(AND(COUNT(C516:I516)=7,COUNT('Потребление (МВт·ч)'!C516:I516)=7,SUM('Потребление (МВт·ч)'!C516:I516)&gt;0),SUMPRODUCT(C516:I516,'Потребление (МВт·ч)'!C516:I516)/SUM('Потребление (МВт·ч)'!C516:I516),"")</s:f>
      </s:c>
      <s:c r="K516" s="6" t="n">
        <s:f>IF(SUMIF(C516:I516,"&lt;&gt;",'Потребление (МВт·ч)'!C516:I516)&gt;0,SUMPRODUCT(C516:I516,'Потребление (МВт·ч)'!C516:I516)/SUMIF(C516:I516,"&lt;&gt;",'Потребление (МВт·ч)'!C516:I516),"")</s:f>
        <s:v>2342.126636381108</s:v>
      </s:c>
      <s:c r="L516" s="6" t="n">
        <s:f>IF(COUNT(C516:I516)&gt;0,AVERAGE(C516:I516),"")</s:f>
        <s:v>2439.2068016666667</s:v>
      </s:c>
      <s:c r="M516" s="10" t="n">
        <s:f>COUNT(C516:I516)</s:f>
        <s:v>6</s:v>
      </s:c>
      <s:c r="N516" s="11" t="n">
        <s:f>IF(AND(COUNT('Потребление (МВт·ч)'!C516:I516)=7,SUM('Потребление (МВт·ч)'!C516:I516)&gt;0),SUMIF(C516:I516,"&lt;&gt;",'Потребление (МВт·ч)'!C516:I516)/SUM('Потребление (МВт·ч)'!C516:I516),"")</s:f>
        <s:v>0.9573921583440357</s:v>
      </s:c>
    </s:row>
    <s:row r="517">
      <s:c r="A517" s="5" t="n">
        <s:v>46287</s:v>
      </s:c>
      <s:c r="B517" s="2" t="n">
        <s:v>8</s:v>
      </s:c>
      <s:c r="C517" s="6" t="n">
        <s:v>2600.95679</s:v>
      </s:c>
      <s:c r="D517" s="6" t="n">
        <s:v>3254.24268</s:v>
      </s:c>
      <s:c r="E517" s="6" t="n">
        <s:v>3043.677</s:v>
      </s:c>
      <s:c r="F517" s="6" t="n">
        <s:v>2975.95874</s:v>
      </s:c>
      <s:c r="G517" s="6" t="n">
        <s:v>1967.8573</s:v>
      </s:c>
      <s:c r="H517" s="6" t="n">
        <s:v>1426.96313</s:v>
      </s:c>
      <s:c r="I517" s="6" t="n"/>
      <s:c r="J517" s="6" t="str">
        <s:f>IF(AND(COUNT(C517:I517)=7,COUNT('Потребление (МВт·ч)'!C517:I517)=7,SUM('Потребление (МВт·ч)'!C517:I517)&gt;0),SUMPRODUCT(C517:I517,'Потребление (МВт·ч)'!C517:I517)/SUM('Потребление (МВт·ч)'!C517:I517),"")</s:f>
      </s:c>
      <s:c r="K517" s="6" t="n">
        <s:f>IF(SUMIF(C517:I517,"&lt;&gt;",'Потребление (МВт·ч)'!C517:I517)&gt;0,SUMPRODUCT(C517:I517,'Потребление (МВт·ч)'!C517:I517)/SUMIF(C517:I517,"&lt;&gt;",'Потребление (МВт·ч)'!C517:I517),"")</s:f>
        <s:v>2456.654313361689</s:v>
      </s:c>
      <s:c r="L517" s="6" t="n">
        <s:f>IF(COUNT(C517:I517)&gt;0,AVERAGE(C517:I517),"")</s:f>
        <s:v>2544.9426066666665</s:v>
      </s:c>
      <s:c r="M517" s="10" t="n">
        <s:f>COUNT(C517:I517)</s:f>
        <s:v>6</s:v>
      </s:c>
      <s:c r="N517" s="11" t="n">
        <s:f>IF(AND(COUNT('Потребление (МВт·ч)'!C517:I517)=7,SUM('Потребление (МВт·ч)'!C517:I517)&gt;0),SUMIF(C517:I517,"&lt;&gt;",'Потребление (МВт·ч)'!C517:I517)/SUM('Потребление (МВт·ч)'!C517:I517),"")</s:f>
        <s:v>0.9594125696412863</s:v>
      </s:c>
    </s:row>
    <s:row r="518">
      <s:c r="A518" s="5" t="n">
        <s:v>46287</s:v>
      </s:c>
      <s:c r="B518" s="2" t="n">
        <s:v>9</s:v>
      </s:c>
      <s:c r="C518" s="6" t="n">
        <s:v>2615.84937</s:v>
      </s:c>
      <s:c r="D518" s="6" t="n">
        <s:v>3266.594</s:v>
      </s:c>
      <s:c r="E518" s="6" t="n">
        <s:v>3062.595</s:v>
      </s:c>
      <s:c r="F518" s="6" t="n">
        <s:v>2939.75</s:v>
      </s:c>
      <s:c r="G518" s="6" t="n">
        <s:v>1991.66809</s:v>
      </s:c>
      <s:c r="H518" s="6" t="n">
        <s:v>1465.42078</s:v>
      </s:c>
      <s:c r="I518" s="6" t="n"/>
      <s:c r="J518" s="6" t="str">
        <s:f>IF(AND(COUNT(C518:I518)=7,COUNT('Потребление (МВт·ч)'!C518:I518)=7,SUM('Потребление (МВт·ч)'!C518:I518)&gt;0),SUMPRODUCT(C518:I518,'Потребление (МВт·ч)'!C518:I518)/SUM('Потребление (МВт·ч)'!C518:I518),"")</s:f>
      </s:c>
      <s:c r="K518" s="6" t="n">
        <s:f>IF(SUMIF(C518:I518,"&lt;&gt;",'Потребление (МВт·ч)'!C518:I518)&gt;0,SUMPRODUCT(C518:I518,'Потребление (МВт·ч)'!C518:I518)/SUMIF(C518:I518,"&lt;&gt;",'Потребление (МВт·ч)'!C518:I518),"")</s:f>
        <s:v>2480.6997872171755</s:v>
      </s:c>
      <s:c r="L518" s="6" t="n">
        <s:f>IF(COUNT(C518:I518)&gt;0,AVERAGE(C518:I518),"")</s:f>
        <s:v>2556.97954</s:v>
      </s:c>
      <s:c r="M518" s="10" t="n">
        <s:f>COUNT(C518:I518)</s:f>
        <s:v>6</s:v>
      </s:c>
      <s:c r="N518" s="11" t="n">
        <s:f>IF(AND(COUNT('Потребление (МВт·ч)'!C518:I518)=7,SUM('Потребление (МВт·ч)'!C518:I518)&gt;0),SUMIF(C518:I518,"&lt;&gt;",'Потребление (МВт·ч)'!C518:I518)/SUM('Потребление (МВт·ч)'!C518:I518),"")</s:f>
        <s:v>0.9598570760271652</s:v>
      </s:c>
    </s:row>
    <s:row r="519">
      <s:c r="A519" s="5" t="n">
        <s:v>46287</s:v>
      </s:c>
      <s:c r="B519" s="2" t="n">
        <s:v>10</s:v>
      </s:c>
      <s:c r="C519" s="6" t="n">
        <s:v>2591.303</s:v>
      </s:c>
      <s:c r="D519" s="6" t="n">
        <s:v>3210.10376</s:v>
      </s:c>
      <s:c r="E519" s="6" t="n">
        <s:v>3044.417</s:v>
      </s:c>
      <s:c r="F519" s="6" t="n">
        <s:v>2878.66577</s:v>
      </s:c>
      <s:c r="G519" s="6" t="n">
        <s:v>1922.669</s:v>
      </s:c>
      <s:c r="H519" s="6" t="n">
        <s:v>1365.85022</s:v>
      </s:c>
      <s:c r="I519" s="6" t="n"/>
      <s:c r="J519" s="6" t="str">
        <s:f>IF(AND(COUNT(C519:I519)=7,COUNT('Потребление (МВт·ч)'!C519:I519)=7,SUM('Потребление (МВт·ч)'!C519:I519)&gt;0),SUMPRODUCT(C519:I519,'Потребление (МВт·ч)'!C519:I519)/SUM('Потребление (МВт·ч)'!C519:I519),"")</s:f>
      </s:c>
      <s:c r="K519" s="6" t="n">
        <s:f>IF(SUMIF(C519:I519,"&lt;&gt;",'Потребление (МВт·ч)'!C519:I519)&gt;0,SUMPRODUCT(C519:I519,'Потребление (МВт·ч)'!C519:I519)/SUMIF(C519:I519,"&lt;&gt;",'Потребление (МВт·ч)'!C519:I519),"")</s:f>
        <s:v>2419.4296187299524</s:v>
      </s:c>
      <s:c r="L519" s="6" t="n">
        <s:f>IF(COUNT(C519:I519)&gt;0,AVERAGE(C519:I519),"")</s:f>
        <s:v>2502.1681249999997</s:v>
      </s:c>
      <s:c r="M519" s="10" t="n">
        <s:f>COUNT(C519:I519)</s:f>
        <s:v>6</s:v>
      </s:c>
      <s:c r="N519" s="11" t="n">
        <s:f>IF(AND(COUNT('Потребление (МВт·ч)'!C519:I519)=7,SUM('Потребление (МВт·ч)'!C519:I519)&gt;0),SUMIF(C519:I519,"&lt;&gt;",'Потребление (МВт·ч)'!C519:I519)/SUM('Потребление (МВт·ч)'!C519:I519),"")</s:f>
        <s:v>0.9582720750684888</s:v>
      </s:c>
    </s:row>
    <s:row r="520">
      <s:c r="A520" s="5" t="n">
        <s:v>46287</s:v>
      </s:c>
      <s:c r="B520" s="2" t="n">
        <s:v>11</s:v>
      </s:c>
      <s:c r="C520" s="6" t="n">
        <s:v>2589.614</s:v>
      </s:c>
      <s:c r="D520" s="6" t="n">
        <s:v>3206.355</s:v>
      </s:c>
      <s:c r="E520" s="6" t="n">
        <s:v>3042.44678</s:v>
      </s:c>
      <s:c r="F520" s="6" t="n">
        <s:v>2889.02026</s:v>
      </s:c>
      <s:c r="G520" s="6" t="n">
        <s:v>2067.40137</s:v>
      </s:c>
      <s:c r="H520" s="6" t="n">
        <s:v>1392.53174</s:v>
      </s:c>
      <s:c r="I520" s="6" t="n"/>
      <s:c r="J520" s="6" t="str">
        <s:f>IF(AND(COUNT(C520:I520)=7,COUNT('Потребление (МВт·ч)'!C520:I520)=7,SUM('Потребление (МВт·ч)'!C520:I520)&gt;0),SUMPRODUCT(C520:I520,'Потребление (МВт·ч)'!C520:I520)/SUM('Потребление (МВт·ч)'!C520:I520),"")</s:f>
      </s:c>
      <s:c r="K520" s="6" t="n">
        <s:f>IF(SUMIF(C520:I520,"&lt;&gt;",'Потребление (МВт·ч)'!C520:I520)&gt;0,SUMPRODUCT(C520:I520,'Потребление (МВт·ч)'!C520:I520)/SUMIF(C520:I520,"&lt;&gt;",'Потребление (МВт·ч)'!C520:I520),"")</s:f>
        <s:v>2461.899623610778</s:v>
      </s:c>
      <s:c r="L520" s="6" t="n">
        <s:f>IF(COUNT(C520:I520)&gt;0,AVERAGE(C520:I520),"")</s:f>
        <s:v>2531.2281916666666</s:v>
      </s:c>
      <s:c r="M520" s="10" t="n">
        <s:f>COUNT(C520:I520)</s:f>
        <s:v>6</s:v>
      </s:c>
      <s:c r="N520" s="11" t="n">
        <s:f>IF(AND(COUNT('Потребление (МВт·ч)'!C520:I520)=7,SUM('Потребление (МВт·ч)'!C520:I520)&gt;0),SUMIF(C520:I520,"&lt;&gt;",'Потребление (МВт·ч)'!C520:I520)/SUM('Потребление (МВт·ч)'!C520:I520),"")</s:f>
        <s:v>0.9596565408993889</s:v>
      </s:c>
    </s:row>
    <s:row r="521">
      <s:c r="A521" s="5" t="n">
        <s:v>46287</s:v>
      </s:c>
      <s:c r="B521" s="2" t="n">
        <s:v>12</s:v>
      </s:c>
      <s:c r="C521" s="6" t="n">
        <s:v>2577.24146</s:v>
      </s:c>
      <s:c r="D521" s="6" t="n">
        <s:v>3206.192</s:v>
      </s:c>
      <s:c r="E521" s="6" t="n">
        <s:v>3050.63428</s:v>
      </s:c>
      <s:c r="F521" s="6" t="n">
        <s:v>2897.354</s:v>
      </s:c>
      <s:c r="G521" s="6" t="n">
        <s:v>2105.46118</s:v>
      </s:c>
      <s:c r="H521" s="6" t="n">
        <s:v>1596.68066</s:v>
      </s:c>
      <s:c r="I521" s="6" t="n"/>
      <s:c r="J521" s="6" t="str">
        <s:f>IF(AND(COUNT(C521:I521)=7,COUNT('Потребление (МВт·ч)'!C521:I521)=7,SUM('Потребление (МВт·ч)'!C521:I521)&gt;0),SUMPRODUCT(C521:I521,'Потребление (МВт·ч)'!C521:I521)/SUM('Потребление (МВт·ч)'!C521:I521),"")</s:f>
      </s:c>
      <s:c r="K521" s="6" t="n">
        <s:f>IF(SUMIF(C521:I521,"&lt;&gt;",'Потребление (МВт·ч)'!C521:I521)&gt;0,SUMPRODUCT(C521:I521,'Потребление (МВт·ч)'!C521:I521)/SUMIF(C521:I521,"&lt;&gt;",'Потребление (МВт·ч)'!C521:I521),"")</s:f>
        <s:v>2512.4152785903107</s:v>
      </s:c>
      <s:c r="L521" s="6" t="n">
        <s:f>IF(COUNT(C521:I521)&gt;0,AVERAGE(C521:I521),"")</s:f>
        <s:v>2572.2605966666665</s:v>
      </s:c>
      <s:c r="M521" s="10" t="n">
        <s:f>COUNT(C521:I521)</s:f>
        <s:v>6</s:v>
      </s:c>
      <s:c r="N521" s="11" t="n">
        <s:f>IF(AND(COUNT('Потребление (МВт·ч)'!C521:I521)=7,SUM('Потребление (МВт·ч)'!C521:I521)&gt;0),SUMIF(C521:I521,"&lt;&gt;",'Потребление (МВт·ч)'!C521:I521)/SUM('Потребление (МВт·ч)'!C521:I521),"")</s:f>
        <s:v>0.9571176022187262</s:v>
      </s:c>
    </s:row>
    <s:row r="522">
      <s:c r="A522" s="5" t="n">
        <s:v>46287</s:v>
      </s:c>
      <s:c r="B522" s="2" t="n">
        <s:v>13</s:v>
      </s:c>
      <s:c r="C522" s="6" t="n">
        <s:v>2572.49365</s:v>
      </s:c>
      <s:c r="D522" s="6" t="n">
        <s:v>3212.13086</s:v>
      </s:c>
      <s:c r="E522" s="6" t="n">
        <s:v>3062.63354</s:v>
      </s:c>
      <s:c r="F522" s="6" t="n">
        <s:v>2899.327</s:v>
      </s:c>
      <s:c r="G522" s="6" t="n">
        <s:v>2087.19629</s:v>
      </s:c>
      <s:c r="H522" s="6" t="n">
        <s:v>1732.55249</s:v>
      </s:c>
      <s:c r="I522" s="6" t="n"/>
      <s:c r="J522" s="6" t="str">
        <s:f>IF(AND(COUNT(C522:I522)=7,COUNT('Потребление (МВт·ч)'!C522:I522)=7,SUM('Потребление (МВт·ч)'!C522:I522)&gt;0),SUMPRODUCT(C522:I522,'Потребление (МВт·ч)'!C522:I522)/SUM('Потребление (МВт·ч)'!C522:I522),"")</s:f>
      </s:c>
      <s:c r="K522" s="6" t="n">
        <s:f>IF(SUMIF(C522:I522,"&lt;&gt;",'Потребление (МВт·ч)'!C522:I522)&gt;0,SUMPRODUCT(C522:I522,'Потребление (МВт·ч)'!C522:I522)/SUMIF(C522:I522,"&lt;&gt;",'Потребление (МВт·ч)'!C522:I522),"")</s:f>
        <s:v>2539.329763682369</s:v>
      </s:c>
      <s:c r="L522" s="6" t="n">
        <s:f>IF(COUNT(C522:I522)&gt;0,AVERAGE(C522:I522),"")</s:f>
        <s:v>2594.3889716666667</s:v>
      </s:c>
      <s:c r="M522" s="10" t="n">
        <s:f>COUNT(C522:I522)</s:f>
        <s:v>6</s:v>
      </s:c>
      <s:c r="N522" s="11" t="n">
        <s:f>IF(AND(COUNT('Потребление (МВт·ч)'!C522:I522)=7,SUM('Потребление (МВт·ч)'!C522:I522)&gt;0),SUMIF(C522:I522,"&lt;&gt;",'Потребление (МВт·ч)'!C522:I522)/SUM('Потребление (МВт·ч)'!C522:I522),"")</s:f>
        <s:v>0.9556502614257978</s:v>
      </s:c>
    </s:row>
    <s:row r="523">
      <s:c r="A523" s="5" t="n">
        <s:v>46287</s:v>
      </s:c>
      <s:c r="B523" s="2" t="n">
        <s:v>14</s:v>
      </s:c>
      <s:c r="C523" s="6" t="n">
        <s:v>2364.04419</s:v>
      </s:c>
      <s:c r="D523" s="6" t="n">
        <s:v>3072.516</s:v>
      </s:c>
      <s:c r="E523" s="6" t="n">
        <s:v>3056.14136</s:v>
      </s:c>
      <s:c r="F523" s="6" t="n">
        <s:v>2840.6145</s:v>
      </s:c>
      <s:c r="G523" s="6" t="n">
        <s:v>2091.66113</s:v>
      </s:c>
      <s:c r="H523" s="6" t="n">
        <s:v>1800.746</s:v>
      </s:c>
      <s:c r="I523" s="6" t="n"/>
      <s:c r="J523" s="6" t="str">
        <s:f>IF(AND(COUNT(C523:I523)=7,COUNT('Потребление (МВт·ч)'!C523:I523)=7,SUM('Потребление (МВт·ч)'!C523:I523)&gt;0),SUMPRODUCT(C523:I523,'Потребление (МВт·ч)'!C523:I523)/SUM('Потребление (МВт·ч)'!C523:I523),"")</s:f>
      </s:c>
      <s:c r="K523" s="6" t="n">
        <s:f>IF(SUMIF(C523:I523,"&lt;&gt;",'Потребление (МВт·ч)'!C523:I523)&gt;0,SUMPRODUCT(C523:I523,'Потребление (МВт·ч)'!C523:I523)/SUMIF(C523:I523,"&lt;&gt;",'Потребление (МВт·ч)'!C523:I523),"")</s:f>
        <s:v>2491.1579747211217</s:v>
      </s:c>
      <s:c r="L523" s="6" t="n">
        <s:f>IF(COUNT(C523:I523)&gt;0,AVERAGE(C523:I523),"")</s:f>
        <s:v>2537.62053</s:v>
      </s:c>
      <s:c r="M523" s="10" t="n">
        <s:f>COUNT(C523:I523)</s:f>
        <s:v>6</s:v>
      </s:c>
      <s:c r="N523" s="11" t="n">
        <s:f>IF(AND(COUNT('Потребление (МВт·ч)'!C523:I523)=7,SUM('Потребление (МВт·ч)'!C523:I523)&gt;0),SUMIF(C523:I523,"&lt;&gt;",'Потребление (МВт·ч)'!C523:I523)/SUM('Потребление (МВт·ч)'!C523:I523),"")</s:f>
        <s:v>0.9559696742642142</s:v>
      </s:c>
    </s:row>
    <s:row r="524">
      <s:c r="A524" s="5" t="n">
        <s:v>46287</s:v>
      </s:c>
      <s:c r="B524" s="2" t="n">
        <s:v>15</s:v>
      </s:c>
      <s:c r="C524" s="6" t="n">
        <s:v>2019.01306</s:v>
      </s:c>
      <s:c r="D524" s="6" t="n">
        <s:v>3078.877</s:v>
      </s:c>
      <s:c r="E524" s="6" t="n">
        <s:v>3058.85547</s:v>
      </s:c>
      <s:c r="F524" s="6" t="n">
        <s:v>2864.299</s:v>
      </s:c>
      <s:c r="G524" s="6" t="n">
        <s:v>1997.92029</s:v>
      </s:c>
      <s:c r="H524" s="6" t="n">
        <s:v>1671.95972</s:v>
      </s:c>
      <s:c r="I524" s="6" t="n"/>
      <s:c r="J524" s="6" t="str">
        <s:f>IF(AND(COUNT(C524:I524)=7,COUNT('Потребление (МВт·ч)'!C524:I524)=7,SUM('Потребление (МВт·ч)'!C524:I524)&gt;0),SUMPRODUCT(C524:I524,'Потребление (МВт·ч)'!C524:I524)/SUM('Потребление (МВт·ч)'!C524:I524),"")</s:f>
      </s:c>
      <s:c r="K524" s="6" t="n">
        <s:f>IF(SUMIF(C524:I524,"&lt;&gt;",'Потребление (МВт·ч)'!C524:I524)&gt;0,SUMPRODUCT(C524:I524,'Потребление (МВт·ч)'!C524:I524)/SUMIF(C524:I524,"&lt;&gt;",'Потребление (МВт·ч)'!C524:I524),"")</s:f>
        <s:v>2412.9156029423175</s:v>
      </s:c>
      <s:c r="L524" s="6" t="n">
        <s:f>IF(COUNT(C524:I524)&gt;0,AVERAGE(C524:I524),"")</s:f>
        <s:v>2448.4874233333335</s:v>
      </s:c>
      <s:c r="M524" s="10" t="n">
        <s:f>COUNT(C524:I524)</s:f>
        <s:v>6</s:v>
      </s:c>
      <s:c r="N524" s="11" t="n">
        <s:f>IF(AND(COUNT('Потребление (МВт·ч)'!C524:I524)=7,SUM('Потребление (МВт·ч)'!C524:I524)&gt;0),SUMIF(C524:I524,"&lt;&gt;",'Потребление (МВт·ч)'!C524:I524)/SUM('Потребление (МВт·ч)'!C524:I524),"")</s:f>
        <s:v>0.9580209410548087</s:v>
      </s:c>
    </s:row>
    <s:row r="525">
      <s:c r="A525" s="5" t="n">
        <s:v>46287</s:v>
      </s:c>
      <s:c r="B525" s="2" t="n">
        <s:v>16</s:v>
      </s:c>
      <s:c r="C525" s="6" t="n">
        <s:v>2211.95044</s:v>
      </s:c>
      <s:c r="D525" s="6" t="n">
        <s:v>2966.39</s:v>
      </s:c>
      <s:c r="E525" s="6" t="n">
        <s:v>3090.79028</s:v>
      </s:c>
      <s:c r="F525" s="6" t="n">
        <s:v>2857.69165</s:v>
      </s:c>
      <s:c r="G525" s="6" t="n">
        <s:v>2239.98071</s:v>
      </s:c>
      <s:c r="H525" s="6" t="n">
        <s:v>1132.35474</s:v>
      </s:c>
      <s:c r="I525" s="6" t="n"/>
      <s:c r="J525" s="6" t="str">
        <s:f>IF(AND(COUNT(C525:I525)=7,COUNT('Потребление (МВт·ч)'!C525:I525)=7,SUM('Потребление (МВт·ч)'!C525:I525)&gt;0),SUMPRODUCT(C525:I525,'Потребление (МВт·ч)'!C525:I525)/SUM('Потребление (МВт·ч)'!C525:I525),"")</s:f>
      </s:c>
      <s:c r="K525" s="6" t="n">
        <s:f>IF(SUMIF(C525:I525,"&lt;&gt;",'Потребление (МВт·ч)'!C525:I525)&gt;0,SUMPRODUCT(C525:I525,'Потребление (МВт·ч)'!C525:I525)/SUMIF(C525:I525,"&lt;&gt;",'Потребление (МВт·ч)'!C525:I525),"")</s:f>
        <s:v>2341.0225865510233</s:v>
      </s:c>
      <s:c r="L525" s="6" t="n">
        <s:f>IF(COUNT(C525:I525)&gt;0,AVERAGE(C525:I525),"")</s:f>
        <s:v>2416.5263033333335</s:v>
      </s:c>
      <s:c r="M525" s="10" t="n">
        <s:f>COUNT(C525:I525)</s:f>
        <s:v>6</s:v>
      </s:c>
      <s:c r="N525" s="11" t="n">
        <s:f>IF(AND(COUNT('Потребление (МВт·ч)'!C525:I525)=7,SUM('Потребление (МВт·ч)'!C525:I525)&gt;0),SUMIF(C525:I525,"&lt;&gt;",'Потребление (МВт·ч)'!C525:I525)/SUM('Потребление (МВт·ч)'!C525:I525),"")</s:f>
        <s:v>0.9588522986631888</s:v>
      </s:c>
    </s:row>
    <s:row r="526">
      <s:c r="A526" s="5" t="n">
        <s:v>46287</s:v>
      </s:c>
      <s:c r="B526" s="2" t="n">
        <s:v>17</s:v>
      </s:c>
      <s:c r="C526" s="6" t="n">
        <s:v>2407.72974</s:v>
      </s:c>
      <s:c r="D526" s="6" t="n">
        <s:v>3004.123</s:v>
      </s:c>
      <s:c r="E526" s="6" t="n">
        <s:v>3155.96826</s:v>
      </s:c>
      <s:c r="F526" s="6" t="n">
        <s:v>2848.55176</s:v>
      </s:c>
      <s:c r="G526" s="6" t="n">
        <s:v>2252.02368</s:v>
      </s:c>
      <s:c r="H526" s="6" t="n">
        <s:v>1168.49</s:v>
      </s:c>
      <s:c r="I526" s="6" t="n"/>
      <s:c r="J526" s="6" t="str">
        <s:f>IF(AND(COUNT(C526:I526)=7,COUNT('Потребление (МВт·ч)'!C526:I526)=7,SUM('Потребление (МВт·ч)'!C526:I526)&gt;0),SUMPRODUCT(C526:I526,'Потребление (МВт·ч)'!C526:I526)/SUM('Потребление (МВт·ч)'!C526:I526),"")</s:f>
      </s:c>
      <s:c r="K526" s="6" t="n">
        <s:f>IF(SUMIF(C526:I526,"&lt;&gt;",'Потребление (МВт·ч)'!C526:I526)&gt;0,SUMPRODUCT(C526:I526,'Потребление (МВт·ч)'!C526:I526)/SUMIF(C526:I526,"&lt;&gt;",'Потребление (МВт·ч)'!C526:I526),"")</s:f>
        <s:v>2384.1367685157647</s:v>
      </s:c>
      <s:c r="L526" s="6" t="n">
        <s:f>IF(COUNT(C526:I526)&gt;0,AVERAGE(C526:I526),"")</s:f>
        <s:v>2472.814406666667</s:v>
      </s:c>
      <s:c r="M526" s="10" t="n">
        <s:f>COUNT(C526:I526)</s:f>
        <s:v>6</s:v>
      </s:c>
      <s:c r="N526" s="11" t="n">
        <s:f>IF(AND(COUNT('Потребление (МВт·ч)'!C526:I526)=7,SUM('Потребление (МВт·ч)'!C526:I526)&gt;0),SUMIF(C526:I526,"&lt;&gt;",'Потребление (МВт·ч)'!C526:I526)/SUM('Потребление (МВт·ч)'!C526:I526),"")</s:f>
        <s:v>0.9618409743282033</s:v>
      </s:c>
    </s:row>
    <s:row r="527">
      <s:c r="A527" s="5" t="n">
        <s:v>46287</s:v>
      </s:c>
      <s:c r="B527" s="2" t="n">
        <s:v>18</s:v>
      </s:c>
      <s:c r="C527" s="6" t="n">
        <s:v>2276.50684</s:v>
      </s:c>
      <s:c r="D527" s="6" t="n">
        <s:v>3163.21143</s:v>
      </s:c>
      <s:c r="E527" s="6" t="n">
        <s:v>3341.85986</s:v>
      </s:c>
      <s:c r="F527" s="6" t="n">
        <s:v>2961.323</s:v>
      </s:c>
      <s:c r="G527" s="6" t="n">
        <s:v>2229.924</s:v>
      </s:c>
      <s:c r="H527" s="6" t="n">
        <s:v>672.449158</s:v>
      </s:c>
      <s:c r="I527" s="6" t="n"/>
      <s:c r="J527" s="6" t="str">
        <s:f>IF(AND(COUNT(C527:I527)=7,COUNT('Потребление (МВт·ч)'!C527:I527)=7,SUM('Потребление (МВт·ч)'!C527:I527)&gt;0),SUMPRODUCT(C527:I527,'Потребление (МВт·ч)'!C527:I527)/SUM('Потребление (МВт·ч)'!C527:I527),"")</s:f>
      </s:c>
      <s:c r="K527" s="6" t="n">
        <s:f>IF(SUMIF(C527:I527,"&lt;&gt;",'Потребление (МВт·ч)'!C527:I527)&gt;0,SUMPRODUCT(C527:I527,'Потребление (МВт·ч)'!C527:I527)/SUMIF(C527:I527,"&lt;&gt;",'Потребление (МВт·ч)'!C527:I527),"")</s:f>
        <s:v>2361.278656488364</s:v>
      </s:c>
      <s:c r="L527" s="6" t="n">
        <s:f>IF(COUNT(C527:I527)&gt;0,AVERAGE(C527:I527),"")</s:f>
        <s:v>2440.8790480000002</s:v>
      </s:c>
      <s:c r="M527" s="10" t="n">
        <s:f>COUNT(C527:I527)</s:f>
        <s:v>6</s:v>
      </s:c>
      <s:c r="N527" s="11" t="n">
        <s:f>IF(AND(COUNT('Потребление (МВт·ч)'!C527:I527)=7,SUM('Потребление (МВт·ч)'!C527:I527)&gt;0),SUMIF(C527:I527,"&lt;&gt;",'Потребление (МВт·ч)'!C527:I527)/SUM('Потребление (МВт·ч)'!C527:I527),"")</s:f>
        <s:v>0.9626069496076834</s:v>
      </s:c>
    </s:row>
    <s:row r="528">
      <s:c r="A528" s="5" t="n">
        <s:v>46287</s:v>
      </s:c>
      <s:c r="B528" s="2" t="n">
        <s:v>19</s:v>
      </s:c>
      <s:c r="C528" s="6" t="n">
        <s:v>1923.75244</s:v>
      </s:c>
      <s:c r="D528" s="6" t="n">
        <s:v>3212.782</s:v>
      </s:c>
      <s:c r="E528" s="6" t="n">
        <s:v>3320.70435</s:v>
      </s:c>
      <s:c r="F528" s="6" t="n">
        <s:v>2968.1665</s:v>
      </s:c>
      <s:c r="G528" s="6" t="n">
        <s:v>1943.28687</s:v>
      </s:c>
      <s:c r="H528" s="6" t="n">
        <s:v>564.056152</s:v>
      </s:c>
      <s:c r="I528" s="6" t="n"/>
      <s:c r="J528" s="6" t="str">
        <s:f>IF(AND(COUNT(C528:I528)=7,COUNT('Потребление (МВт·ч)'!C528:I528)=7,SUM('Потребление (МВт·ч)'!C528:I528)&gt;0),SUMPRODUCT(C528:I528,'Потребление (МВт·ч)'!C528:I528)/SUM('Потребление (МВт·ч)'!C528:I528),"")</s:f>
      </s:c>
      <s:c r="K528" s="6" t="n">
        <s:f>IF(SUMIF(C528:I528,"&lt;&gt;",'Потребление (МВт·ч)'!C528:I528)&gt;0,SUMPRODUCT(C528:I528,'Потребление (МВт·ч)'!C528:I528)/SUMIF(C528:I528,"&lt;&gt;",'Потребление (МВт·ч)'!C528:I528),"")</s:f>
        <s:v>2256.5547960214744</s:v>
      </s:c>
      <s:c r="L528" s="6" t="n">
        <s:f>IF(COUNT(C528:I528)&gt;0,AVERAGE(C528:I528),"")</s:f>
        <s:v>2322.1247186666665</s:v>
      </s:c>
      <s:c r="M528" s="10" t="n">
        <s:f>COUNT(C528:I528)</s:f>
        <s:v>6</s:v>
      </s:c>
      <s:c r="N528" s="11" t="n">
        <s:f>IF(AND(COUNT('Потребление (МВт·ч)'!C528:I528)=7,SUM('Потребление (МВт·ч)'!C528:I528)&gt;0),SUMIF(C528:I528,"&lt;&gt;",'Потребление (МВт·ч)'!C528:I528)/SUM('Потребление (МВт·ч)'!C528:I528),"")</s:f>
        <s:v>0.9630128879537085</s:v>
      </s:c>
    </s:row>
    <s:row r="529">
      <s:c r="A529" s="5" t="n">
        <s:v>46287</s:v>
      </s:c>
      <s:c r="B529" s="2" t="n">
        <s:v>20</s:v>
      </s:c>
      <s:c r="C529" s="6" t="n">
        <s:v>1889.42017</s:v>
      </s:c>
      <s:c r="D529" s="6" t="n">
        <s:v>3282.59619</s:v>
      </s:c>
      <s:c r="E529" s="6" t="n">
        <s:v>3251.549</s:v>
      </s:c>
      <s:c r="F529" s="6" t="n">
        <s:v>2996.34326</s:v>
      </s:c>
      <s:c r="G529" s="6" t="n">
        <s:v>1880.84729</s:v>
      </s:c>
      <s:c r="H529" s="6" t="n">
        <s:v>120.936165</s:v>
      </s:c>
      <s:c r="I529" s="6" t="n"/>
      <s:c r="J529" s="6" t="str">
        <s:f>IF(AND(COUNT(C529:I529)=7,COUNT('Потребление (МВт·ч)'!C529:I529)=7,SUM('Потребление (МВт·ч)'!C529:I529)&gt;0),SUMPRODUCT(C529:I529,'Потребление (МВт·ч)'!C529:I529)/SUM('Потребление (МВт·ч)'!C529:I529),"")</s:f>
      </s:c>
      <s:c r="K529" s="6" t="n">
        <s:f>IF(SUMIF(C529:I529,"&lt;&gt;",'Потребление (МВт·ч)'!C529:I529)&gt;0,SUMPRODUCT(C529:I529,'Потребление (МВт·ч)'!C529:I529)/SUMIF(C529:I529,"&lt;&gt;",'Потребление (МВт·ч)'!C529:I529),"")</s:f>
        <s:v>2158.6629870671554</s:v>
      </s:c>
      <s:c r="L529" s="6" t="n">
        <s:f>IF(COUNT(C529:I529)&gt;0,AVERAGE(C529:I529),"")</s:f>
        <s:v>2236.9486791666664</s:v>
      </s:c>
      <s:c r="M529" s="10" t="n">
        <s:f>COUNT(C529:I529)</s:f>
        <s:v>6</s:v>
      </s:c>
      <s:c r="N529" s="11" t="n">
        <s:f>IF(AND(COUNT('Потребление (МВт·ч)'!C529:I529)=7,SUM('Потребление (МВт·ч)'!C529:I529)&gt;0),SUMIF(C529:I529,"&lt;&gt;",'Потребление (МВт·ч)'!C529:I529)/SUM('Потребление (МВт·ч)'!C529:I529),"")</s:f>
        <s:v>0.9616430742802287</s:v>
      </s:c>
    </s:row>
    <s:row r="530">
      <s:c r="A530" s="5" t="n">
        <s:v>46287</s:v>
      </s:c>
      <s:c r="B530" s="2" t="n">
        <s:v>21</s:v>
      </s:c>
      <s:c r="C530" s="6" t="n">
        <s:v>2089.017</s:v>
      </s:c>
      <s:c r="D530" s="6" t="n">
        <s:v>2806.296</s:v>
      </s:c>
      <s:c r="E530" s="6" t="n">
        <s:v>2771.779</s:v>
      </s:c>
      <s:c r="F530" s="6" t="n">
        <s:v>2550.705</s:v>
      </s:c>
      <s:c r="G530" s="6" t="n">
        <s:v>1865.21448</s:v>
      </s:c>
      <s:c r="H530" s="6" t="n">
        <s:v>108.634148</s:v>
      </s:c>
      <s:c r="I530" s="6" t="n"/>
      <s:c r="J530" s="6" t="str">
        <s:f>IF(AND(COUNT(C530:I530)=7,COUNT('Потребление (МВт·ч)'!C530:I530)=7,SUM('Потребление (МВт·ч)'!C530:I530)&gt;0),SUMPRODUCT(C530:I530,'Потребление (МВт·ч)'!C530:I530)/SUM('Потребление (МВт·ч)'!C530:I530),"")</s:f>
      </s:c>
      <s:c r="K530" s="6" t="n">
        <s:f>IF(SUMIF(C530:I530,"&lt;&gt;",'Потребление (МВт·ч)'!C530:I530)&gt;0,SUMPRODUCT(C530:I530,'Потребление (МВт·ч)'!C530:I530)/SUMIF(C530:I530,"&lt;&gt;",'Потребление (МВт·ч)'!C530:I530),"")</s:f>
        <s:v>1934.9793176542457</s:v>
      </s:c>
      <s:c r="L530" s="6" t="n">
        <s:f>IF(COUNT(C530:I530)&gt;0,AVERAGE(C530:I530),"")</s:f>
        <s:v>2031.940938</s:v>
      </s:c>
      <s:c r="M530" s="10" t="n">
        <s:f>COUNT(C530:I530)</s:f>
        <s:v>6</s:v>
      </s:c>
      <s:c r="N530" s="11" t="n">
        <s:f>IF(AND(COUNT('Потребление (МВт·ч)'!C530:I530)=7,SUM('Потребление (МВт·ч)'!C530:I530)&gt;0),SUMIF(C530:I530,"&lt;&gt;",'Потребление (МВт·ч)'!C530:I530)/SUM('Потребление (МВт·ч)'!C530:I530),"")</s:f>
        <s:v>0.9603096594615753</s:v>
      </s:c>
    </s:row>
    <s:row r="531">
      <s:c r="A531" s="5" t="n">
        <s:v>46287</s:v>
      </s:c>
      <s:c r="B531" s="2" t="n">
        <s:v>22</s:v>
      </s:c>
      <s:c r="C531" s="6" t="n">
        <s:v>1439.227</s:v>
      </s:c>
      <s:c r="D531" s="6" t="n">
        <s:v>1958.26672</s:v>
      </s:c>
      <s:c r="E531" s="6" t="n">
        <s:v>2382.90039</s:v>
      </s:c>
      <s:c r="F531" s="6" t="n">
        <s:v>1838.54639</s:v>
      </s:c>
      <s:c r="G531" s="6" t="n">
        <s:v>1355.94946</s:v>
      </s:c>
      <s:c r="H531" s="6" t="n">
        <s:v>98.78252000000001</s:v>
      </s:c>
      <s:c r="I531" s="6" t="n"/>
      <s:c r="J531" s="6" t="str">
        <s:f>IF(AND(COUNT(C531:I531)=7,COUNT('Потребление (МВт·ч)'!C531:I531)=7,SUM('Потребление (МВт·ч)'!C531:I531)&gt;0),SUMPRODUCT(C531:I531,'Потребление (МВт·ч)'!C531:I531)/SUM('Потребление (МВт·ч)'!C531:I531),"")</s:f>
      </s:c>
      <s:c r="K531" s="6" t="n">
        <s:f>IF(SUMIF(C531:I531,"&lt;&gt;",'Потребление (МВт·ч)'!C531:I531)&gt;0,SUMPRODUCT(C531:I531,'Потребление (МВт·ч)'!C531:I531)/SUMIF(C531:I531,"&lt;&gt;",'Потребление (МВт·ч)'!C531:I531),"")</s:f>
        <s:v>1401.615533476496</s:v>
      </s:c>
      <s:c r="L531" s="6" t="n">
        <s:f>IF(COUNT(C531:I531)&gt;0,AVERAGE(C531:I531),"")</s:f>
        <s:v>1512.2787466666668</s:v>
      </s:c>
      <s:c r="M531" s="10" t="n">
        <s:f>COUNT(C531:I531)</s:f>
        <s:v>6</s:v>
      </s:c>
      <s:c r="N531" s="11" t="n">
        <s:f>IF(AND(COUNT('Потребление (МВт·ч)'!C531:I531)=7,SUM('Потребление (МВт·ч)'!C531:I531)&gt;0),SUMIF(C531:I531,"&lt;&gt;",'Потребление (МВт·ч)'!C531:I531)/SUM('Потребление (МВт·ч)'!C531:I531),"")</s:f>
        <s:v>0.9581622431390951</s:v>
      </s:c>
    </s:row>
    <s:row r="532">
      <s:c r="A532" s="5" t="n">
        <s:v>46287</s:v>
      </s:c>
      <s:c r="B532" s="2" t="n">
        <s:v>23</s:v>
      </s:c>
      <s:c r="C532" s="6" t="n">
        <s:v>1151.02319</s:v>
      </s:c>
      <s:c r="D532" s="6" t="n">
        <s:v>1421.66907</s:v>
      </s:c>
      <s:c r="E532" s="6" t="n">
        <s:v>2038.25024</s:v>
      </s:c>
      <s:c r="F532" s="6" t="n">
        <s:v>1403.19568</s:v>
      </s:c>
      <s:c r="G532" s="6" t="n">
        <s:v>1208.63757</s:v>
      </s:c>
      <s:c r="H532" s="6" t="n">
        <s:v>51.1569481</s:v>
      </s:c>
      <s:c r="I532" s="6" t="n"/>
      <s:c r="J532" s="6" t="str">
        <s:f>IF(AND(COUNT(C532:I532)=7,COUNT('Потребление (МВт·ч)'!C532:I532)=7,SUM('Потребление (МВт·ч)'!C532:I532)&gt;0),SUMPRODUCT(C532:I532,'Потребление (МВт·ч)'!C532:I532)/SUM('Потребление (МВт·ч)'!C532:I532),"")</s:f>
      </s:c>
      <s:c r="K532" s="6" t="n">
        <s:f>IF(SUMIF(C532:I532,"&lt;&gt;",'Потребление (МВт·ч)'!C532:I532)&gt;0,SUMPRODUCT(C532:I532,'Потребление (МВт·ч)'!C532:I532)/SUMIF(C532:I532,"&lt;&gt;",'Потребление (МВт·ч)'!C532:I532),"")</s:f>
        <s:v>1098.477700362646</s:v>
      </s:c>
      <s:c r="L532" s="6" t="n">
        <s:f>IF(COUNT(C532:I532)&gt;0,AVERAGE(C532:I532),"")</s:f>
        <s:v>1212.32211635</s:v>
      </s:c>
      <s:c r="M532" s="10" t="n">
        <s:f>COUNT(C532:I532)</s:f>
        <s:v>6</s:v>
      </s:c>
      <s:c r="N532" s="11" t="n">
        <s:f>IF(AND(COUNT('Потребление (МВт·ч)'!C532:I532)=7,SUM('Потребление (МВт·ч)'!C532:I532)&gt;0),SUMIF(C532:I532,"&lt;&gt;",'Потребление (МВт·ч)'!C532:I532)/SUM('Потребление (МВт·ч)'!C532:I532),"")</s:f>
        <s:v>0.953832825643462</s:v>
      </s:c>
    </s:row>
    <s:row r="533">
      <s:c r="A533" s="5" t="n">
        <s:v>46288</s:v>
      </s:c>
      <s:c r="B533" s="2" t="n">
        <s:v>0</s:v>
      </s:c>
      <s:c r="C533" s="6" t="n">
        <s:v>1730.80481</s:v>
      </s:c>
      <s:c r="D533" s="6" t="n">
        <s:v>1998.818</s:v>
      </s:c>
      <s:c r="E533" s="6" t="n">
        <s:v>2274.87329</s:v>
      </s:c>
      <s:c r="F533" s="6" t="n">
        <s:v>1964.17175</s:v>
      </s:c>
      <s:c r="G533" s="6" t="n">
        <s:v>1680.029</s:v>
      </s:c>
      <s:c r="H533" s="6" t="n">
        <s:v>1371.66431</s:v>
      </s:c>
      <s:c r="I533" s="6" t="n"/>
      <s:c r="J533" s="6" t="str">
        <s:f>IF(AND(COUNT(C533:I533)=7,COUNT('Потребление (МВт·ч)'!C533:I533)=7,SUM('Потребление (МВт·ч)'!C533:I533)&gt;0),SUMPRODUCT(C533:I533,'Потребление (МВт·ч)'!C533:I533)/SUM('Потребление (МВт·ч)'!C533:I533),"")</s:f>
      </s:c>
      <s:c r="K533" s="6" t="n">
        <s:f>IF(SUMIF(C533:I533,"&lt;&gt;",'Потребление (МВт·ч)'!C533:I533)&gt;0,SUMPRODUCT(C533:I533,'Потребление (МВт·ч)'!C533:I533)/SUMIF(C533:I533,"&lt;&gt;",'Потребление (МВт·ч)'!C533:I533),"")</s:f>
        <s:v>1777.1558514247145</s:v>
      </s:c>
      <s:c r="L533" s="6" t="n">
        <s:f>IF(COUNT(C533:I533)&gt;0,AVERAGE(C533:I533),"")</s:f>
        <s:v>1836.72686</s:v>
      </s:c>
      <s:c r="M533" s="10" t="n">
        <s:f>COUNT(C533:I533)</s:f>
        <s:v>6</s:v>
      </s:c>
      <s:c r="N533" s="11" t="n">
        <s:f>IF(AND(COUNT('Потребление (МВт·ч)'!C533:I533)=7,SUM('Потребление (МВт·ч)'!C533:I533)&gt;0),SUMIF(C533:I533,"&lt;&gt;",'Потребление (МВт·ч)'!C533:I533)/SUM('Потребление (МВт·ч)'!C533:I533),"")</s:f>
        <s:v>0.95171298058622</s:v>
      </s:c>
    </s:row>
    <s:row r="534">
      <s:c r="A534" s="5" t="n">
        <s:v>46288</s:v>
      </s:c>
      <s:c r="B534" s="2" t="n">
        <s:v>1</s:v>
      </s:c>
      <s:c r="C534" s="6" t="n">
        <s:v>1632.01587</s:v>
      </s:c>
      <s:c r="D534" s="6" t="n">
        <s:v>1892.5293</s:v>
      </s:c>
      <s:c r="E534" s="6" t="n">
        <s:v>2028.102</s:v>
      </s:c>
      <s:c r="F534" s="6" t="n">
        <s:v>1889.25281</s:v>
      </s:c>
      <s:c r="G534" s="6" t="n">
        <s:v>1659.44531</s:v>
      </s:c>
      <s:c r="H534" s="6" t="n">
        <s:v>1527.02734</s:v>
      </s:c>
      <s:c r="I534" s="6" t="n"/>
      <s:c r="J534" s="6" t="str">
        <s:f>IF(AND(COUNT(C534:I534)=7,COUNT('Потребление (МВт·ч)'!C534:I534)=7,SUM('Потребление (МВт·ч)'!C534:I534)&gt;0),SUMPRODUCT(C534:I534,'Потребление (МВт·ч)'!C534:I534)/SUM('Потребление (МВт·ч)'!C534:I534),"")</s:f>
      </s:c>
      <s:c r="K534" s="6" t="n">
        <s:f>IF(SUMIF(C534:I534,"&lt;&gt;",'Потребление (МВт·ч)'!C534:I534)&gt;0,SUMPRODUCT(C534:I534,'Потребление (МВт·ч)'!C534:I534)/SUMIF(C534:I534,"&lt;&gt;",'Потребление (МВт·ч)'!C534:I534),"")</s:f>
        <s:v>1738.3340359917356</s:v>
      </s:c>
      <s:c r="L534" s="6" t="n">
        <s:f>IF(COUNT(C534:I534)&gt;0,AVERAGE(C534:I534),"")</s:f>
        <s:v>1771.3954383333337</s:v>
      </s:c>
      <s:c r="M534" s="10" t="n">
        <s:f>COUNT(C534:I534)</s:f>
        <s:v>6</s:v>
      </s:c>
      <s:c r="N534" s="11" t="n">
        <s:f>IF(AND(COUNT('Потребление (МВт·ч)'!C534:I534)=7,SUM('Потребление (МВт·ч)'!C534:I534)&gt;0),SUMIF(C534:I534,"&lt;&gt;",'Потребление (МВт·ч)'!C534:I534)/SUM('Потребление (МВт·ч)'!C534:I534),"")</s:f>
        <s:v>0.9499486529805266</s:v>
      </s:c>
    </s:row>
    <s:row r="535">
      <s:c r="A535" s="5" t="n">
        <s:v>46288</s:v>
      </s:c>
      <s:c r="B535" s="2" t="n">
        <s:v>2</s:v>
      </s:c>
      <s:c r="C535" s="6" t="n">
        <s:v>1605.81458</s:v>
      </s:c>
      <s:c r="D535" s="6" t="n">
        <s:v>1843.94751</s:v>
      </s:c>
      <s:c r="E535" s="6" t="n">
        <s:v>1881.43347</s:v>
      </s:c>
      <s:c r="F535" s="6" t="n">
        <s:v>1824.34192</s:v>
      </s:c>
      <s:c r="G535" s="6" t="n">
        <s:v>1663.21448</s:v>
      </s:c>
      <s:c r="H535" s="6" t="n">
        <s:v>1583.864</s:v>
      </s:c>
      <s:c r="I535" s="6" t="n"/>
      <s:c r="J535" s="6" t="str">
        <s:f>IF(AND(COUNT(C535:I535)=7,COUNT('Потребление (МВт·ч)'!C535:I535)=7,SUM('Потребление (МВт·ч)'!C535:I535)&gt;0),SUMPRODUCT(C535:I535,'Потребление (МВт·ч)'!C535:I535)/SUM('Потребление (МВт·ч)'!C535:I535),"")</s:f>
      </s:c>
      <s:c r="K535" s="6" t="n">
        <s:f>IF(SUMIF(C535:I535,"&lt;&gt;",'Потребление (МВт·ч)'!C535:I535)&gt;0,SUMPRODUCT(C535:I535,'Потребление (МВт·ч)'!C535:I535)/SUMIF(C535:I535,"&lt;&gt;",'Потребление (МВт·ч)'!C535:I535),"")</s:f>
        <s:v>1717.5123514442575</s:v>
      </s:c>
      <s:c r="L535" s="6" t="n">
        <s:f>IF(COUNT(C535:I535)&gt;0,AVERAGE(C535:I535),"")</s:f>
        <s:v>1733.7693266666665</s:v>
      </s:c>
      <s:c r="M535" s="10" t="n">
        <s:f>COUNT(C535:I535)</s:f>
        <s:v>6</s:v>
      </s:c>
      <s:c r="N535" s="11" t="n">
        <s:f>IF(AND(COUNT('Потребление (МВт·ч)'!C535:I535)=7,SUM('Потребление (МВт·ч)'!C535:I535)&gt;0),SUMIF(C535:I535,"&lt;&gt;",'Потребление (МВт·ч)'!C535:I535)/SUM('Потребление (МВт·ч)'!C535:I535),"")</s:f>
        <s:v>0.9502394257589749</s:v>
      </s:c>
    </s:row>
    <s:row r="536">
      <s:c r="A536" s="5" t="n">
        <s:v>46288</s:v>
      </s:c>
      <s:c r="B536" s="2" t="n">
        <s:v>3</s:v>
      </s:c>
      <s:c r="C536" s="6" t="n">
        <s:v>1602.3446</s:v>
      </s:c>
      <s:c r="D536" s="6" t="n">
        <s:v>1842.21533</s:v>
      </s:c>
      <s:c r="E536" s="6" t="n">
        <s:v>1851.755</s:v>
      </s:c>
      <s:c r="F536" s="6" t="n">
        <s:v>1826.33069</s:v>
      </s:c>
      <s:c r="G536" s="6" t="n">
        <s:v>1668.49585</s:v>
      </s:c>
      <s:c r="H536" s="6" t="n">
        <s:v>1596.71606</s:v>
      </s:c>
      <s:c r="I536" s="6" t="n"/>
      <s:c r="J536" s="6" t="str">
        <s:f>IF(AND(COUNT(C536:I536)=7,COUNT('Потребление (МВт·ч)'!C536:I536)=7,SUM('Потребление (МВт·ч)'!C536:I536)&gt;0),SUMPRODUCT(C536:I536,'Потребление (МВт·ч)'!C536:I536)/SUM('Потребление (МВт·ч)'!C536:I536),"")</s:f>
      </s:c>
      <s:c r="K536" s="6" t="n">
        <s:f>IF(SUMIF(C536:I536,"&lt;&gt;",'Потребление (МВт·ч)'!C536:I536)&gt;0,SUMPRODUCT(C536:I536,'Потребление (МВт·ч)'!C536:I536)/SUMIF(C536:I536,"&lt;&gt;",'Потребление (МВт·ч)'!C536:I536),"")</s:f>
        <s:v>1718.2879055833944</s:v>
      </s:c>
      <s:c r="L536" s="6" t="n">
        <s:f>IF(COUNT(C536:I536)&gt;0,AVERAGE(C536:I536),"")</s:f>
        <s:v>1731.3095883333335</s:v>
      </s:c>
      <s:c r="M536" s="10" t="n">
        <s:f>COUNT(C536:I536)</s:f>
        <s:v>6</s:v>
      </s:c>
      <s:c r="N536" s="11" t="n">
        <s:f>IF(AND(COUNT('Потребление (МВт·ч)'!C536:I536)=7,SUM('Потребление (МВт·ч)'!C536:I536)&gt;0),SUMIF(C536:I536,"&lt;&gt;",'Потребление (МВт·ч)'!C536:I536)/SUM('Потребление (МВт·ч)'!C536:I536),"")</s:f>
        <s:v>0.9507164031620553</s:v>
      </s:c>
    </s:row>
    <s:row r="537">
      <s:c r="A537" s="5" t="n">
        <s:v>46288</s:v>
      </s:c>
      <s:c r="B537" s="2" t="n">
        <s:v>4</s:v>
      </s:c>
      <s:c r="C537" s="6" t="n">
        <s:v>1607.43884</s:v>
      </s:c>
      <s:c r="D537" s="6" t="n">
        <s:v>1838.75818</s:v>
      </s:c>
      <s:c r="E537" s="6" t="n">
        <s:v>1922.85974</s:v>
      </s:c>
      <s:c r="F537" s="6" t="n">
        <s:v>1891.62878</s:v>
      </s:c>
      <s:c r="G537" s="6" t="n">
        <s:v>1700.44739</s:v>
      </s:c>
      <s:c r="H537" s="6" t="n">
        <s:v>1736.35791</s:v>
      </s:c>
      <s:c r="I537" s="6" t="n"/>
      <s:c r="J537" s="6" t="str">
        <s:f>IF(AND(COUNT(C537:I537)=7,COUNT('Потребление (МВт·ч)'!C537:I537)=7,SUM('Потребление (МВт·ч)'!C537:I537)&gt;0),SUMPRODUCT(C537:I537,'Потребление (МВт·ч)'!C537:I537)/SUM('Потребление (МВт·ч)'!C537:I537),"")</s:f>
      </s:c>
      <s:c r="K537" s="6" t="n">
        <s:f>IF(SUMIF(C537:I537,"&lt;&gt;",'Потребление (МВт·ч)'!C537:I537)&gt;0,SUMPRODUCT(C537:I537,'Потребление (МВт·ч)'!C537:I537)/SUMIF(C537:I537,"&lt;&gt;",'Потребление (МВт·ч)'!C537:I537),"")</s:f>
        <s:v>1772.991085132828</s:v>
      </s:c>
      <s:c r="L537" s="6" t="n">
        <s:f>IF(COUNT(C537:I537)&gt;0,AVERAGE(C537:I537),"")</s:f>
        <s:v>1782.91514</s:v>
      </s:c>
      <s:c r="M537" s="10" t="n">
        <s:f>COUNT(C537:I537)</s:f>
        <s:v>6</s:v>
      </s:c>
      <s:c r="N537" s="11" t="n">
        <s:f>IF(AND(COUNT('Потребление (МВт·ч)'!C537:I537)=7,SUM('Потребление (МВт·ч)'!C537:I537)&gt;0),SUMIF(C537:I537,"&lt;&gt;",'Потребление (МВт·ч)'!C537:I537)/SUM('Потребление (МВт·ч)'!C537:I537),"")</s:f>
        <s:v>0.9529340592861464</s:v>
      </s:c>
    </s:row>
    <s:row r="538">
      <s:c r="A538" s="5" t="n">
        <s:v>46288</s:v>
      </s:c>
      <s:c r="B538" s="2" t="n">
        <s:v>5</s:v>
      </s:c>
      <s:c r="C538" s="6" t="n">
        <s:v>1397.48633</s:v>
      </s:c>
      <s:c r="D538" s="6" t="n">
        <s:v>2086.06</s:v>
      </s:c>
      <s:c r="E538" s="6" t="n">
        <s:v>2119.177</s:v>
      </s:c>
      <s:c r="F538" s="6" t="n">
        <s:v>2101.12671</s:v>
      </s:c>
      <s:c r="G538" s="6" t="n">
        <s:v>1794.86267</s:v>
      </s:c>
      <s:c r="H538" s="6" t="n">
        <s:v>1742.80957</s:v>
      </s:c>
      <s:c r="I538" s="6" t="n"/>
      <s:c r="J538" s="6" t="str">
        <s:f>IF(AND(COUNT(C538:I538)=7,COUNT('Потребление (МВт·ч)'!C538:I538)=7,SUM('Потребление (МВт·ч)'!C538:I538)&gt;0),SUMPRODUCT(C538:I538,'Потребление (МВт·ч)'!C538:I538)/SUM('Потребление (МВт·ч)'!C538:I538),"")</s:f>
      </s:c>
      <s:c r="K538" s="6" t="n">
        <s:f>IF(SUMIF(C538:I538,"&lt;&gt;",'Потребление (МВт·ч)'!C538:I538)&gt;0,SUMPRODUCT(C538:I538,'Потребление (МВт·ч)'!C538:I538)/SUMIF(C538:I538,"&lt;&gt;",'Потребление (МВт·ч)'!C538:I538),"")</s:f>
        <s:v>1877.307337884097</s:v>
      </s:c>
      <s:c r="L538" s="6" t="n">
        <s:f>IF(COUNT(C538:I538)&gt;0,AVERAGE(C538:I538),"")</s:f>
        <s:v>1873.5870466666668</s:v>
      </s:c>
      <s:c r="M538" s="10" t="n">
        <s:f>COUNT(C538:I538)</s:f>
        <s:v>6</s:v>
      </s:c>
      <s:c r="N538" s="11" t="n">
        <s:f>IF(AND(COUNT('Потребление (МВт·ч)'!C538:I538)=7,SUM('Потребление (МВт·ч)'!C538:I538)&gt;0),SUMIF(C538:I538,"&lt;&gt;",'Потребление (МВт·ч)'!C538:I538)/SUM('Потребление (МВт·ч)'!C538:I538),"")</s:f>
        <s:v>0.9549573151452189</s:v>
      </s:c>
    </s:row>
    <s:row r="539">
      <s:c r="A539" s="5" t="n">
        <s:v>46288</s:v>
      </s:c>
      <s:c r="B539" s="2" t="n">
        <s:v>6</s:v>
      </s:c>
      <s:c r="C539" s="6" t="n">
        <s:v>1890.08191</s:v>
      </s:c>
      <s:c r="D539" s="6" t="n">
        <s:v>2219.4126</s:v>
      </s:c>
      <s:c r="E539" s="6" t="n">
        <s:v>2108.45068</s:v>
      </s:c>
      <s:c r="F539" s="6" t="n">
        <s:v>2231.76318</s:v>
      </s:c>
      <s:c r="G539" s="6" t="n">
        <s:v>1853.67554</s:v>
      </s:c>
      <s:c r="H539" s="6" t="n">
        <s:v>1812.58508</s:v>
      </s:c>
      <s:c r="I539" s="6" t="n"/>
      <s:c r="J539" s="6" t="str">
        <s:f>IF(AND(COUNT(C539:I539)=7,COUNT('Потребление (МВт·ч)'!C539:I539)=7,SUM('Потребление (МВт·ч)'!C539:I539)&gt;0),SUMPRODUCT(C539:I539,'Потребление (МВт·ч)'!C539:I539)/SUM('Потребление (МВт·ч)'!C539:I539),"")</s:f>
      </s:c>
      <s:c r="K539" s="6" t="n">
        <s:f>IF(SUMIF(C539:I539,"&lt;&gt;",'Потребление (МВт·ч)'!C539:I539)&gt;0,SUMPRODUCT(C539:I539,'Потребление (МВт·ч)'!C539:I539)/SUMIF(C539:I539,"&lt;&gt;",'Потребление (МВт·ч)'!C539:I539),"")</s:f>
        <s:v>2000.2046089592955</s:v>
      </s:c>
      <s:c r="L539" s="6" t="n">
        <s:f>IF(COUNT(C539:I539)&gt;0,AVERAGE(C539:I539),"")</s:f>
        <s:v>2019.3281650000001</s:v>
      </s:c>
      <s:c r="M539" s="10" t="n">
        <s:f>COUNT(C539:I539)</s:f>
        <s:v>6</s:v>
      </s:c>
      <s:c r="N539" s="11" t="n">
        <s:f>IF(AND(COUNT('Потребление (МВт·ч)'!C539:I539)=7,SUM('Потребление (МВт·ч)'!C539:I539)&gt;0),SUMIF(C539:I539,"&lt;&gt;",'Потребление (МВт·ч)'!C539:I539)/SUM('Потребление (МВт·ч)'!C539:I539),"")</s:f>
        <s:v>0.9546212471736493</s:v>
      </s:c>
    </s:row>
    <s:row r="540">
      <s:c r="A540" s="5" t="n">
        <s:v>46288</s:v>
      </s:c>
      <s:c r="B540" s="2" t="n">
        <s:v>7</s:v>
      </s:c>
      <s:c r="C540" s="6" t="n">
        <s:v>2151.89331</s:v>
      </s:c>
      <s:c r="D540" s="6" t="n">
        <s:v>2457.87158</s:v>
      </s:c>
      <s:c r="E540" s="6" t="n">
        <s:v>2418.12158</s:v>
      </s:c>
      <s:c r="F540" s="6" t="n">
        <s:v>2404.50562</s:v>
      </s:c>
      <s:c r="G540" s="6" t="n">
        <s:v>1892.098</s:v>
      </s:c>
      <s:c r="H540" s="6" t="n">
        <s:v>1724.72778</s:v>
      </s:c>
      <s:c r="I540" s="6" t="n"/>
      <s:c r="J540" s="6" t="str">
        <s:f>IF(AND(COUNT(C540:I540)=7,COUNT('Потребление (МВт·ч)'!C540:I540)=7,SUM('Потребление (МВт·ч)'!C540:I540)&gt;0),SUMPRODUCT(C540:I540,'Потребление (МВт·ч)'!C540:I540)/SUM('Потребление (МВт·ч)'!C540:I540),"")</s:f>
      </s:c>
      <s:c r="K540" s="6" t="n">
        <s:f>IF(SUMIF(C540:I540,"&lt;&gt;",'Потребление (МВт·ч)'!C540:I540)&gt;0,SUMPRODUCT(C540:I540,'Потребление (МВт·ч)'!C540:I540)/SUMIF(C540:I540,"&lt;&gt;",'Потребление (МВт·ч)'!C540:I540),"")</s:f>
        <s:v>2128.109632424186</s:v>
      </s:c>
      <s:c r="L540" s="6" t="n">
        <s:f>IF(COUNT(C540:I540)&gt;0,AVERAGE(C540:I540),"")</s:f>
        <s:v>2174.869645</s:v>
      </s:c>
      <s:c r="M540" s="10" t="n">
        <s:f>COUNT(C540:I540)</s:f>
        <s:v>6</s:v>
      </s:c>
      <s:c r="N540" s="11" t="n">
        <s:f>IF(AND(COUNT('Потребление (МВт·ч)'!C540:I540)=7,SUM('Потребление (МВт·ч)'!C540:I540)&gt;0),SUMIF(C540:I540,"&lt;&gt;",'Потребление (МВт·ч)'!C540:I540)/SUM('Потребление (МВт·ч)'!C540:I540),"")</s:f>
        <s:v>0.9564023054366511</s:v>
      </s:c>
    </s:row>
    <s:row r="541">
      <s:c r="A541" s="5" t="n">
        <s:v>46288</s:v>
      </s:c>
      <s:c r="B541" s="2" t="n">
        <s:v>8</s:v>
      </s:c>
      <s:c r="C541" s="6" t="n">
        <s:v>2356.403</s:v>
      </s:c>
      <s:c r="D541" s="6" t="n">
        <s:v>2777.84</s:v>
      </s:c>
      <s:c r="E541" s="6" t="n">
        <s:v>2536.61328</s:v>
      </s:c>
      <s:c r="F541" s="6" t="n">
        <s:v>2626.63086</s:v>
      </s:c>
      <s:c r="G541" s="6" t="n">
        <s:v>1921.051</s:v>
      </s:c>
      <s:c r="H541" s="6" t="n">
        <s:v>1770.60107</s:v>
      </s:c>
      <s:c r="I541" s="6" t="n"/>
      <s:c r="J541" s="6" t="str">
        <s:f>IF(AND(COUNT(C541:I541)=7,COUNT('Потребление (МВт·ч)'!C541:I541)=7,SUM('Потребление (МВт·ч)'!C541:I541)&gt;0),SUMPRODUCT(C541:I541,'Потребление (МВт·ч)'!C541:I541)/SUM('Потребление (МВт·ч)'!C541:I541),"")</s:f>
      </s:c>
      <s:c r="K541" s="6" t="n">
        <s:f>IF(SUMIF(C541:I541,"&lt;&gt;",'Потребление (МВт·ч)'!C541:I541)&gt;0,SUMPRODUCT(C541:I541,'Потребление (МВт·ч)'!C541:I541)/SUMIF(C541:I541,"&lt;&gt;",'Потребление (МВт·ч)'!C541:I541),"")</s:f>
        <s:v>2288.8229729294203</s:v>
      </s:c>
      <s:c r="L541" s="6" t="n">
        <s:f>IF(COUNT(C541:I541)&gt;0,AVERAGE(C541:I541),"")</s:f>
        <s:v>2331.523201666667</s:v>
      </s:c>
      <s:c r="M541" s="10" t="n">
        <s:f>COUNT(C541:I541)</s:f>
        <s:v>6</s:v>
      </s:c>
      <s:c r="N541" s="11" t="n">
        <s:f>IF(AND(COUNT('Потребление (МВт·ч)'!C541:I541)=7,SUM('Потребление (МВт·ч)'!C541:I541)&gt;0),SUMIF(C541:I541,"&lt;&gt;",'Потребление (МВт·ч)'!C541:I541)/SUM('Потребление (МВт·ч)'!C541:I541),"")</s:f>
        <s:v>0.9584825789645067</s:v>
      </s:c>
    </s:row>
    <s:row r="542">
      <s:c r="A542" s="5" t="n">
        <s:v>46288</s:v>
      </s:c>
      <s:c r="B542" s="2" t="n">
        <s:v>9</s:v>
      </s:c>
      <s:c r="C542" s="6" t="n">
        <s:v>2361.20117</s:v>
      </s:c>
      <s:c r="D542" s="6" t="n">
        <s:v>2810.27417</s:v>
      </s:c>
      <s:c r="E542" s="6" t="n">
        <s:v>2687.29834</s:v>
      </s:c>
      <s:c r="F542" s="6" t="n">
        <s:v>2633.64478</s:v>
      </s:c>
      <s:c r="G542" s="6" t="n">
        <s:v>1908.62012</s:v>
      </s:c>
      <s:c r="H542" s="6" t="n">
        <s:v>1772.337</s:v>
      </s:c>
      <s:c r="I542" s="6" t="n"/>
      <s:c r="J542" s="6" t="str">
        <s:f>IF(AND(COUNT(C542:I542)=7,COUNT('Потребление (МВт·ч)'!C542:I542)=7,SUM('Потребление (МВт·ч)'!C542:I542)&gt;0),SUMPRODUCT(C542:I542,'Потребление (МВт·ч)'!C542:I542)/SUM('Потребление (МВт·ч)'!C542:I542),"")</s:f>
      </s:c>
      <s:c r="K542" s="6" t="n">
        <s:f>IF(SUMIF(C542:I542,"&lt;&gt;",'Потребление (МВт·ч)'!C542:I542)&gt;0,SUMPRODUCT(C542:I542,'Потребление (МВт·ч)'!C542:I542)/SUMIF(C542:I542,"&lt;&gt;",'Потребление (МВт·ч)'!C542:I542),"")</s:f>
        <s:v>2315.395750725501</s:v>
      </s:c>
      <s:c r="L542" s="6" t="n">
        <s:f>IF(COUNT(C542:I542)&gt;0,AVERAGE(C542:I542),"")</s:f>
        <s:v>2362.229263333333</s:v>
      </s:c>
      <s:c r="M542" s="10" t="n">
        <s:f>COUNT(C542:I542)</s:f>
        <s:v>6</s:v>
      </s:c>
      <s:c r="N542" s="11" t="n">
        <s:f>IF(AND(COUNT('Потребление (МВт·ч)'!C542:I542)=7,SUM('Потребление (МВт·ч)'!C542:I542)&gt;0),SUMIF(C542:I542,"&lt;&gt;",'Потребление (МВт·ч)'!C542:I542)/SUM('Потребление (МВт·ч)'!C542:I542),"")</s:f>
        <s:v>0.9585606201000734</s:v>
      </s:c>
    </s:row>
    <s:row r="543">
      <s:c r="A543" s="5" t="n">
        <s:v>46288</s:v>
      </s:c>
      <s:c r="B543" s="2" t="n">
        <s:v>10</s:v>
      </s:c>
      <s:c r="C543" s="6" t="n">
        <s:v>2364.466</s:v>
      </s:c>
      <s:c r="D543" s="6" t="n">
        <s:v>2894.68262</s:v>
      </s:c>
      <s:c r="E543" s="6" t="n">
        <s:v>2590.164</s:v>
      </s:c>
      <s:c r="F543" s="6" t="n">
        <s:v>2663.562</s:v>
      </s:c>
      <s:c r="G543" s="6" t="n">
        <s:v>2060.15942</s:v>
      </s:c>
      <s:c r="H543" s="6" t="n">
        <s:v>1787.82178</s:v>
      </s:c>
      <s:c r="I543" s="6" t="n"/>
      <s:c r="J543" s="6" t="str">
        <s:f>IF(AND(COUNT(C543:I543)=7,COUNT('Потребление (МВт·ч)'!C543:I543)=7,SUM('Потребление (МВт·ч)'!C543:I543)&gt;0),SUMPRODUCT(C543:I543,'Потребление (МВт·ч)'!C543:I543)/SUM('Потребление (МВт·ч)'!C543:I543),"")</s:f>
      </s:c>
      <s:c r="K543" s="6" t="n">
        <s:f>IF(SUMIF(C543:I543,"&lt;&gt;",'Потребление (МВт·ч)'!C543:I543)&gt;0,SUMPRODUCT(C543:I543,'Потребление (МВт·ч)'!C543:I543)/SUMIF(C543:I543,"&lt;&gt;",'Потребление (МВт·ч)'!C543:I543),"")</s:f>
        <s:v>2367.8686525098638</s:v>
      </s:c>
      <s:c r="L543" s="6" t="n">
        <s:f>IF(COUNT(C543:I543)&gt;0,AVERAGE(C543:I543),"")</s:f>
        <s:v>2393.47597</s:v>
      </s:c>
      <s:c r="M543" s="10" t="n">
        <s:f>COUNT(C543:I543)</s:f>
        <s:v>6</s:v>
      </s:c>
      <s:c r="N543" s="11" t="n">
        <s:f>IF(AND(COUNT('Потребление (МВт·ч)'!C543:I543)=7,SUM('Потребление (МВт·ч)'!C543:I543)&gt;0),SUMIF(C543:I543,"&lt;&gt;",'Потребление (МВт·ч)'!C543:I543)/SUM('Потребление (МВт·ч)'!C543:I543),"")</s:f>
        <s:v>0.9585134176235325</s:v>
      </s:c>
    </s:row>
    <s:row r="544">
      <s:c r="A544" s="5" t="n">
        <s:v>46288</s:v>
      </s:c>
      <s:c r="B544" s="2" t="n">
        <s:v>11</s:v>
      </s:c>
      <s:c r="C544" s="6" t="n">
        <s:v>2367.046</s:v>
      </s:c>
      <s:c r="D544" s="6" t="n">
        <s:v>2869.672</s:v>
      </s:c>
      <s:c r="E544" s="6" t="n">
        <s:v>2553.69775</s:v>
      </s:c>
      <s:c r="F544" s="6" t="n">
        <s:v>2711.77783</s:v>
      </s:c>
      <s:c r="G544" s="6" t="n">
        <s:v>2080.285</s:v>
      </s:c>
      <s:c r="H544" s="6" t="n">
        <s:v>1705.28174</s:v>
      </s:c>
      <s:c r="I544" s="6" t="n"/>
      <s:c r="J544" s="6" t="str">
        <s:f>IF(AND(COUNT(C544:I544)=7,COUNT('Потребление (МВт·ч)'!C544:I544)=7,SUM('Потребление (МВт·ч)'!C544:I544)&gt;0),SUMPRODUCT(C544:I544,'Потребление (МВт·ч)'!C544:I544)/SUM('Потребление (МВт·ч)'!C544:I544),"")</s:f>
      </s:c>
      <s:c r="K544" s="6" t="n">
        <s:f>IF(SUMIF(C544:I544,"&lt;&gt;",'Потребление (МВт·ч)'!C544:I544)&gt;0,SUMPRODUCT(C544:I544,'Потребление (МВт·ч)'!C544:I544)/SUMIF(C544:I544,"&lt;&gt;",'Потребление (МВт·ч)'!C544:I544),"")</s:f>
        <s:v>2351.6701784239</s:v>
      </s:c>
      <s:c r="L544" s="6" t="n">
        <s:f>IF(COUNT(C544:I544)&gt;0,AVERAGE(C544:I544),"")</s:f>
        <s:v>2381.2933866666667</s:v>
      </s:c>
      <s:c r="M544" s="10" t="n">
        <s:f>COUNT(C544:I544)</s:f>
        <s:v>6</s:v>
      </s:c>
      <s:c r="N544" s="11" t="n">
        <s:f>IF(AND(COUNT('Потребление (МВт·ч)'!C544:I544)=7,SUM('Потребление (МВт·ч)'!C544:I544)&gt;0),SUMIF(C544:I544,"&lt;&gt;",'Потребление (МВт·ч)'!C544:I544)/SUM('Потребление (МВт·ч)'!C544:I544),"")</s:f>
        <s:v>0.9569278966334448</s:v>
      </s:c>
    </s:row>
    <s:row r="545">
      <s:c r="A545" s="5" t="n">
        <s:v>46288</s:v>
      </s:c>
      <s:c r="B545" s="2" t="n">
        <s:v>12</s:v>
      </s:c>
      <s:c r="C545" s="6" t="n">
        <s:v>2385.57251</s:v>
      </s:c>
      <s:c r="D545" s="6" t="n">
        <s:v>2867.699</s:v>
      </s:c>
      <s:c r="E545" s="6" t="n">
        <s:v>2398.1582</s:v>
      </s:c>
      <s:c r="F545" s="6" t="n">
        <s:v>2716.33179</s:v>
      </s:c>
      <s:c r="G545" s="6" t="n">
        <s:v>2098.55127</s:v>
      </s:c>
      <s:c r="H545" s="6" t="n">
        <s:v>2193.75122</s:v>
      </s:c>
      <s:c r="I545" s="6" t="n"/>
      <s:c r="J545" s="6" t="str">
        <s:f>IF(AND(COUNT(C545:I545)=7,COUNT('Потребление (МВт·ч)'!C545:I545)=7,SUM('Потребление (МВт·ч)'!C545:I545)&gt;0),SUMPRODUCT(C545:I545,'Потребление (МВт·ч)'!C545:I545)/SUM('Потребление (МВт·ч)'!C545:I545),"")</s:f>
      </s:c>
      <s:c r="K545" s="6" t="n">
        <s:f>IF(SUMIF(C545:I545,"&lt;&gt;",'Потребление (МВт·ч)'!C545:I545)&gt;0,SUMPRODUCT(C545:I545,'Потребление (МВт·ч)'!C545:I545)/SUMIF(C545:I545,"&lt;&gt;",'Потребление (МВт·ч)'!C545:I545),"")</s:f>
        <s:v>2442.787002193332</s:v>
      </s:c>
      <s:c r="L545" s="6" t="n">
        <s:f>IF(COUNT(C545:I545)&gt;0,AVERAGE(C545:I545),"")</s:f>
        <s:v>2443.3439983333333</s:v>
      </s:c>
      <s:c r="M545" s="10" t="n">
        <s:f>COUNT(C545:I545)</s:f>
        <s:v>6</s:v>
      </s:c>
      <s:c r="N545" s="11" t="n">
        <s:f>IF(AND(COUNT('Потребление (МВт·ч)'!C545:I545)=7,SUM('Потребление (МВт·ч)'!C545:I545)&gt;0),SUMIF(C545:I545,"&lt;&gt;",'Потребление (МВт·ч)'!C545:I545)/SUM('Потребление (МВт·ч)'!C545:I545),"")</s:f>
        <s:v>0.9565694320305517</s:v>
      </s:c>
    </s:row>
    <s:row r="546">
      <s:c r="A546" s="5" t="n">
        <s:v>46288</s:v>
      </s:c>
      <s:c r="B546" s="2" t="n">
        <s:v>13</s:v>
      </s:c>
      <s:c r="C546" s="6" t="n">
        <s:v>2368.88062</s:v>
      </s:c>
      <s:c r="D546" s="6" t="n">
        <s:v>2862.947</s:v>
      </s:c>
      <s:c r="E546" s="6" t="n">
        <s:v>2564.59521</s:v>
      </s:c>
      <s:c r="F546" s="6" t="n">
        <s:v>2708.25757</s:v>
      </s:c>
      <s:c r="G546" s="6" t="n">
        <s:v>2121.91577</s:v>
      </s:c>
      <s:c r="H546" s="6" t="n">
        <s:v>2430.59863</s:v>
      </s:c>
      <s:c r="I546" s="6" t="n"/>
      <s:c r="J546" s="6" t="str">
        <s:f>IF(AND(COUNT(C546:I546)=7,COUNT('Потребление (МВт·ч)'!C546:I546)=7,SUM('Потребление (МВт·ч)'!C546:I546)&gt;0),SUMPRODUCT(C546:I546,'Потребление (МВт·ч)'!C546:I546)/SUM('Потребление (МВт·ч)'!C546:I546),"")</s:f>
      </s:c>
      <s:c r="K546" s="6" t="n">
        <s:f>IF(SUMIF(C546:I546,"&lt;&gt;",'Потребление (МВт·ч)'!C546:I546)&gt;0,SUMPRODUCT(C546:I546,'Потребление (МВт·ч)'!C546:I546)/SUMIF(C546:I546,"&lt;&gt;",'Потребление (МВт·ч)'!C546:I546),"")</s:f>
        <s:v>2511.6431718508884</s:v>
      </s:c>
      <s:c r="L546" s="6" t="n">
        <s:f>IF(COUNT(C546:I546)&gt;0,AVERAGE(C546:I546),"")</s:f>
        <s:v>2509.5324666666666</s:v>
      </s:c>
      <s:c r="M546" s="10" t="n">
        <s:f>COUNT(C546:I546)</s:f>
        <s:v>6</s:v>
      </s:c>
      <s:c r="N546" s="11" t="n">
        <s:f>IF(AND(COUNT('Потребление (МВт·ч)'!C546:I546)=7,SUM('Потребление (МВт·ч)'!C546:I546)&gt;0),SUMIF(C546:I546,"&lt;&gt;",'Потребление (МВт·ч)'!C546:I546)/SUM('Потребление (МВт·ч)'!C546:I546),"")</s:f>
        <s:v>0.9557317742821151</s:v>
      </s:c>
    </s:row>
    <s:row r="547">
      <s:c r="A547" s="5" t="n">
        <s:v>46288</s:v>
      </s:c>
      <s:c r="B547" s="2" t="n">
        <s:v>14</s:v>
      </s:c>
      <s:c r="C547" s="6" t="n">
        <s:v>2424.751</s:v>
      </s:c>
      <s:c r="D547" s="6" t="n">
        <s:v>2930.366</s:v>
      </s:c>
      <s:c r="E547" s="6" t="n">
        <s:v>2337.41</s:v>
      </s:c>
      <s:c r="F547" s="6" t="n">
        <s:v>2640.94214</s:v>
      </s:c>
      <s:c r="G547" s="6" t="n">
        <s:v>2015.659</s:v>
      </s:c>
      <s:c r="H547" s="6" t="n">
        <s:v>2372.23755</s:v>
      </s:c>
      <s:c r="I547" s="6" t="n"/>
      <s:c r="J547" s="6" t="str">
        <s:f>IF(AND(COUNT(C547:I547)=7,COUNT('Потребление (МВт·ч)'!C547:I547)=7,SUM('Потребление (МВт·ч)'!C547:I547)&gt;0),SUMPRODUCT(C547:I547,'Потребление (МВт·ч)'!C547:I547)/SUM('Потребление (МВт·ч)'!C547:I547),"")</s:f>
      </s:c>
      <s:c r="K547" s="6" t="n">
        <s:f>IF(SUMIF(C547:I547,"&lt;&gt;",'Потребление (МВт·ч)'!C547:I547)&gt;0,SUMPRODUCT(C547:I547,'Потребление (МВт·ч)'!C547:I547)/SUMIF(C547:I547,"&lt;&gt;",'Потребление (МВт·ч)'!C547:I547),"")</s:f>
        <s:v>2466.027892677425</s:v>
      </s:c>
      <s:c r="L547" s="6" t="n">
        <s:f>IF(COUNT(C547:I547)&gt;0,AVERAGE(C547:I547),"")</s:f>
        <s:v>2453.5609483333333</s:v>
      </s:c>
      <s:c r="M547" s="10" t="n">
        <s:f>COUNT(C547:I547)</s:f>
        <s:v>6</s:v>
      </s:c>
      <s:c r="N547" s="11" t="n">
        <s:f>IF(AND(COUNT('Потребление (МВт·ч)'!C547:I547)=7,SUM('Потребление (МВт·ч)'!C547:I547)&gt;0),SUMIF(C547:I547,"&lt;&gt;",'Потребление (МВт·ч)'!C547:I547)/SUM('Потребление (МВт·ч)'!C547:I547),"")</s:f>
        <s:v>0.9570500004047305</s:v>
      </s:c>
    </s:row>
    <s:row r="548">
      <s:c r="A548" s="5" t="n">
        <s:v>46288</s:v>
      </s:c>
      <s:c r="B548" s="2" t="n">
        <s:v>15</s:v>
      </s:c>
      <s:c r="C548" s="6" t="n">
        <s:v>1941.31519</s:v>
      </s:c>
      <s:c r="D548" s="6" t="n">
        <s:v>2870.34863</s:v>
      </s:c>
      <s:c r="E548" s="6" t="n">
        <s:v>2371.80664</s:v>
      </s:c>
      <s:c r="F548" s="6" t="n">
        <s:v>2612.29565</s:v>
      </s:c>
      <s:c r="G548" s="6" t="n">
        <s:v>2037.30151</s:v>
      </s:c>
      <s:c r="H548" s="6" t="n">
        <s:v>2255.987</s:v>
      </s:c>
      <s:c r="I548" s="6" t="n"/>
      <s:c r="J548" s="6" t="str">
        <s:f>IF(AND(COUNT(C548:I548)=7,COUNT('Потребление (МВт·ч)'!C548:I548)=7,SUM('Потребление (МВт·ч)'!C548:I548)&gt;0),SUMPRODUCT(C548:I548,'Потребление (МВт·ч)'!C548:I548)/SUM('Потребление (МВт·ч)'!C548:I548),"")</s:f>
      </s:c>
      <s:c r="K548" s="6" t="n">
        <s:f>IF(SUMIF(C548:I548,"&lt;&gt;",'Потребление (МВт·ч)'!C548:I548)&gt;0,SUMPRODUCT(C548:I548,'Потребление (МВт·ч)'!C548:I548)/SUMIF(C548:I548,"&lt;&gt;",'Потребление (МВт·ч)'!C548:I548),"")</s:f>
        <s:v>2383.9543510533663</s:v>
      </s:c>
      <s:c r="L548" s="6" t="n">
        <s:f>IF(COUNT(C548:I548)&gt;0,AVERAGE(C548:I548),"")</s:f>
        <s:v>2348.17577</s:v>
      </s:c>
      <s:c r="M548" s="10" t="n">
        <s:f>COUNT(C548:I548)</s:f>
        <s:v>6</s:v>
      </s:c>
      <s:c r="N548" s="11" t="n">
        <s:f>IF(AND(COUNT('Потребление (МВт·ч)'!C548:I548)=7,SUM('Потребление (МВт·ч)'!C548:I548)&gt;0),SUMIF(C548:I548,"&lt;&gt;",'Потребление (МВт·ч)'!C548:I548)/SUM('Потребление (МВт·ч)'!C548:I548),"")</s:f>
        <s:v>0.9583208322859483</s:v>
      </s:c>
    </s:row>
    <s:row r="549">
      <s:c r="A549" s="5" t="n">
        <s:v>46288</s:v>
      </s:c>
      <s:c r="B549" s="2" t="n">
        <s:v>16</s:v>
      </s:c>
      <s:c r="C549" s="6" t="n">
        <s:v>2165.4248</s:v>
      </s:c>
      <s:c r="D549" s="6" t="n">
        <s:v>2739.80835</s:v>
      </s:c>
      <s:c r="E549" s="6" t="n">
        <s:v>2872.07349</s:v>
      </s:c>
      <s:c r="F549" s="6" t="n">
        <s:v>2671.02515</s:v>
      </s:c>
      <s:c r="G549" s="6" t="n">
        <s:v>2228.96338</s:v>
      </s:c>
      <s:c r="H549" s="6" t="n">
        <s:v>2447.404</s:v>
      </s:c>
      <s:c r="I549" s="6" t="n"/>
      <s:c r="J549" s="6" t="str">
        <s:f>IF(AND(COUNT(C549:I549)=7,COUNT('Потребление (МВт·ч)'!C549:I549)=7,SUM('Потребление (МВт·ч)'!C549:I549)&gt;0),SUMPRODUCT(C549:I549,'Потребление (МВт·ч)'!C549:I549)/SUM('Потребление (МВт·ч)'!C549:I549),"")</s:f>
      </s:c>
      <s:c r="K549" s="6" t="n">
        <s:f>IF(SUMIF(C549:I549,"&lt;&gt;",'Потребление (МВт·ч)'!C549:I549)&gt;0,SUMPRODUCT(C549:I549,'Потребление (МВт·ч)'!C549:I549)/SUMIF(C549:I549,"&lt;&gt;",'Потребление (МВт·ч)'!C549:I549),"")</s:f>
        <s:v>2514.9071198452903</s:v>
      </s:c>
      <s:c r="L549" s="6" t="n">
        <s:f>IF(COUNT(C549:I549)&gt;0,AVERAGE(C549:I549),"")</s:f>
        <s:v>2520.7831950000004</s:v>
      </s:c>
      <s:c r="M549" s="10" t="n">
        <s:f>COUNT(C549:I549)</s:f>
        <s:v>6</s:v>
      </s:c>
      <s:c r="N549" s="11" t="n">
        <s:f>IF(AND(COUNT('Потребление (МВт·ч)'!C549:I549)=7,SUM('Потребление (МВт·ч)'!C549:I549)&gt;0),SUMIF(C549:I549,"&lt;&gt;",'Потребление (МВт·ч)'!C549:I549)/SUM('Потребление (МВт·ч)'!C549:I549),"")</s:f>
        <s:v>0.9594747880301286</s:v>
      </s:c>
    </s:row>
    <s:row r="550">
      <s:c r="A550" s="5" t="n">
        <s:v>46288</s:v>
      </s:c>
      <s:c r="B550" s="2" t="n">
        <s:v>17</s:v>
      </s:c>
      <s:c r="C550" s="6" t="n">
        <s:v>2197.68286</s:v>
      </s:c>
      <s:c r="D550" s="6" t="n">
        <s:v>2757.17725</s:v>
      </s:c>
      <s:c r="E550" s="6" t="n">
        <s:v>2932.86816</s:v>
      </s:c>
      <s:c r="F550" s="6" t="n">
        <s:v>2694.524</s:v>
      </s:c>
      <s:c r="G550" s="6" t="n">
        <s:v>2242.8374</s:v>
      </s:c>
      <s:c r="H550" s="6" t="n">
        <s:v>2326.07251</s:v>
      </s:c>
      <s:c r="I550" s="6" t="n"/>
      <s:c r="J550" s="6" t="str">
        <s:f>IF(AND(COUNT(C550:I550)=7,COUNT('Потребление (МВт·ч)'!C550:I550)=7,SUM('Потребление (МВт·ч)'!C550:I550)&gt;0),SUMPRODUCT(C550:I550,'Потребление (МВт·ч)'!C550:I550)/SUM('Потребление (МВт·ч)'!C550:I550),"")</s:f>
      </s:c>
      <s:c r="K550" s="6" t="n">
        <s:f>IF(SUMIF(C550:I550,"&lt;&gt;",'Потребление (МВт·ч)'!C550:I550)&gt;0,SUMPRODUCT(C550:I550,'Потребление (МВт·ч)'!C550:I550)/SUMIF(C550:I550,"&lt;&gt;",'Потребление (МВт·ч)'!C550:I550),"")</s:f>
        <s:v>2509.1484213867316</s:v>
      </s:c>
      <s:c r="L550" s="6" t="n">
        <s:f>IF(COUNT(C550:I550)&gt;0,AVERAGE(C550:I550),"")</s:f>
        <s:v>2525.1936966666667</s:v>
      </s:c>
      <s:c r="M550" s="10" t="n">
        <s:f>COUNT(C550:I550)</s:f>
        <s:v>6</s:v>
      </s:c>
      <s:c r="N550" s="11" t="n">
        <s:f>IF(AND(COUNT('Потребление (МВт·ч)'!C550:I550)=7,SUM('Потребление (МВт·ч)'!C550:I550)&gt;0),SUMIF(C550:I550,"&lt;&gt;",'Потребление (МВт·ч)'!C550:I550)/SUM('Потребление (МВт·ч)'!C550:I550),"")</s:f>
        <s:v>0.961544412864135</s:v>
      </s:c>
    </s:row>
    <s:row r="551">
      <s:c r="A551" s="5" t="n">
        <s:v>46288</s:v>
      </s:c>
      <s:c r="B551" s="2" t="n">
        <s:v>18</s:v>
      </s:c>
      <s:c r="C551" s="6" t="n">
        <s:v>2148.00952</s:v>
      </s:c>
      <s:c r="D551" s="6" t="n">
        <s:v>2845.46387</s:v>
      </s:c>
      <s:c r="E551" s="6" t="n">
        <s:v>3050.52173</s:v>
      </s:c>
      <s:c r="F551" s="6" t="n">
        <s:v>2741.35864</s:v>
      </s:c>
      <s:c r="G551" s="6" t="n">
        <s:v>2273.4624</s:v>
      </s:c>
      <s:c r="H551" s="6" t="n">
        <s:v>1837.901</s:v>
      </s:c>
      <s:c r="I551" s="6" t="n"/>
      <s:c r="J551" s="6" t="str">
        <s:f>IF(AND(COUNT(C551:I551)=7,COUNT('Потребление (МВт·ч)'!C551:I551)=7,SUM('Потребление (МВт·ч)'!C551:I551)&gt;0),SUMPRODUCT(C551:I551,'Потребление (МВт·ч)'!C551:I551)/SUM('Потребление (МВт·ч)'!C551:I551),"")</s:f>
      </s:c>
      <s:c r="K551" s="6" t="n">
        <s:f>IF(SUMIF(C551:I551,"&lt;&gt;",'Потребление (МВт·ч)'!C551:I551)&gt;0,SUMPRODUCT(C551:I551,'Потребление (МВт·ч)'!C551:I551)/SUMIF(C551:I551,"&lt;&gt;",'Потребление (МВт·ч)'!C551:I551),"")</s:f>
        <s:v>2456.382150765827</s:v>
      </s:c>
      <s:c r="L551" s="6" t="n">
        <s:f>IF(COUNT(C551:I551)&gt;0,AVERAGE(C551:I551),"")</s:f>
        <s:v>2482.7861933333334</s:v>
      </s:c>
      <s:c r="M551" s="10" t="n">
        <s:f>COUNT(C551:I551)</s:f>
        <s:v>6</s:v>
      </s:c>
      <s:c r="N551" s="11" t="n">
        <s:f>IF(AND(COUNT('Потребление (МВт·ч)'!C551:I551)=7,SUM('Потребление (МВт·ч)'!C551:I551)&gt;0),SUMIF(C551:I551,"&lt;&gt;",'Потребление (МВт·ч)'!C551:I551)/SUM('Потребление (МВт·ч)'!C551:I551),"")</s:f>
        <s:v>0.9629569626815497</s:v>
      </s:c>
    </s:row>
    <s:row r="552">
      <s:c r="A552" s="5" t="n">
        <s:v>46288</s:v>
      </s:c>
      <s:c r="B552" s="2" t="n">
        <s:v>19</s:v>
      </s:c>
      <s:c r="C552" s="6" t="n">
        <s:v>1781.35864</s:v>
      </s:c>
      <s:c r="D552" s="6" t="n">
        <s:v>2803.45679</s:v>
      </s:c>
      <s:c r="E552" s="6" t="n">
        <s:v>3008.3103</s:v>
      </s:c>
      <s:c r="F552" s="6" t="n">
        <s:v>2644.75049</s:v>
      </s:c>
      <s:c r="G552" s="6" t="n">
        <s:v>1973.22864</s:v>
      </s:c>
      <s:c r="H552" s="6" t="n">
        <s:v>1664.605</s:v>
      </s:c>
      <s:c r="I552" s="6" t="n"/>
      <s:c r="J552" s="6" t="str">
        <s:f>IF(AND(COUNT(C552:I552)=7,COUNT('Потребление (МВт·ч)'!C552:I552)=7,SUM('Потребление (МВт·ч)'!C552:I552)&gt;0),SUMPRODUCT(C552:I552,'Потребление (МВт·ч)'!C552:I552)/SUM('Потребление (МВт·ч)'!C552:I552),"")</s:f>
      </s:c>
      <s:c r="K552" s="6" t="n">
        <s:f>IF(SUMIF(C552:I552,"&lt;&gt;",'Потребление (МВт·ч)'!C552:I552)&gt;0,SUMPRODUCT(C552:I552,'Потребление (МВт·ч)'!C552:I552)/SUMIF(C552:I552,"&lt;&gt;",'Потребление (МВт·ч)'!C552:I552),"")</s:f>
        <s:v>2293.306271033778</s:v>
      </s:c>
      <s:c r="L552" s="6" t="n">
        <s:f>IF(COUNT(C552:I552)&gt;0,AVERAGE(C552:I552),"")</s:f>
        <s:v>2312.61831</s:v>
      </s:c>
      <s:c r="M552" s="10" t="n">
        <s:f>COUNT(C552:I552)</s:f>
        <s:v>6</s:v>
      </s:c>
      <s:c r="N552" s="11" t="n">
        <s:f>IF(AND(COUNT('Потребление (МВт·ч)'!C552:I552)=7,SUM('Потребление (МВт·ч)'!C552:I552)&gt;0),SUMIF(C552:I552,"&lt;&gt;",'Потребление (МВт·ч)'!C552:I552)/SUM('Потребление (МВт·ч)'!C552:I552),"")</s:f>
        <s:v>0.9620938777195228</s:v>
      </s:c>
    </s:row>
    <s:row r="553">
      <s:c r="A553" s="5" t="n">
        <s:v>46288</s:v>
      </s:c>
      <s:c r="B553" s="2" t="n">
        <s:v>20</s:v>
      </s:c>
      <s:c r="C553" s="6" t="n">
        <s:v>2091.78882</s:v>
      </s:c>
      <s:c r="D553" s="6" t="n">
        <s:v>2811.48364</s:v>
      </s:c>
      <s:c r="E553" s="6" t="n">
        <s:v>2942.24048</s:v>
      </s:c>
      <s:c r="F553" s="6" t="n">
        <s:v>2627.07324</s:v>
      </s:c>
      <s:c r="G553" s="6" t="n">
        <s:v>1899.0177</s:v>
      </s:c>
      <s:c r="H553" s="6" t="n">
        <s:v>1607.64</s:v>
      </s:c>
      <s:c r="I553" s="6" t="n"/>
      <s:c r="J553" s="6" t="str">
        <s:f>IF(AND(COUNT(C553:I553)=7,COUNT('Потребление (МВт·ч)'!C553:I553)=7,SUM('Потребление (МВт·ч)'!C553:I553)&gt;0),SUMPRODUCT(C553:I553,'Потребление (МВт·ч)'!C553:I553)/SUM('Потребление (МВт·ч)'!C553:I553),"")</s:f>
      </s:c>
      <s:c r="K553" s="6" t="n">
        <s:f>IF(SUMIF(C553:I553,"&lt;&gt;",'Потребление (МВт·ч)'!C553:I553)&gt;0,SUMPRODUCT(C553:I553,'Потребление (МВт·ч)'!C553:I553)/SUMIF(C553:I553,"&lt;&gt;",'Потребление (МВт·ч)'!C553:I553),"")</s:f>
        <s:v>2286.53891685709</s:v>
      </s:c>
      <s:c r="L553" s="6" t="n">
        <s:f>IF(COUNT(C553:I553)&gt;0,AVERAGE(C553:I553),"")</s:f>
        <s:v>2329.87398</s:v>
      </s:c>
      <s:c r="M553" s="10" t="n">
        <s:f>COUNT(C553:I553)</s:f>
        <s:v>6</s:v>
      </s:c>
      <s:c r="N553" s="11" t="n">
        <s:f>IF(AND(COUNT('Потребление (МВт·ч)'!C553:I553)=7,SUM('Потребление (МВт·ч)'!C553:I553)&gt;0),SUMIF(C553:I553,"&lt;&gt;",'Потребление (МВт·ч)'!C553:I553)/SUM('Потребление (МВт·ч)'!C553:I553),"")</s:f>
        <s:v>0.9612701040681173</s:v>
      </s:c>
    </s:row>
    <s:row r="554">
      <s:c r="A554" s="5" t="n">
        <s:v>46288</s:v>
      </s:c>
      <s:c r="B554" s="2" t="n">
        <s:v>21</s:v>
      </s:c>
      <s:c r="C554" s="6" t="n">
        <s:v>1898.0957</s:v>
      </s:c>
      <s:c r="D554" s="6" t="n">
        <s:v>2123.35864</s:v>
      </s:c>
      <s:c r="E554" s="6" t="n">
        <s:v>2465.904</s:v>
      </s:c>
      <s:c r="F554" s="6" t="n">
        <s:v>2033.66785</s:v>
      </s:c>
      <s:c r="G554" s="6" t="n">
        <s:v>1802.55151</s:v>
      </s:c>
      <s:c r="H554" s="6" t="n">
        <s:v>1590.08057</s:v>
      </s:c>
      <s:c r="I554" s="6" t="n"/>
      <s:c r="J554" s="6" t="str">
        <s:f>IF(AND(COUNT(C554:I554)=7,COUNT('Потребление (МВт·ч)'!C554:I554)=7,SUM('Потребление (МВт·ч)'!C554:I554)&gt;0),SUMPRODUCT(C554:I554,'Потребление (МВт·ч)'!C554:I554)/SUM('Потребление (МВт·ч)'!C554:I554),"")</s:f>
      </s:c>
      <s:c r="K554" s="6" t="n">
        <s:f>IF(SUMIF(C554:I554,"&lt;&gt;",'Потребление (МВт·ч)'!C554:I554)&gt;0,SUMPRODUCT(C554:I554,'Потребление (МВт·ч)'!C554:I554)/SUMIF(C554:I554,"&lt;&gt;",'Потребление (МВт·ч)'!C554:I554),"")</s:f>
        <s:v>1945.4558240574481</s:v>
      </s:c>
      <s:c r="L554" s="6" t="n">
        <s:f>IF(COUNT(C554:I554)&gt;0,AVERAGE(C554:I554),"")</s:f>
        <s:v>1985.6097116666667</s:v>
      </s:c>
      <s:c r="M554" s="10" t="n">
        <s:f>COUNT(C554:I554)</s:f>
        <s:v>6</s:v>
      </s:c>
      <s:c r="N554" s="11" t="n">
        <s:f>IF(AND(COUNT('Потребление (МВт·ч)'!C554:I554)=7,SUM('Потребление (МВт·ч)'!C554:I554)&gt;0),SUMIF(C554:I554,"&lt;&gt;",'Потребление (МВт·ч)'!C554:I554)/SUM('Потребление (МВт·ч)'!C554:I554),"")</s:f>
        <s:v>0.9603209057599805</s:v>
      </s:c>
    </s:row>
    <s:row r="555">
      <s:c r="A555" s="5" t="n">
        <s:v>46288</s:v>
      </s:c>
      <s:c r="B555" s="2" t="n">
        <s:v>22</s:v>
      </s:c>
      <s:c r="C555" s="6" t="n">
        <s:v>1258.18311</s:v>
      </s:c>
      <s:c r="D555" s="6" t="n">
        <s:v>1455.27747</s:v>
      </s:c>
      <s:c r="E555" s="6" t="n">
        <s:v>2064.42847</s:v>
      </s:c>
      <s:c r="F555" s="6" t="n">
        <s:v>1481.919</s:v>
      </s:c>
      <s:c r="G555" s="6" t="n">
        <s:v>1350.6156</s:v>
      </s:c>
      <s:c r="H555" s="6" t="n">
        <s:v>1212.20618</s:v>
      </s:c>
      <s:c r="I555" s="6" t="n"/>
      <s:c r="J555" s="6" t="str">
        <s:f>IF(AND(COUNT(C555:I555)=7,COUNT('Потребление (МВт·ч)'!C555:I555)=7,SUM('Потребление (МВт·ч)'!C555:I555)&gt;0),SUMPRODUCT(C555:I555,'Потребление (МВт·ч)'!C555:I555)/SUM('Потребление (МВт·ч)'!C555:I555),"")</s:f>
      </s:c>
      <s:c r="K555" s="6" t="n">
        <s:f>IF(SUMIF(C555:I555,"&lt;&gt;",'Потребление (МВт·ч)'!C555:I555)&gt;0,SUMPRODUCT(C555:I555,'Потребление (МВт·ч)'!C555:I555)/SUMIF(C555:I555,"&lt;&gt;",'Потребление (МВт·ч)'!C555:I555),"")</s:f>
        <s:v>1422.756019821275</s:v>
      </s:c>
      <s:c r="L555" s="6" t="n">
        <s:f>IF(COUNT(C555:I555)&gt;0,AVERAGE(C555:I555),"")</s:f>
        <s:v>1470.438305</s:v>
      </s:c>
      <s:c r="M555" s="10" t="n">
        <s:f>COUNT(C555:I555)</s:f>
        <s:v>6</s:v>
      </s:c>
      <s:c r="N555" s="11" t="n">
        <s:f>IF(AND(COUNT('Потребление (МВт·ч)'!C555:I555)=7,SUM('Потребление (МВт·ч)'!C555:I555)&gt;0),SUMIF(C555:I555,"&lt;&gt;",'Потребление (МВт·ч)'!C555:I555)/SUM('Потребление (МВт·ч)'!C555:I555),"")</s:f>
        <s:v>0.9569137823440567</s:v>
      </s:c>
    </s:row>
    <s:row r="556">
      <s:c r="A556" s="5" t="n">
        <s:v>46288</s:v>
      </s:c>
      <s:c r="B556" s="2" t="n">
        <s:v>23</s:v>
      </s:c>
      <s:c r="C556" s="6" t="n">
        <s:v>185.21257</s:v>
      </s:c>
      <s:c r="D556" s="6" t="n">
        <s:v>1437.68579</s:v>
      </s:c>
      <s:c r="E556" s="6" t="n">
        <s:v>2023.481</s:v>
      </s:c>
      <s:c r="F556" s="6" t="n">
        <s:v>1441.56506</s:v>
      </s:c>
      <s:c r="G556" s="6" t="n">
        <s:v>1280.55334</s:v>
      </s:c>
      <s:c r="H556" s="6" t="n">
        <s:v>1222.22424</s:v>
      </s:c>
      <s:c r="I556" s="6" t="n"/>
      <s:c r="J556" s="6" t="str">
        <s:f>IF(AND(COUNT(C556:I556)=7,COUNT('Потребление (МВт·ч)'!C556:I556)=7,SUM('Потребление (МВт·ч)'!C556:I556)&gt;0),SUMPRODUCT(C556:I556,'Потребление (МВт·ч)'!C556:I556)/SUM('Потребление (МВт·ч)'!C556:I556),"")</s:f>
      </s:c>
      <s:c r="K556" s="6" t="n">
        <s:f>IF(SUMIF(C556:I556,"&lt;&gt;",'Потребление (МВт·ч)'!C556:I556)&gt;0,SUMPRODUCT(C556:I556,'Потребление (МВт·ч)'!C556:I556)/SUMIF(C556:I556,"&lt;&gt;",'Потребление (МВт·ч)'!C556:I556),"")</s:f>
        <s:v>1290.2188183849826</s:v>
      </s:c>
      <s:c r="L556" s="6" t="n">
        <s:f>IF(COUNT(C556:I556)&gt;0,AVERAGE(C556:I556),"")</s:f>
        <s:v>1265.1203333333333</s:v>
      </s:c>
      <s:c r="M556" s="10" t="n">
        <s:f>COUNT(C556:I556)</s:f>
        <s:v>6</s:v>
      </s:c>
      <s:c r="N556" s="11" t="n">
        <s:f>IF(AND(COUNT('Потребление (МВт·ч)'!C556:I556)=7,SUM('Потребление (МВт·ч)'!C556:I556)&gt;0),SUMIF(C556:I556,"&lt;&gt;",'Потребление (МВт·ч)'!C556:I556)/SUM('Потребление (МВт·ч)'!C556:I556),"")</s:f>
        <s:v>0.9535838214991977</s:v>
      </s:c>
    </s:row>
    <s:row r="557">
      <s:c r="A557" s="5" t="n">
        <s:v>46289</s:v>
      </s:c>
      <s:c r="B557" s="2" t="n">
        <s:v>0</s:v>
      </s:c>
      <s:c r="C557" s="6" t="n">
        <s:v>218.29335</s:v>
      </s:c>
      <s:c r="D557" s="6" t="n">
        <s:v>1479.07886</s:v>
      </s:c>
      <s:c r="E557" s="6" t="n">
        <s:v>2037.48828</s:v>
      </s:c>
      <s:c r="F557" s="6" t="n">
        <s:v>1464.01477</s:v>
      </s:c>
      <s:c r="G557" s="6" t="n">
        <s:v>1328.17529</s:v>
      </s:c>
      <s:c r="H557" s="6" t="n">
        <s:v>889.427368</s:v>
      </s:c>
      <s:c r="I557" s="6" t="n"/>
      <s:c r="J557" s="6" t="str">
        <s:f>IF(AND(COUNT(C557:I557)=7,COUNT('Потребление (МВт·ч)'!C557:I557)=7,SUM('Потребление (МВт·ч)'!C557:I557)&gt;0),SUMPRODUCT(C557:I557,'Потребление (МВт·ч)'!C557:I557)/SUM('Потребление (МВт·ч)'!C557:I557),"")</s:f>
      </s:c>
      <s:c r="K557" s="6" t="n">
        <s:f>IF(SUMIF(C557:I557,"&lt;&gt;",'Потребление (МВт·ч)'!C557:I557)&gt;0,SUMPRODUCT(C557:I557,'Потребление (МВт·ч)'!C557:I557)/SUMIF(C557:I557,"&lt;&gt;",'Потребление (МВт·ч)'!C557:I557),"")</s:f>
        <s:v>1241.164855805236</s:v>
      </s:c>
      <s:c r="L557" s="6" t="n">
        <s:f>IF(COUNT(C557:I557)&gt;0,AVERAGE(C557:I557),"")</s:f>
        <s:v>1236.079653</s:v>
      </s:c>
      <s:c r="M557" s="10" t="n">
        <s:f>COUNT(C557:I557)</s:f>
        <s:v>6</s:v>
      </s:c>
      <s:c r="N557" s="11" t="n">
        <s:f>IF(AND(COUNT('Потребление (МВт·ч)'!C557:I557)=7,SUM('Потребление (МВт·ч)'!C557:I557)&gt;0),SUMIF(C557:I557,"&lt;&gt;",'Потребление (МВт·ч)'!C557:I557)/SUM('Потребление (МВт·ч)'!C557:I557),"")</s:f>
        <s:v>0.9513137852246764</s:v>
      </s:c>
    </s:row>
    <s:row r="558">
      <s:c r="A558" s="5" t="n">
        <s:v>46289</s:v>
      </s:c>
      <s:c r="B558" s="2" t="n">
        <s:v>1</s:v>
      </s:c>
      <s:c r="C558" s="6" t="n">
        <s:v>1190.099</s:v>
      </s:c>
      <s:c r="D558" s="6" t="n">
        <s:v>1318.64587</s:v>
      </s:c>
      <s:c r="E558" s="6" t="n">
        <s:v>1341.90039</s:v>
      </s:c>
      <s:c r="F558" s="6" t="n">
        <s:v>1336.40491</s:v>
      </s:c>
      <s:c r="G558" s="6" t="n">
        <s:v>1263.992</s:v>
      </s:c>
      <s:c r="H558" s="6" t="n">
        <s:v>853.8972</s:v>
      </s:c>
      <s:c r="I558" s="6" t="n"/>
      <s:c r="J558" s="6" t="str">
        <s:f>IF(AND(COUNT(C558:I558)=7,COUNT('Потребление (МВт·ч)'!C558:I558)=7,SUM('Потребление (МВт·ч)'!C558:I558)&gt;0),SUMPRODUCT(C558:I558,'Потребление (МВт·ч)'!C558:I558)/SUM('Потребление (МВт·ч)'!C558:I558),"")</s:f>
      </s:c>
      <s:c r="K558" s="6" t="n">
        <s:f>IF(SUMIF(C558:I558,"&lt;&gt;",'Потребление (МВт·ч)'!C558:I558)&gt;0,SUMPRODUCT(C558:I558,'Потребление (МВт·ч)'!C558:I558)/SUMIF(C558:I558,"&lt;&gt;",'Потребление (МВт·ч)'!C558:I558),"")</s:f>
        <s:v>1187.1218456252914</s:v>
      </s:c>
      <s:c r="L558" s="6" t="n">
        <s:f>IF(COUNT(C558:I558)&gt;0,AVERAGE(C558:I558),"")</s:f>
        <s:v>1217.4898950000002</s:v>
      </s:c>
      <s:c r="M558" s="10" t="n">
        <s:f>COUNT(C558:I558)</s:f>
        <s:v>6</s:v>
      </s:c>
      <s:c r="N558" s="11" t="n">
        <s:f>IF(AND(COUNT('Потребление (МВт·ч)'!C558:I558)=7,SUM('Потребление (МВт·ч)'!C558:I558)&gt;0),SUMIF(C558:I558,"&lt;&gt;",'Потребление (МВт·ч)'!C558:I558)/SUM('Потребление (МВт·ч)'!C558:I558),"")</s:f>
        <s:v>0.9498127485053576</s:v>
      </s:c>
    </s:row>
    <s:row r="559">
      <s:c r="A559" s="5" t="n">
        <s:v>46289</s:v>
      </s:c>
      <s:c r="B559" s="2" t="n">
        <s:v>2</s:v>
      </s:c>
      <s:c r="C559" s="6" t="n">
        <s:v>1195.49353</s:v>
      </s:c>
      <s:c r="D559" s="6" t="n">
        <s:v>1337.1665</s:v>
      </s:c>
      <s:c r="E559" s="6" t="n">
        <s:v>1339.89844</s:v>
      </s:c>
      <s:c r="F559" s="6" t="n">
        <s:v>1367.812</s:v>
      </s:c>
      <s:c r="G559" s="6" t="n">
        <s:v>1332.16077</s:v>
      </s:c>
      <s:c r="H559" s="6" t="n">
        <s:v>1082.80493</s:v>
      </s:c>
      <s:c r="I559" s="6" t="n"/>
      <s:c r="J559" s="6" t="str">
        <s:f>IF(AND(COUNT(C559:I559)=7,COUNT('Потребление (МВт·ч)'!C559:I559)=7,SUM('Потребление (МВт·ч)'!C559:I559)&gt;0),SUMPRODUCT(C559:I559,'Потребление (МВт·ч)'!C559:I559)/SUM('Потребление (МВт·ч)'!C559:I559),"")</s:f>
      </s:c>
      <s:c r="K559" s="6" t="n">
        <s:f>IF(SUMIF(C559:I559,"&lt;&gt;",'Потребление (МВт·ч)'!C559:I559)&gt;0,SUMPRODUCT(C559:I559,'Потребление (МВт·ч)'!C559:I559)/SUMIF(C559:I559,"&lt;&gt;",'Потребление (МВт·ч)'!C559:I559),"")</s:f>
        <s:v>1263.7334919766436</s:v>
      </s:c>
      <s:c r="L559" s="6" t="n">
        <s:f>IF(COUNT(C559:I559)&gt;0,AVERAGE(C559:I559),"")</s:f>
        <s:v>1275.8893616666667</s:v>
      </s:c>
      <s:c r="M559" s="10" t="n">
        <s:f>COUNT(C559:I559)</s:f>
        <s:v>6</s:v>
      </s:c>
      <s:c r="N559" s="11" t="n">
        <s:f>IF(AND(COUNT('Потребление (МВт·ч)'!C559:I559)=7,SUM('Потребление (МВт·ч)'!C559:I559)&gt;0),SUMIF(C559:I559,"&lt;&gt;",'Потребление (МВт·ч)'!C559:I559)/SUM('Потребление (МВт·ч)'!C559:I559),"")</s:f>
        <s:v>0.9487798593283262</s:v>
      </s:c>
    </s:row>
    <s:row r="560">
      <s:c r="A560" s="5" t="n">
        <s:v>46289</s:v>
      </s:c>
      <s:c r="B560" s="2" t="n">
        <s:v>3</s:v>
      </s:c>
      <s:c r="C560" s="6" t="n">
        <s:v>1194.84375</s:v>
      </s:c>
      <s:c r="D560" s="6" t="n">
        <s:v>1333.7821</s:v>
      </s:c>
      <s:c r="E560" s="6" t="n">
        <s:v>1326.89673</s:v>
      </s:c>
      <s:c r="F560" s="6" t="n">
        <s:v>1366.79919</s:v>
      </s:c>
      <s:c r="G560" s="6" t="n">
        <s:v>1334.62769</s:v>
      </s:c>
      <s:c r="H560" s="6" t="n">
        <s:v>993.783447</s:v>
      </s:c>
      <s:c r="I560" s="6" t="n"/>
      <s:c r="J560" s="6" t="str">
        <s:f>IF(AND(COUNT(C560:I560)=7,COUNT('Потребление (МВт·ч)'!C560:I560)=7,SUM('Потребление (МВт·ч)'!C560:I560)&gt;0),SUMPRODUCT(C560:I560,'Потребление (МВт·ч)'!C560:I560)/SUM('Потребление (МВт·ч)'!C560:I560),"")</s:f>
      </s:c>
      <s:c r="K560" s="6" t="n">
        <s:f>IF(SUMIF(C560:I560,"&lt;&gt;",'Потребление (МВт·ч)'!C560:I560)&gt;0,SUMPRODUCT(C560:I560,'Потребление (МВт·ч)'!C560:I560)/SUMIF(C560:I560,"&lt;&gt;",'Потребление (МВт·ч)'!C560:I560),"")</s:f>
        <s:v>1240.1145650023946</s:v>
      </s:c>
      <s:c r="L560" s="6" t="n">
        <s:f>IF(COUNT(C560:I560)&gt;0,AVERAGE(C560:I560),"")</s:f>
        <s:v>1258.4554845</s:v>
      </s:c>
      <s:c r="M560" s="10" t="n">
        <s:f>COUNT(C560:I560)</s:f>
        <s:v>6</s:v>
      </s:c>
      <s:c r="N560" s="11" t="n">
        <s:f>IF(AND(COUNT('Потребление (МВт·ч)'!C560:I560)=7,SUM('Потребление (МВт·ч)'!C560:I560)&gt;0),SUMIF(C560:I560,"&lt;&gt;",'Потребление (МВт·ч)'!C560:I560)/SUM('Потребление (МВт·ч)'!C560:I560),"")</s:f>
        <s:v>0.9503337427752545</s:v>
      </s:c>
    </s:row>
    <s:row r="561">
      <s:c r="A561" s="5" t="n">
        <s:v>46289</s:v>
      </s:c>
      <s:c r="B561" s="2" t="n">
        <s:v>4</s:v>
      </s:c>
      <s:c r="C561" s="6" t="n">
        <s:v>1479.551</s:v>
      </s:c>
      <s:c r="D561" s="6" t="n">
        <s:v>1657.62537</s:v>
      </s:c>
      <s:c r="E561" s="6" t="n">
        <s:v>1680.32361</s:v>
      </s:c>
      <s:c r="F561" s="6" t="n">
        <s:v>1734.37</s:v>
      </s:c>
      <s:c r="G561" s="6" t="n">
        <s:v>1641.87158</s:v>
      </s:c>
      <s:c r="H561" s="6" t="n">
        <s:v>1070.336</s:v>
      </s:c>
      <s:c r="I561" s="6" t="n"/>
      <s:c r="J561" s="6" t="str">
        <s:f>IF(AND(COUNT(C561:I561)=7,COUNT('Потребление (МВт·ч)'!C561:I561)=7,SUM('Потребление (МВт·ч)'!C561:I561)&gt;0),SUMPRODUCT(C561:I561,'Потребление (МВт·ч)'!C561:I561)/SUM('Потребление (МВт·ч)'!C561:I561),"")</s:f>
      </s:c>
      <s:c r="K561" s="6" t="n">
        <s:f>IF(SUMIF(C561:I561,"&lt;&gt;",'Потребление (МВт·ч)'!C561:I561)&gt;0,SUMPRODUCT(C561:I561,'Потребление (МВт·ч)'!C561:I561)/SUMIF(C561:I561,"&lt;&gt;",'Потребление (МВт·ч)'!C561:I561),"")</s:f>
        <s:v>1504.0306154089772</s:v>
      </s:c>
      <s:c r="L561" s="6" t="n">
        <s:f>IF(COUNT(C561:I561)&gt;0,AVERAGE(C561:I561),"")</s:f>
        <s:v>1544.0129266666665</s:v>
      </s:c>
      <s:c r="M561" s="10" t="n">
        <s:f>COUNT(C561:I561)</s:f>
        <s:v>6</s:v>
      </s:c>
      <s:c r="N561" s="11" t="n">
        <s:f>IF(AND(COUNT('Потребление (МВт·ч)'!C561:I561)=7,SUM('Потребление (МВт·ч)'!C561:I561)&gt;0),SUMIF(C561:I561,"&lt;&gt;",'Потребление (МВт·ч)'!C561:I561)/SUM('Потребление (МВт·ч)'!C561:I561),"")</s:f>
        <s:v>0.9512999720436119</s:v>
      </s:c>
    </s:row>
    <s:row r="562">
      <s:c r="A562" s="5" t="n">
        <s:v>46289</s:v>
      </s:c>
      <s:c r="B562" s="2" t="n">
        <s:v>5</s:v>
      </s:c>
      <s:c r="C562" s="6" t="n">
        <s:v>1476.85645</s:v>
      </s:c>
      <s:c r="D562" s="6" t="n">
        <s:v>1960.43469</s:v>
      </s:c>
      <s:c r="E562" s="6" t="n">
        <s:v>1949.61621</s:v>
      </s:c>
      <s:c r="F562" s="6" t="n">
        <s:v>2003.60059</s:v>
      </s:c>
      <s:c r="G562" s="6" t="n">
        <s:v>1847.69238</s:v>
      </s:c>
      <s:c r="H562" s="6" t="n">
        <s:v>1381.80542</s:v>
      </s:c>
      <s:c r="I562" s="6" t="n"/>
      <s:c r="J562" s="6" t="str">
        <s:f>IF(AND(COUNT(C562:I562)=7,COUNT('Потребление (МВт·ч)'!C562:I562)=7,SUM('Потребление (МВт·ч)'!C562:I562)&gt;0),SUMPRODUCT(C562:I562,'Потребление (МВт·ч)'!C562:I562)/SUM('Потребление (МВт·ч)'!C562:I562),"")</s:f>
      </s:c>
      <s:c r="K562" s="6" t="n">
        <s:f>IF(SUMIF(C562:I562,"&lt;&gt;",'Потребление (МВт·ч)'!C562:I562)&gt;0,SUMPRODUCT(C562:I562,'Потребление (МВт·ч)'!C562:I562)/SUMIF(C562:I562,"&lt;&gt;",'Потребление (МВт·ч)'!C562:I562),"")</s:f>
        <s:v>1754.7868986169647</s:v>
      </s:c>
      <s:c r="L562" s="6" t="n">
        <s:f>IF(COUNT(C562:I562)&gt;0,AVERAGE(C562:I562),"")</s:f>
        <s:v>1770.0009566666668</s:v>
      </s:c>
      <s:c r="M562" s="10" t="n">
        <s:f>COUNT(C562:I562)</s:f>
        <s:v>6</s:v>
      </s:c>
      <s:c r="N562" s="11" t="n">
        <s:f>IF(AND(COUNT('Потребление (МВт·ч)'!C562:I562)=7,SUM('Потребление (МВт·ч)'!C562:I562)&gt;0),SUMIF(C562:I562,"&lt;&gt;",'Потребление (МВт·ч)'!C562:I562)/SUM('Потребление (МВт·ч)'!C562:I562),"")</s:f>
        <s:v>0.952685838307108</s:v>
      </s:c>
    </s:row>
    <s:row r="563">
      <s:c r="A563" s="5" t="n">
        <s:v>46289</s:v>
      </s:c>
      <s:c r="B563" s="2" t="n">
        <s:v>6</s:v>
      </s:c>
      <s:c r="C563" s="6" t="n">
        <s:v>1547.89832</s:v>
      </s:c>
      <s:c r="D563" s="6" t="n">
        <s:v>2062.01929</s:v>
      </s:c>
      <s:c r="E563" s="6" t="n">
        <s:v>2132.7</s:v>
      </s:c>
      <s:c r="F563" s="6" t="n">
        <s:v>2128.10962</s:v>
      </s:c>
      <s:c r="G563" s="6" t="n">
        <s:v>1787.89111</s:v>
      </s:c>
      <s:c r="H563" s="6" t="n">
        <s:v>1097.28552</s:v>
      </s:c>
      <s:c r="I563" s="6" t="n"/>
      <s:c r="J563" s="6" t="str">
        <s:f>IF(AND(COUNT(C563:I563)=7,COUNT('Потребление (МВт·ч)'!C563:I563)=7,SUM('Потребление (МВт·ч)'!C563:I563)&gt;0),SUMPRODUCT(C563:I563,'Потребление (МВт·ч)'!C563:I563)/SUM('Потребление (МВт·ч)'!C563:I563),"")</s:f>
      </s:c>
      <s:c r="K563" s="6" t="n">
        <s:f>IF(SUMIF(C563:I563,"&lt;&gt;",'Потребление (МВт·ч)'!C563:I563)&gt;0,SUMPRODUCT(C563:I563,'Потребление (МВт·ч)'!C563:I563)/SUMIF(C563:I563,"&lt;&gt;",'Потребление (МВт·ч)'!C563:I563),"")</s:f>
        <s:v>1743.8310027822663</s:v>
      </s:c>
      <s:c r="L563" s="6" t="n">
        <s:f>IF(COUNT(C563:I563)&gt;0,AVERAGE(C563:I563),"")</s:f>
        <s:v>1792.6506433333334</s:v>
      </s:c>
      <s:c r="M563" s="10" t="n">
        <s:f>COUNT(C563:I563)</s:f>
        <s:v>6</s:v>
      </s:c>
      <s:c r="N563" s="11" t="n">
        <s:f>IF(AND(COUNT('Потребление (МВт·ч)'!C563:I563)=7,SUM('Потребление (МВт·ч)'!C563:I563)&gt;0),SUMIF(C563:I563,"&lt;&gt;",'Потребление (МВт·ч)'!C563:I563)/SUM('Потребление (МВт·ч)'!C563:I563),"")</s:f>
        <s:v>0.9547839776106349</s:v>
      </s:c>
    </s:row>
    <s:row r="564">
      <s:c r="A564" s="5" t="n">
        <s:v>46289</s:v>
      </s:c>
      <s:c r="B564" s="2" t="n">
        <s:v>7</s:v>
      </s:c>
      <s:c r="C564" s="6" t="n">
        <s:v>1885.85266</s:v>
      </s:c>
      <s:c r="D564" s="6" t="n">
        <s:v>2508.82886</s:v>
      </s:c>
      <s:c r="E564" s="6" t="n">
        <s:v>2596.21631</s:v>
      </s:c>
      <s:c r="F564" s="6" t="n">
        <s:v>2525.19922</s:v>
      </s:c>
      <s:c r="G564" s="6" t="n">
        <s:v>2197.19751</s:v>
      </s:c>
      <s:c r="H564" s="6" t="n">
        <s:v>1073.74841</s:v>
      </s:c>
      <s:c r="I564" s="6" t="n"/>
      <s:c r="J564" s="6" t="str">
        <s:f>IF(AND(COUNT(C564:I564)=7,COUNT('Потребление (МВт·ч)'!C564:I564)=7,SUM('Потребление (МВт·ч)'!C564:I564)&gt;0),SUMPRODUCT(C564:I564,'Потребление (МВт·ч)'!C564:I564)/SUM('Потребление (МВт·ч)'!C564:I564),"")</s:f>
      </s:c>
      <s:c r="K564" s="6" t="n">
        <s:f>IF(SUMIF(C564:I564,"&lt;&gt;",'Потребление (МВт·ч)'!C564:I564)&gt;0,SUMPRODUCT(C564:I564,'Потребление (МВт·ч)'!C564:I564)/SUMIF(C564:I564,"&lt;&gt;",'Потребление (МВт·ч)'!C564:I564),"")</s:f>
        <s:v>2077.2261694898957</s:v>
      </s:c>
      <s:c r="L564" s="6" t="n">
        <s:f>IF(COUNT(C564:I564)&gt;0,AVERAGE(C564:I564),"")</s:f>
        <s:v>2131.1738283333334</s:v>
      </s:c>
      <s:c r="M564" s="10" t="n">
        <s:f>COUNT(C564:I564)</s:f>
        <s:v>6</s:v>
      </s:c>
      <s:c r="N564" s="11" t="n">
        <s:f>IF(AND(COUNT('Потребление (МВт·ч)'!C564:I564)=7,SUM('Потребление (МВт·ч)'!C564:I564)&gt;0),SUMIF(C564:I564,"&lt;&gt;",'Потребление (МВт·ч)'!C564:I564)/SUM('Потребление (МВт·ч)'!C564:I564),"")</s:f>
        <s:v>0.9563165201295697</s:v>
      </s:c>
    </s:row>
    <s:row r="565">
      <s:c r="A565" s="5" t="n">
        <s:v>46289</s:v>
      </s:c>
      <s:c r="B565" s="2" t="n">
        <s:v>8</s:v>
      </s:c>
      <s:c r="C565" s="6" t="n">
        <s:v>2319.716</s:v>
      </s:c>
      <s:c r="D565" s="6" t="n">
        <s:v>2722.48169</s:v>
      </s:c>
      <s:c r="E565" s="6" t="n">
        <s:v>2784.24365</s:v>
      </s:c>
      <s:c r="F565" s="6" t="n">
        <s:v>2645.38647</s:v>
      </s:c>
      <s:c r="G565" s="6" t="n">
        <s:v>2213.577</s:v>
      </s:c>
      <s:c r="H565" s="6" t="n">
        <s:v>1054.01135</s:v>
      </s:c>
      <s:c r="I565" s="6" t="n"/>
      <s:c r="J565" s="6" t="str">
        <s:f>IF(AND(COUNT(C565:I565)=7,COUNT('Потребление (МВт·ч)'!C565:I565)=7,SUM('Потребление (МВт·ч)'!C565:I565)&gt;0),SUMPRODUCT(C565:I565,'Потребление (МВт·ч)'!C565:I565)/SUM('Потребление (МВт·ч)'!C565:I565),"")</s:f>
      </s:c>
      <s:c r="K565" s="6" t="n">
        <s:f>IF(SUMIF(C565:I565,"&lt;&gt;",'Потребление (МВт·ч)'!C565:I565)&gt;0,SUMPRODUCT(C565:I565,'Потребление (МВт·ч)'!C565:I565)/SUMIF(C565:I565,"&lt;&gt;",'Потребление (МВт·ч)'!C565:I565),"")</s:f>
        <s:v>2209.721894846226</s:v>
      </s:c>
      <s:c r="L565" s="6" t="n">
        <s:f>IF(COUNT(C565:I565)&gt;0,AVERAGE(C565:I565),"")</s:f>
        <s:v>2289.9026933333334</s:v>
      </s:c>
      <s:c r="M565" s="10" t="n">
        <s:f>COUNT(C565:I565)</s:f>
        <s:v>6</s:v>
      </s:c>
      <s:c r="N565" s="11" t="n">
        <s:f>IF(AND(COUNT('Потребление (МВт·ч)'!C565:I565)=7,SUM('Потребление (МВт·ч)'!C565:I565)&gt;0),SUMIF(C565:I565,"&lt;&gt;",'Потребление (МВт·ч)'!C565:I565)/SUM('Потребление (МВт·ч)'!C565:I565),"")</s:f>
        <s:v>0.958175339958159</s:v>
      </s:c>
    </s:row>
    <s:row r="566">
      <s:c r="A566" s="5" t="n">
        <s:v>46289</s:v>
      </s:c>
      <s:c r="B566" s="2" t="n">
        <s:v>9</s:v>
      </s:c>
      <s:c r="C566" s="6" t="n">
        <s:v>2382.70117</s:v>
      </s:c>
      <s:c r="D566" s="6" t="n">
        <s:v>2823.45728</s:v>
      </s:c>
      <s:c r="E566" s="6" t="n">
        <s:v>2637.67114</s:v>
      </s:c>
      <s:c r="F566" s="6" t="n">
        <s:v>2716.16748</s:v>
      </s:c>
      <s:c r="G566" s="6" t="n">
        <s:v>2248.50732</s:v>
      </s:c>
      <s:c r="H566" s="6" t="n">
        <s:v>1093.29309</s:v>
      </s:c>
      <s:c r="I566" s="6" t="n"/>
      <s:c r="J566" s="6" t="str">
        <s:f>IF(AND(COUNT(C566:I566)=7,COUNT('Потребление (МВт·ч)'!C566:I566)=7,SUM('Потребление (МВт·ч)'!C566:I566)&gt;0),SUMPRODUCT(C566:I566,'Потребление (МВт·ч)'!C566:I566)/SUM('Потребление (МВт·ч)'!C566:I566),"")</s:f>
      </s:c>
      <s:c r="K566" s="6" t="n">
        <s:f>IF(SUMIF(C566:I566,"&lt;&gt;",'Потребление (МВт·ч)'!C566:I566)&gt;0,SUMPRODUCT(C566:I566,'Потребление (МВт·ч)'!C566:I566)/SUMIF(C566:I566,"&lt;&gt;",'Потребление (МВт·ч)'!C566:I566),"")</s:f>
        <s:v>2253.9445072953386</s:v>
      </s:c>
      <s:c r="L566" s="6" t="n">
        <s:f>IF(COUNT(C566:I566)&gt;0,AVERAGE(C566:I566),"")</s:f>
        <s:v>2316.9662466666664</s:v>
      </s:c>
      <s:c r="M566" s="10" t="n">
        <s:f>COUNT(C566:I566)</s:f>
        <s:v>6</s:v>
      </s:c>
      <s:c r="N566" s="11" t="n">
        <s:f>IF(AND(COUNT('Потребление (МВт·ч)'!C566:I566)=7,SUM('Потребление (МВт·ч)'!C566:I566)&gt;0),SUMIF(C566:I566,"&lt;&gt;",'Потребление (МВт·ч)'!C566:I566)/SUM('Потребление (МВт·ч)'!C566:I566),"")</s:f>
        <s:v>0.9586531539911192</s:v>
      </s:c>
    </s:row>
    <s:row r="567">
      <s:c r="A567" s="5" t="n">
        <s:v>46289</s:v>
      </s:c>
      <s:c r="B567" s="2" t="n">
        <s:v>10</s:v>
      </s:c>
      <s:c r="C567" s="6" t="n">
        <s:v>2222.23975</s:v>
      </s:c>
      <s:c r="D567" s="6" t="n">
        <s:v>2845.48242</s:v>
      </s:c>
      <s:c r="E567" s="6" t="n">
        <s:v>2710.88062</s:v>
      </s:c>
      <s:c r="F567" s="6" t="n">
        <s:v>2766.98364</s:v>
      </s:c>
      <s:c r="G567" s="6" t="n">
        <s:v>2286.575</s:v>
      </s:c>
      <s:c r="H567" s="6" t="n">
        <s:v>1152.661</s:v>
      </s:c>
      <s:c r="I567" s="6" t="n"/>
      <s:c r="J567" s="6" t="str">
        <s:f>IF(AND(COUNT(C567:I567)=7,COUNT('Потребление (МВт·ч)'!C567:I567)=7,SUM('Потребление (МВт·ч)'!C567:I567)&gt;0),SUMPRODUCT(C567:I567,'Потребление (МВт·ч)'!C567:I567)/SUM('Потребление (МВт·ч)'!C567:I567),"")</s:f>
      </s:c>
      <s:c r="K567" s="6" t="n">
        <s:f>IF(SUMIF(C567:I567,"&lt;&gt;",'Потребление (МВт·ч)'!C567:I567)&gt;0,SUMPRODUCT(C567:I567,'Потребление (МВт·ч)'!C567:I567)/SUMIF(C567:I567,"&lt;&gt;",'Потребление (МВт·ч)'!C567:I567),"")</s:f>
        <s:v>2278.8488122899744</s:v>
      </s:c>
      <s:c r="L567" s="6" t="n">
        <s:f>IF(COUNT(C567:I567)&gt;0,AVERAGE(C567:I567),"")</s:f>
        <s:v>2330.8037383333335</s:v>
      </s:c>
      <s:c r="M567" s="10" t="n">
        <s:f>COUNT(C567:I567)</s:f>
        <s:v>6</s:v>
      </s:c>
      <s:c r="N567" s="11" t="n">
        <s:f>IF(AND(COUNT('Потребление (МВт·ч)'!C567:I567)=7,SUM('Потребление (МВт·ч)'!C567:I567)&gt;0),SUMIF(C567:I567,"&lt;&gt;",'Потребление (МВт·ч)'!C567:I567)/SUM('Потребление (МВт·ч)'!C567:I567),"")</s:f>
        <s:v>0.9582329903427473</s:v>
      </s:c>
    </s:row>
    <s:row r="568">
      <s:c r="A568" s="5" t="n">
        <s:v>46289</s:v>
      </s:c>
      <s:c r="B568" s="2" t="n">
        <s:v>11</s:v>
      </s:c>
      <s:c r="C568" s="6" t="n">
        <s:v>2196.59</s:v>
      </s:c>
      <s:c r="D568" s="6" t="n">
        <s:v>2798.49414</s:v>
      </s:c>
      <s:c r="E568" s="6" t="n">
        <s:v>2886.62549</s:v>
      </s:c>
      <s:c r="F568" s="6" t="n">
        <s:v>2734.70166</s:v>
      </s:c>
      <s:c r="G568" s="6" t="n">
        <s:v>2245.64648</s:v>
      </s:c>
      <s:c r="H568" s="6" t="n">
        <s:v>791.801331</s:v>
      </s:c>
      <s:c r="I568" s="6" t="n"/>
      <s:c r="J568" s="6" t="str">
        <s:f>IF(AND(COUNT(C568:I568)=7,COUNT('Потребление (МВт·ч)'!C568:I568)=7,SUM('Потребление (МВт·ч)'!C568:I568)&gt;0),SUMPRODUCT(C568:I568,'Потребление (МВт·ч)'!C568:I568)/SUM('Потребление (МВт·ч)'!C568:I568),"")</s:f>
      </s:c>
      <s:c r="K568" s="6" t="n">
        <s:f>IF(SUMIF(C568:I568,"&lt;&gt;",'Потребление (МВт·ч)'!C568:I568)&gt;0,SUMPRODUCT(C568:I568,'Потребление (МВт·ч)'!C568:I568)/SUMIF(C568:I568,"&lt;&gt;",'Потребление (МВт·ч)'!C568:I568),"")</s:f>
        <s:v>2200.868364784538</s:v>
      </s:c>
      <s:c r="L568" s="6" t="n">
        <s:f>IF(COUNT(C568:I568)&gt;0,AVERAGE(C568:I568),"")</s:f>
        <s:v>2275.6431835</s:v>
      </s:c>
      <s:c r="M568" s="10" t="n">
        <s:f>COUNT(C568:I568)</s:f>
        <s:v>6</s:v>
      </s:c>
      <s:c r="N568" s="11" t="n">
        <s:f>IF(AND(COUNT('Потребление (МВт·ч)'!C568:I568)=7,SUM('Потребление (МВт·ч)'!C568:I568)&gt;0),SUMIF(C568:I568,"&lt;&gt;",'Потребление (МВт·ч)'!C568:I568)/SUM('Потребление (МВт·ч)'!C568:I568),"")</s:f>
        <s:v>0.9573694189254066</s:v>
      </s:c>
    </s:row>
    <s:row r="569">
      <s:c r="A569" s="5" t="n">
        <s:v>46289</s:v>
      </s:c>
      <s:c r="B569" s="2" t="n">
        <s:v>12</s:v>
      </s:c>
      <s:c r="C569" s="6" t="n">
        <s:v>2196.89819</s:v>
      </s:c>
      <s:c r="D569" s="6" t="n">
        <s:v>2758.29639</s:v>
      </s:c>
      <s:c r="E569" s="6" t="n">
        <s:v>2817.05542</s:v>
      </s:c>
      <s:c r="F569" s="6" t="n">
        <s:v>2697.83081</s:v>
      </s:c>
      <s:c r="G569" s="6" t="n">
        <s:v>2236.99878</s:v>
      </s:c>
      <s:c r="H569" s="6" t="n">
        <s:v>940.1486</s:v>
      </s:c>
      <s:c r="I569" s="6" t="n"/>
      <s:c r="J569" s="6" t="str">
        <s:f>IF(AND(COUNT(C569:I569)=7,COUNT('Потребление (МВт·ч)'!C569:I569)=7,SUM('Потребление (МВт·ч)'!C569:I569)&gt;0),SUMPRODUCT(C569:I569,'Потребление (МВт·ч)'!C569:I569)/SUM('Потребление (МВт·ч)'!C569:I569),"")</s:f>
      </s:c>
      <s:c r="K569" s="6" t="n">
        <s:f>IF(SUMIF(C569:I569,"&lt;&gt;",'Потребление (МВт·ч)'!C569:I569)&gt;0,SUMPRODUCT(C569:I569,'Потребление (МВт·ч)'!C569:I569)/SUMIF(C569:I569,"&lt;&gt;",'Потребление (МВт·ч)'!C569:I569),"")</s:f>
        <s:v>2207.3376115438414</s:v>
      </s:c>
      <s:c r="L569" s="6" t="n">
        <s:f>IF(COUNT(C569:I569)&gt;0,AVERAGE(C569:I569),"")</s:f>
        <s:v>2274.5380316666665</s:v>
      </s:c>
      <s:c r="M569" s="10" t="n">
        <s:f>COUNT(C569:I569)</s:f>
        <s:v>6</s:v>
      </s:c>
      <s:c r="N569" s="11" t="n">
        <s:f>IF(AND(COUNT('Потребление (МВт·ч)'!C569:I569)=7,SUM('Потребление (МВт·ч)'!C569:I569)&gt;0),SUMIF(C569:I569,"&lt;&gt;",'Потребление (МВт·ч)'!C569:I569)/SUM('Потребление (МВт·ч)'!C569:I569),"")</s:f>
        <s:v>0.9559530772730227</s:v>
      </s:c>
    </s:row>
    <s:row r="570">
      <s:c r="A570" s="5" t="n">
        <s:v>46289</s:v>
      </s:c>
      <s:c r="B570" s="2" t="n">
        <s:v>13</s:v>
      </s:c>
      <s:c r="C570" s="6" t="n">
        <s:v>2392.72925</s:v>
      </s:c>
      <s:c r="D570" s="6" t="n">
        <s:v>2860.08765</s:v>
      </s:c>
      <s:c r="E570" s="6" t="n">
        <s:v>2869.22461</s:v>
      </s:c>
      <s:c r="F570" s="6" t="n">
        <s:v>2763.79639</s:v>
      </s:c>
      <s:c r="G570" s="6" t="n">
        <s:v>2367.84375</s:v>
      </s:c>
      <s:c r="H570" s="6" t="n">
        <s:v>1259.73376</s:v>
      </s:c>
      <s:c r="I570" s="6" t="n"/>
      <s:c r="J570" s="6" t="str">
        <s:f>IF(AND(COUNT(C570:I570)=7,COUNT('Потребление (МВт·ч)'!C570:I570)=7,SUM('Потребление (МВт·ч)'!C570:I570)&gt;0),SUMPRODUCT(C570:I570,'Потребление (МВт·ч)'!C570:I570)/SUM('Потребление (МВт·ч)'!C570:I570),"")</s:f>
      </s:c>
      <s:c r="K570" s="6" t="n">
        <s:f>IF(SUMIF(C570:I570,"&lt;&gt;",'Потребление (МВт·ч)'!C570:I570)&gt;0,SUMPRODUCT(C570:I570,'Потребление (МВт·ч)'!C570:I570)/SUMIF(C570:I570,"&lt;&gt;",'Потребление (МВт·ч)'!C570:I570),"")</s:f>
        <s:v>2356.3800809215545</s:v>
      </s:c>
      <s:c r="L570" s="6" t="n">
        <s:f>IF(COUNT(C570:I570)&gt;0,AVERAGE(C570:I570),"")</s:f>
        <s:v>2418.9025683333334</s:v>
      </s:c>
      <s:c r="M570" s="10" t="n">
        <s:f>COUNT(C570:I570)</s:f>
        <s:v>6</s:v>
      </s:c>
      <s:c r="N570" s="11" t="n">
        <s:f>IF(AND(COUNT('Потребление (МВт·ч)'!C570:I570)=7,SUM('Потребление (МВт·ч)'!C570:I570)&gt;0),SUMIF(C570:I570,"&lt;&gt;",'Потребление (МВт·ч)'!C570:I570)/SUM('Потребление (МВт·ч)'!C570:I570),"")</s:f>
        <s:v>0.9560914673220905</s:v>
      </s:c>
    </s:row>
    <s:row r="571">
      <s:c r="A571" s="5" t="n">
        <s:v>46289</s:v>
      </s:c>
      <s:c r="B571" s="2" t="n">
        <s:v>14</s:v>
      </s:c>
      <s:c r="C571" s="6" t="n">
        <s:v>2350.61719</s:v>
      </s:c>
      <s:c r="D571" s="6" t="n">
        <s:v>2763.42651</s:v>
      </s:c>
      <s:c r="E571" s="6" t="n">
        <s:v>2846.42139</s:v>
      </s:c>
      <s:c r="F571" s="6" t="n">
        <s:v>2684.99829</s:v>
      </s:c>
      <s:c r="G571" s="6" t="n">
        <s:v>2247.187</s:v>
      </s:c>
      <s:c r="H571" s="6" t="n">
        <s:v>1368.15454</s:v>
      </s:c>
      <s:c r="I571" s="6" t="n"/>
      <s:c r="J571" s="6" t="str">
        <s:f>IF(AND(COUNT(C571:I571)=7,COUNT('Потребление (МВт·ч)'!C571:I571)=7,SUM('Потребление (МВт·ч)'!C571:I571)&gt;0),SUMPRODUCT(C571:I571,'Потребление (МВт·ч)'!C571:I571)/SUM('Потребление (МВт·ч)'!C571:I571),"")</s:f>
      </s:c>
      <s:c r="K571" s="6" t="n">
        <s:f>IF(SUMIF(C571:I571,"&lt;&gt;",'Потребление (МВт·ч)'!C571:I571)&gt;0,SUMPRODUCT(C571:I571,'Потребление (МВт·ч)'!C571:I571)/SUMIF(C571:I571,"&lt;&gt;",'Потребление (МВт·ч)'!C571:I571),"")</s:f>
        <s:v>2308.9359143890615</s:v>
      </s:c>
      <s:c r="L571" s="6" t="n">
        <s:f>IF(COUNT(C571:I571)&gt;0,AVERAGE(C571:I571),"")</s:f>
        <s:v>2376.80082</s:v>
      </s:c>
      <s:c r="M571" s="10" t="n">
        <s:f>COUNT(C571:I571)</s:f>
        <s:v>6</s:v>
      </s:c>
      <s:c r="N571" s="11" t="n">
        <s:f>IF(AND(COUNT('Потребление (МВт·ч)'!C571:I571)=7,SUM('Потребление (МВт·ч)'!C571:I571)&gt;0),SUMIF(C571:I571,"&lt;&gt;",'Потребление (МВт·ч)'!C571:I571)/SUM('Потребление (МВт·ч)'!C571:I571),"")</s:f>
        <s:v>0.957086999813809</s:v>
      </s:c>
    </s:row>
    <s:row r="572">
      <s:c r="A572" s="5" t="n">
        <s:v>46289</s:v>
      </s:c>
      <s:c r="B572" s="2" t="n">
        <s:v>15</s:v>
      </s:c>
      <s:c r="C572" s="6" t="n">
        <s:v>2427.34937</s:v>
      </s:c>
      <s:c r="D572" s="6" t="n">
        <s:v>2756.33325</s:v>
      </s:c>
      <s:c r="E572" s="6" t="n">
        <s:v>2793.96118</s:v>
      </s:c>
      <s:c r="F572" s="6" t="n">
        <s:v>2678.75146</s:v>
      </s:c>
      <s:c r="G572" s="6" t="n">
        <s:v>2364.2085</s:v>
      </s:c>
      <s:c r="H572" s="6" t="n">
        <s:v>1277.36877</s:v>
      </s:c>
      <s:c r="I572" s="6" t="n"/>
      <s:c r="J572" s="6" t="str">
        <s:f>IF(AND(COUNT(C572:I572)=7,COUNT('Потребление (МВт·ч)'!C572:I572)=7,SUM('Потребление (МВт·ч)'!C572:I572)&gt;0),SUMPRODUCT(C572:I572,'Потребление (МВт·ч)'!C572:I572)/SUM('Потребление (МВт·ч)'!C572:I572),"")</s:f>
      </s:c>
      <s:c r="K572" s="6" t="n">
        <s:f>IF(SUMIF(C572:I572,"&lt;&gt;",'Потребление (МВт·ч)'!C572:I572)&gt;0,SUMPRODUCT(C572:I572,'Потребление (МВт·ч)'!C572:I572)/SUMIF(C572:I572,"&lt;&gt;",'Потребление (МВт·ч)'!C572:I572),"")</s:f>
        <s:v>2314.936068083204</s:v>
      </s:c>
      <s:c r="L572" s="6" t="n">
        <s:f>IF(COUNT(C572:I572)&gt;0,AVERAGE(C572:I572),"")</s:f>
        <s:v>2382.9954216666665</s:v>
      </s:c>
      <s:c r="M572" s="10" t="n">
        <s:f>COUNT(C572:I572)</s:f>
        <s:v>6</s:v>
      </s:c>
      <s:c r="N572" s="11" t="n">
        <s:f>IF(AND(COUNT('Потребление (МВт·ч)'!C572:I572)=7,SUM('Потребление (МВт·ч)'!C572:I572)&gt;0),SUMIF(C572:I572,"&lt;&gt;",'Потребление (МВт·ч)'!C572:I572)/SUM('Потребление (МВт·ч)'!C572:I572),"")</s:f>
        <s:v>0.9592431801982764</s:v>
      </s:c>
    </s:row>
    <s:row r="573">
      <s:c r="A573" s="5" t="n">
        <s:v>46289</s:v>
      </s:c>
      <s:c r="B573" s="2" t="n">
        <s:v>16</s:v>
      </s:c>
      <s:c r="C573" s="6" t="n">
        <s:v>2228.27124</s:v>
      </s:c>
      <s:c r="D573" s="6" t="n">
        <s:v>2692.161</s:v>
      </s:c>
      <s:c r="E573" s="6" t="n">
        <s:v>2719.33154</s:v>
      </s:c>
      <s:c r="F573" s="6" t="n">
        <s:v>2664.9</s:v>
      </s:c>
      <s:c r="G573" s="6" t="n">
        <s:v>2375.19629</s:v>
      </s:c>
      <s:c r="H573" s="6" t="n">
        <s:v>1676.39124</s:v>
      </s:c>
      <s:c r="I573" s="6" t="n"/>
      <s:c r="J573" s="6" t="str">
        <s:f>IF(AND(COUNT(C573:I573)=7,COUNT('Потребление (МВт·ч)'!C573:I573)=7,SUM('Потребление (МВт·ч)'!C573:I573)&gt;0),SUMPRODUCT(C573:I573,'Потребление (МВт·ч)'!C573:I573)/SUM('Потребление (МВт·ч)'!C573:I573),"")</s:f>
      </s:c>
      <s:c r="K573" s="6" t="n">
        <s:f>IF(SUMIF(C573:I573,"&lt;&gt;",'Потребление (МВт·ч)'!C573:I573)&gt;0,SUMPRODUCT(C573:I573,'Потребление (МВт·ч)'!C573:I573)/SUMIF(C573:I573,"&lt;&gt;",'Потребление (МВт·ч)'!C573:I573),"")</s:f>
        <s:v>2357.310991700589</s:v>
      </s:c>
      <s:c r="L573" s="6" t="n">
        <s:f>IF(COUNT(C573:I573)&gt;0,AVERAGE(C573:I573),"")</s:f>
        <s:v>2392.7085516666666</s:v>
      </s:c>
      <s:c r="M573" s="10" t="n">
        <s:f>COUNT(C573:I573)</s:f>
        <s:v>6</s:v>
      </s:c>
      <s:c r="N573" s="11" t="n">
        <s:f>IF(AND(COUNT('Потребление (МВт·ч)'!C573:I573)=7,SUM('Потребление (МВт·ч)'!C573:I573)&gt;0),SUMIF(C573:I573,"&lt;&gt;",'Потребление (МВт·ч)'!C573:I573)/SUM('Потребление (МВт·ч)'!C573:I573),"")</s:f>
        <s:v>0.9598105271754666</s:v>
      </s:c>
    </s:row>
    <s:row r="574">
      <s:c r="A574" s="5" t="n">
        <s:v>46289</s:v>
      </s:c>
      <s:c r="B574" s="2" t="n">
        <s:v>17</s:v>
      </s:c>
      <s:c r="C574" s="6" t="n">
        <s:v>2238.57373</s:v>
      </s:c>
      <s:c r="D574" s="6" t="n">
        <s:v>2709.982</s:v>
      </s:c>
      <s:c r="E574" s="6" t="n">
        <s:v>2767.1394</s:v>
      </s:c>
      <s:c r="F574" s="6" t="n">
        <s:v>2660.54565</s:v>
      </s:c>
      <s:c r="G574" s="6" t="n">
        <s:v>2379.36255</s:v>
      </s:c>
      <s:c r="H574" s="6" t="n">
        <s:v>1664.27722</s:v>
      </s:c>
      <s:c r="I574" s="6" t="n"/>
      <s:c r="J574" s="6" t="str">
        <s:f>IF(AND(COUNT(C574:I574)=7,COUNT('Потребление (МВт·ч)'!C574:I574)=7,SUM('Потребление (МВт·ч)'!C574:I574)&gt;0),SUMPRODUCT(C574:I574,'Потребление (МВт·ч)'!C574:I574)/SUM('Потребление (МВт·ч)'!C574:I574),"")</s:f>
      </s:c>
      <s:c r="K574" s="6" t="n">
        <s:f>IF(SUMIF(C574:I574,"&lt;&gt;",'Потребление (МВт·ч)'!C574:I574)&gt;0,SUMPRODUCT(C574:I574,'Потребление (МВт·ч)'!C574:I574)/SUMIF(C574:I574,"&lt;&gt;",'Потребление (МВт·ч)'!C574:I574),"")</s:f>
        <s:v>2367.1000565588997</s:v>
      </s:c>
      <s:c r="L574" s="6" t="n">
        <s:f>IF(COUNT(C574:I574)&gt;0,AVERAGE(C574:I574),"")</s:f>
        <s:v>2403.313425</s:v>
      </s:c>
      <s:c r="M574" s="10" t="n">
        <s:f>COUNT(C574:I574)</s:f>
        <s:v>6</s:v>
      </s:c>
      <s:c r="N574" s="11" t="n">
        <s:f>IF(AND(COUNT('Потребление (МВт·ч)'!C574:I574)=7,SUM('Потребление (МВт·ч)'!C574:I574)&gt;0),SUMIF(C574:I574,"&lt;&gt;",'Потребление (МВт·ч)'!C574:I574)/SUM('Потребление (МВт·ч)'!C574:I574),"")</s:f>
        <s:v>0.9627715252476895</s:v>
      </s:c>
    </s:row>
    <s:row r="575">
      <s:c r="A575" s="5" t="n">
        <s:v>46289</s:v>
      </s:c>
      <s:c r="B575" s="2" t="n">
        <s:v>18</s:v>
      </s:c>
      <s:c r="C575" s="6" t="n">
        <s:v>2612.41943</s:v>
      </s:c>
      <s:c r="D575" s="6" t="n">
        <s:v>2930.687</s:v>
      </s:c>
      <s:c r="E575" s="6" t="n">
        <s:v>3034.46973</s:v>
      </s:c>
      <s:c r="F575" s="6" t="n">
        <s:v>2838.93921</s:v>
      </s:c>
      <s:c r="G575" s="6" t="n">
        <s:v>2471.04858</s:v>
      </s:c>
      <s:c r="H575" s="6" t="n">
        <s:v>1592.07324</s:v>
      </s:c>
      <s:c r="I575" s="6" t="n"/>
      <s:c r="J575" s="6" t="str">
        <s:f>IF(AND(COUNT(C575:I575)=7,COUNT('Потребление (МВт·ч)'!C575:I575)=7,SUM('Потребление (МВт·ч)'!C575:I575)&gt;0),SUMPRODUCT(C575:I575,'Потребление (МВт·ч)'!C575:I575)/SUM('Потребление (МВт·ч)'!C575:I575),"")</s:f>
      </s:c>
      <s:c r="K575" s="6" t="n">
        <s:f>IF(SUMIF(C575:I575,"&lt;&gt;",'Потребление (МВт·ч)'!C575:I575)&gt;0,SUMPRODUCT(C575:I575,'Потребление (МВт·ч)'!C575:I575)/SUMIF(C575:I575,"&lt;&gt;",'Потребление (МВт·ч)'!C575:I575),"")</s:f>
        <s:v>2524.1725221209326</s:v>
      </s:c>
      <s:c r="L575" s="6" t="n">
        <s:f>IF(COUNT(C575:I575)&gt;0,AVERAGE(C575:I575),"")</s:f>
        <s:v>2579.939531666667</s:v>
      </s:c>
      <s:c r="M575" s="10" t="n">
        <s:f>COUNT(C575:I575)</s:f>
        <s:v>6</s:v>
      </s:c>
      <s:c r="N575" s="11" t="n">
        <s:f>IF(AND(COUNT('Потребление (МВт·ч)'!C575:I575)=7,SUM('Потребление (МВт·ч)'!C575:I575)&gt;0),SUMIF(C575:I575,"&lt;&gt;",'Потребление (МВт·ч)'!C575:I575)/SUM('Потребление (МВт·ч)'!C575:I575),"")</s:f>
        <s:v>0.9633998545689586</s:v>
      </s:c>
    </s:row>
    <s:row r="576">
      <s:c r="A576" s="5" t="n">
        <s:v>46289</s:v>
      </s:c>
      <s:c r="B576" s="2" t="n">
        <s:v>19</s:v>
      </s:c>
      <s:c r="C576" s="6" t="n">
        <s:v>2683.9812</s:v>
      </s:c>
      <s:c r="D576" s="6" t="n">
        <s:v>3025.05249</s:v>
      </s:c>
      <s:c r="E576" s="6" t="n">
        <s:v>3050.18018</s:v>
      </s:c>
      <s:c r="F576" s="6" t="n">
        <s:v>2853.38086</s:v>
      </s:c>
      <s:c r="G576" s="6" t="n">
        <s:v>2431.5415</s:v>
      </s:c>
      <s:c r="H576" s="6" t="n">
        <s:v>723.941162</s:v>
      </s:c>
      <s:c r="I576" s="6" t="n"/>
      <s:c r="J576" s="6" t="str">
        <s:f>IF(AND(COUNT(C576:I576)=7,COUNT('Потребление (МВт·ч)'!C576:I576)=7,SUM('Потребление (МВт·ч)'!C576:I576)&gt;0),SUMPRODUCT(C576:I576,'Потребление (МВт·ч)'!C576:I576)/SUM('Потребление (МВт·ч)'!C576:I576),"")</s:f>
      </s:c>
      <s:c r="K576" s="6" t="n">
        <s:f>IF(SUMIF(C576:I576,"&lt;&gt;",'Потребление (МВт·ч)'!C576:I576)&gt;0,SUMPRODUCT(C576:I576,'Потребление (МВт·ч)'!C576:I576)/SUMIF(C576:I576,"&lt;&gt;",'Потребление (МВт·ч)'!C576:I576),"")</s:f>
        <s:v>2376.056049218452</s:v>
      </s:c>
      <s:c r="L576" s="6" t="n">
        <s:f>IF(COUNT(C576:I576)&gt;0,AVERAGE(C576:I576),"")</s:f>
        <s:v>2461.346232</s:v>
      </s:c>
      <s:c r="M576" s="10" t="n">
        <s:f>COUNT(C576:I576)</s:f>
        <s:v>6</s:v>
      </s:c>
      <s:c r="N576" s="11" t="n">
        <s:f>IF(AND(COUNT('Потребление (МВт·ч)'!C576:I576)=7,SUM('Потребление (МВт·ч)'!C576:I576)&gt;0),SUMIF(C576:I576,"&lt;&gt;",'Потребление (МВт·ч)'!C576:I576)/SUM('Потребление (МВт·ч)'!C576:I576),"")</s:f>
        <s:v>0.9627798922445752</s:v>
      </s:c>
    </s:row>
    <s:row r="577">
      <s:c r="A577" s="5" t="n">
        <s:v>46289</s:v>
      </s:c>
      <s:c r="B577" s="2" t="n">
        <s:v>20</s:v>
      </s:c>
      <s:c r="C577" s="6" t="n">
        <s:v>2648.22729</s:v>
      </s:c>
      <s:c r="D577" s="6" t="n">
        <s:v>2988.107</s:v>
      </s:c>
      <s:c r="E577" s="6" t="n">
        <s:v>3009.401</s:v>
      </s:c>
      <s:c r="F577" s="6" t="n">
        <s:v>2805.84668</s:v>
      </s:c>
      <s:c r="G577" s="6" t="n">
        <s:v>2277.33</s:v>
      </s:c>
      <s:c r="H577" s="6" t="n">
        <s:v>1205.965</s:v>
      </s:c>
      <s:c r="I577" s="6" t="n"/>
      <s:c r="J577" s="6" t="str">
        <s:f>IF(AND(COUNT(C577:I577)=7,COUNT('Потребление (МВт·ч)'!C577:I577)=7,SUM('Потребление (МВт·ч)'!C577:I577)&gt;0),SUMPRODUCT(C577:I577,'Потребление (МВт·ч)'!C577:I577)/SUM('Потребление (МВт·ч)'!C577:I577),"")</s:f>
      </s:c>
      <s:c r="K577" s="6" t="n">
        <s:f>IF(SUMIF(C577:I577,"&lt;&gt;",'Потребление (МВт·ч)'!C577:I577)&gt;0,SUMPRODUCT(C577:I577,'Потребление (МВт·ч)'!C577:I577)/SUMIF(C577:I577,"&lt;&gt;",'Потребление (МВт·ч)'!C577:I577),"")</s:f>
        <s:v>2412.593968906679</s:v>
      </s:c>
      <s:c r="L577" s="6" t="n">
        <s:f>IF(COUNT(C577:I577)&gt;0,AVERAGE(C577:I577),"")</s:f>
        <s:v>2489.146161666667</s:v>
      </s:c>
      <s:c r="M577" s="10" t="n">
        <s:f>COUNT(C577:I577)</s:f>
        <s:v>6</s:v>
      </s:c>
      <s:c r="N577" s="11" t="n">
        <s:f>IF(AND(COUNT('Потребление (МВт·ч)'!C577:I577)=7,SUM('Потребление (МВт·ч)'!C577:I577)&gt;0),SUMIF(C577:I577,"&lt;&gt;",'Потребление (МВт·ч)'!C577:I577)/SUM('Потребление (МВт·ч)'!C577:I577),"")</s:f>
        <s:v>0.9615825398162973</s:v>
      </s:c>
    </s:row>
    <s:row r="578">
      <s:c r="A578" s="5" t="n">
        <s:v>46289</s:v>
      </s:c>
      <s:c r="B578" s="2" t="n">
        <s:v>21</s:v>
      </s:c>
      <s:c r="C578" s="6" t="n">
        <s:v>1119.55493</s:v>
      </s:c>
      <s:c r="D578" s="6" t="n">
        <s:v>2607.21021</s:v>
      </s:c>
      <s:c r="E578" s="6" t="n">
        <s:v>2832.248</s:v>
      </s:c>
      <s:c r="F578" s="6" t="n">
        <s:v>2446.06274</s:v>
      </s:c>
      <s:c r="G578" s="6" t="n">
        <s:v>2017.41943</s:v>
      </s:c>
      <s:c r="H578" s="6" t="n">
        <s:v>1089.22607</s:v>
      </s:c>
      <s:c r="I578" s="6" t="n"/>
      <s:c r="J578" s="6" t="str">
        <s:f>IF(AND(COUNT(C578:I578)=7,COUNT('Потребление (МВт·ч)'!C578:I578)=7,SUM('Потребление (МВт·ч)'!C578:I578)&gt;0),SUMPRODUCT(C578:I578,'Потребление (МВт·ч)'!C578:I578)/SUM('Потребление (МВт·ч)'!C578:I578),"")</s:f>
      </s:c>
      <s:c r="K578" s="6" t="n">
        <s:f>IF(SUMIF(C578:I578,"&lt;&gt;",'Потребление (МВт·ч)'!C578:I578)&gt;0,SUMPRODUCT(C578:I578,'Потребление (МВт·ч)'!C578:I578)/SUMIF(C578:I578,"&lt;&gt;",'Потребление (МВт·ч)'!C578:I578),"")</s:f>
        <s:v>2013.51609400222</s:v>
      </s:c>
      <s:c r="L578" s="6" t="n">
        <s:f>IF(COUNT(C578:I578)&gt;0,AVERAGE(C578:I578),"")</s:f>
        <s:v>2018.6202300000002</s:v>
      </s:c>
      <s:c r="M578" s="10" t="n">
        <s:f>COUNT(C578:I578)</s:f>
        <s:v>6</s:v>
      </s:c>
      <s:c r="N578" s="11" t="n">
        <s:f>IF(AND(COUNT('Потребление (МВт·ч)'!C578:I578)=7,SUM('Потребление (МВт·ч)'!C578:I578)&gt;0),SUMIF(C578:I578,"&lt;&gt;",'Потребление (МВт·ч)'!C578:I578)/SUM('Потребление (МВт·ч)'!C578:I578),"")</s:f>
        <s:v>0.9611101474414571</s:v>
      </s:c>
    </s:row>
    <s:row r="579">
      <s:c r="A579" s="5" t="n">
        <s:v>46289</s:v>
      </s:c>
      <s:c r="B579" s="2" t="n">
        <s:v>22</s:v>
      </s:c>
      <s:c r="C579" s="6" t="n">
        <s:v>1533.84509</s:v>
      </s:c>
      <s:c r="D579" s="6" t="n">
        <s:v>2077.52026</s:v>
      </s:c>
      <s:c r="E579" s="6" t="n">
        <s:v>2114.57349</s:v>
      </s:c>
      <s:c r="F579" s="6" t="n">
        <s:v>2010.733</s:v>
      </s:c>
      <s:c r="G579" s="6" t="n">
        <s:v>1735.19739</s:v>
      </s:c>
      <s:c r="H579" s="6" t="n">
        <s:v>1108.592</s:v>
      </s:c>
      <s:c r="I579" s="6" t="n"/>
      <s:c r="J579" s="6" t="str">
        <s:f>IF(AND(COUNT(C579:I579)=7,COUNT('Потребление (МВт·ч)'!C579:I579)=7,SUM('Потребление (МВт·ч)'!C579:I579)&gt;0),SUMPRODUCT(C579:I579,'Потребление (МВт·ч)'!C579:I579)/SUM('Потребление (МВт·ч)'!C579:I579),"")</s:f>
      </s:c>
      <s:c r="K579" s="6" t="n">
        <s:f>IF(SUMIF(C579:I579,"&lt;&gt;",'Потребление (МВт·ч)'!C579:I579)&gt;0,SUMPRODUCT(C579:I579,'Потребление (МВт·ч)'!C579:I579)/SUMIF(C579:I579,"&lt;&gt;",'Потребление (МВт·ч)'!C579:I579),"")</s:f>
        <s:v>1731.2780648630537</s:v>
      </s:c>
      <s:c r="L579" s="6" t="n">
        <s:f>IF(COUNT(C579:I579)&gt;0,AVERAGE(C579:I579),"")</s:f>
        <s:v>1763.4102050000001</s:v>
      </s:c>
      <s:c r="M579" s="10" t="n">
        <s:f>COUNT(C579:I579)</s:f>
        <s:v>6</s:v>
      </s:c>
      <s:c r="N579" s="11" t="n">
        <s:f>IF(AND(COUNT('Потребление (МВт·ч)'!C579:I579)=7,SUM('Потребление (МВт·ч)'!C579:I579)&gt;0),SUMIF(C579:I579,"&lt;&gt;",'Потребление (МВт·ч)'!C579:I579)/SUM('Потребление (МВт·ч)'!C579:I579),"")</s:f>
        <s:v>0.9577713986531622</s:v>
      </s:c>
    </s:row>
    <s:row r="580">
      <s:c r="A580" s="5" t="n">
        <s:v>46289</s:v>
      </s:c>
      <s:c r="B580" s="2" t="n">
        <s:v>23</s:v>
      </s:c>
      <s:c r="C580" s="6" t="n">
        <s:v>554.1531</s:v>
      </s:c>
      <s:c r="D580" s="6" t="n">
        <s:v>2030.32678</s:v>
      </s:c>
      <s:c r="E580" s="6" t="n">
        <s:v>2090.63257</s:v>
      </s:c>
      <s:c r="F580" s="6" t="n">
        <s:v>1971.16882</s:v>
      </s:c>
      <s:c r="G580" s="6" t="n">
        <s:v>1673.21985</s:v>
      </s:c>
      <s:c r="H580" s="6" t="n">
        <s:v>463.0227</s:v>
      </s:c>
      <s:c r="I580" s="6" t="n"/>
      <s:c r="J580" s="6" t="str">
        <s:f>IF(AND(COUNT(C580:I580)=7,COUNT('Потребление (МВт·ч)'!C580:I580)=7,SUM('Потребление (МВт·ч)'!C580:I580)&gt;0),SUMPRODUCT(C580:I580,'Потребление (МВт·ч)'!C580:I580)/SUM('Потребление (МВт·ч)'!C580:I580),"")</s:f>
      </s:c>
      <s:c r="K580" s="6" t="n">
        <s:f>IF(SUMIF(C580:I580,"&lt;&gt;",'Потребление (МВт·ч)'!C580:I580)&gt;0,SUMPRODUCT(C580:I580,'Потребление (МВт·ч)'!C580:I580)/SUMIF(C580:I580,"&lt;&gt;",'Потребление (МВт·ч)'!C580:I580),"")</s:f>
        <s:v>1450.521895372015</s:v>
      </s:c>
      <s:c r="L580" s="6" t="n">
        <s:f>IF(COUNT(C580:I580)&gt;0,AVERAGE(C580:I580),"")</s:f>
        <s:v>1463.75397</s:v>
      </s:c>
      <s:c r="M580" s="10" t="n">
        <s:f>COUNT(C580:I580)</s:f>
        <s:v>6</s:v>
      </s:c>
      <s:c r="N580" s="11" t="n">
        <s:f>IF(AND(COUNT('Потребление (МВт·ч)'!C580:I580)=7,SUM('Потребление (МВт·ч)'!C580:I580)&gt;0),SUMIF(C580:I580,"&lt;&gt;",'Потребление (МВт·ч)'!C580:I580)/SUM('Потребление (МВт·ч)'!C580:I580),"")</s:f>
        <s:v>0.9543793928379356</s:v>
      </s:c>
    </s:row>
    <s:row r="581">
      <s:c r="A581" s="5" t="n">
        <s:v>46290</s:v>
      </s:c>
      <s:c r="B581" s="2" t="n">
        <s:v>0</s:v>
      </s:c>
      <s:c r="C581" s="6" t="n">
        <s:v>226.522736</s:v>
      </s:c>
      <s:c r="D581" s="6" t="n">
        <s:v>2007.32813</s:v>
      </s:c>
      <s:c r="E581" s="6" t="n">
        <s:v>2110.94336</s:v>
      </s:c>
      <s:c r="F581" s="6" t="n">
        <s:v>1957.01221</s:v>
      </s:c>
      <s:c r="G581" s="6" t="n">
        <s:v>1717.22363</s:v>
      </s:c>
      <s:c r="H581" s="6" t="n">
        <s:v>1717.647</s:v>
      </s:c>
      <s:c r="I581" s="6" t="n"/>
      <s:c r="J581" s="6" t="str">
        <s:f>IF(AND(COUNT(C581:I581)=7,COUNT('Потребление (МВт·ч)'!C581:I581)=7,SUM('Потребление (МВт·ч)'!C581:I581)&gt;0),SUMPRODUCT(C581:I581,'Потребление (МВт·ч)'!C581:I581)/SUM('Потребление (МВт·ч)'!C581:I581),"")</s:f>
      </s:c>
      <s:c r="K581" s="6" t="n">
        <s:f>IF(SUMIF(C581:I581,"&lt;&gt;",'Потребление (МВт·ч)'!C581:I581)&gt;0,SUMPRODUCT(C581:I581,'Потребление (МВт·ч)'!C581:I581)/SUMIF(C581:I581,"&lt;&gt;",'Потребление (МВт·ч)'!C581:I581),"")</s:f>
        <s:v>1708.2134637937866</s:v>
      </s:c>
      <s:c r="L581" s="6" t="n">
        <s:f>IF(COUNT(C581:I581)&gt;0,AVERAGE(C581:I581),"")</s:f>
        <s:v>1622.779511</s:v>
      </s:c>
      <s:c r="M581" s="10" t="n">
        <s:f>COUNT(C581:I581)</s:f>
        <s:v>6</s:v>
      </s:c>
      <s:c r="N581" s="11" t="n">
        <s:f>IF(AND(COUNT('Потребление (МВт·ч)'!C581:I581)=7,SUM('Потребление (МВт·ч)'!C581:I581)&gt;0),SUMIF(C581:I581,"&lt;&gt;",'Потребление (МВт·ч)'!C581:I581)/SUM('Потребление (МВт·ч)'!C581:I581),"")</s:f>
        <s:v>0.9515150365960029</s:v>
      </s:c>
    </s:row>
    <s:row r="582">
      <s:c r="A582" s="5" t="n">
        <s:v>46290</s:v>
      </s:c>
      <s:c r="B582" s="2" t="n">
        <s:v>1</s:v>
      </s:c>
      <s:c r="C582" s="6" t="n">
        <s:v>168.767471</s:v>
      </s:c>
      <s:c r="D582" s="6" t="n">
        <s:v>1971.47791</s:v>
      </s:c>
      <s:c r="E582" s="6" t="n">
        <s:v>2040.85889</s:v>
      </s:c>
      <s:c r="F582" s="6" t="n">
        <s:v>1925.43469</s:v>
      </s:c>
      <s:c r="G582" s="6" t="n">
        <s:v>1697.76917</s:v>
      </s:c>
      <s:c r="H582" s="6" t="n">
        <s:v>1722.492</s:v>
      </s:c>
      <s:c r="I582" s="6" t="n"/>
      <s:c r="J582" s="6" t="str">
        <s:f>IF(AND(COUNT(C582:I582)=7,COUNT('Потребление (МВт·ч)'!C582:I582)=7,SUM('Потребление (МВт·ч)'!C582:I582)&gt;0),SUMPRODUCT(C582:I582,'Потребление (МВт·ч)'!C582:I582)/SUM('Потребление (МВт·ч)'!C582:I582),"")</s:f>
      </s:c>
      <s:c r="K582" s="6" t="n">
        <s:f>IF(SUMIF(C582:I582,"&lt;&gt;",'Потребление (МВт·ч)'!C582:I582)&gt;0,SUMPRODUCT(C582:I582,'Потребление (МВт·ч)'!C582:I582)/SUMIF(C582:I582,"&lt;&gt;",'Потребление (МВт·ч)'!C582:I582),"")</s:f>
        <s:v>1681.5387201523968</s:v>
      </s:c>
      <s:c r="L582" s="6" t="n">
        <s:f>IF(COUNT(C582:I582)&gt;0,AVERAGE(C582:I582),"")</s:f>
        <s:v>1587.8000218333334</s:v>
      </s:c>
      <s:c r="M582" s="10" t="n">
        <s:f>COUNT(C582:I582)</s:f>
        <s:v>6</s:v>
      </s:c>
      <s:c r="N582" s="11" t="n">
        <s:f>IF(AND(COUNT('Потребление (МВт·ч)'!C582:I582)=7,SUM('Потребление (МВт·ч)'!C582:I582)&gt;0),SUMIF(C582:I582,"&lt;&gt;",'Потребление (МВт·ч)'!C582:I582)/SUM('Потребление (МВт·ч)'!C582:I582),"")</s:f>
        <s:v>0.9498312732417524</s:v>
      </s:c>
    </s:row>
    <s:row r="583">
      <s:c r="A583" s="5" t="n">
        <s:v>46290</s:v>
      </s:c>
      <s:c r="B583" s="2" t="n">
        <s:v>2</s:v>
      </s:c>
      <s:c r="C583" s="6" t="n">
        <s:v>1492.089</s:v>
      </s:c>
      <s:c r="D583" s="6" t="n">
        <s:v>1837.45178</s:v>
      </s:c>
      <s:c r="E583" s="6" t="n">
        <s:v>1698.15259</s:v>
      </s:c>
      <s:c r="F583" s="6" t="n">
        <s:v>1828.29944</s:v>
      </s:c>
      <s:c r="G583" s="6" t="n">
        <s:v>1705.97424</s:v>
      </s:c>
      <s:c r="H583" s="6" t="n">
        <s:v>1850.62134</s:v>
      </s:c>
      <s:c r="I583" s="6" t="n"/>
      <s:c r="J583" s="6" t="str">
        <s:f>IF(AND(COUNT(C583:I583)=7,COUNT('Потребление (МВт·ч)'!C583:I583)=7,SUM('Потребление (МВт·ч)'!C583:I583)&gt;0),SUMPRODUCT(C583:I583,'Потребление (МВт·ч)'!C583:I583)/SUM('Потребление (МВт·ч)'!C583:I583),"")</s:f>
      </s:c>
      <s:c r="K583" s="6" t="n">
        <s:f>IF(SUMIF(C583:I583,"&lt;&gt;",'Потребление (МВт·ч)'!C583:I583)&gt;0,SUMPRODUCT(C583:I583,'Потребление (МВт·ч)'!C583:I583)/SUMIF(C583:I583,"&lt;&gt;",'Потребление (МВт·ч)'!C583:I583),"")</s:f>
        <s:v>1764.401064406756</s:v>
      </s:c>
      <s:c r="L583" s="6" t="n">
        <s:f>IF(COUNT(C583:I583)&gt;0,AVERAGE(C583:I583),"")</s:f>
        <s:v>1735.4313983333332</s:v>
      </s:c>
      <s:c r="M583" s="10" t="n">
        <s:f>COUNT(C583:I583)</s:f>
        <s:v>6</s:v>
      </s:c>
      <s:c r="N583" s="11" t="n">
        <s:f>IF(AND(COUNT('Потребление (МВт·ч)'!C583:I583)=7,SUM('Потребление (МВт·ч)'!C583:I583)&gt;0),SUMIF(C583:I583,"&lt;&gt;",'Потребление (МВт·ч)'!C583:I583)/SUM('Потребление (МВт·ч)'!C583:I583),"")</s:f>
        <s:v>0.9499377429687574</s:v>
      </s:c>
    </s:row>
    <s:row r="584">
      <s:c r="A584" s="5" t="n">
        <s:v>46290</s:v>
      </s:c>
      <s:c r="B584" s="2" t="n">
        <s:v>3</s:v>
      </s:c>
      <s:c r="C584" s="6" t="n">
        <s:v>1507.45251</s:v>
      </s:c>
      <s:c r="D584" s="6" t="n">
        <s:v>1843.26929</s:v>
      </s:c>
      <s:c r="E584" s="6" t="n">
        <s:v>1789.43811</s:v>
      </s:c>
      <s:c r="F584" s="6" t="n">
        <s:v>1841.14746</s:v>
      </s:c>
      <s:c r="G584" s="6" t="n">
        <s:v>1716.24048</s:v>
      </s:c>
      <s:c r="H584" s="6" t="n">
        <s:v>1817.89575</s:v>
      </s:c>
      <s:c r="I584" s="6" t="n"/>
      <s:c r="J584" s="6" t="str">
        <s:f>IF(AND(COUNT(C584:I584)=7,COUNT('Потребление (МВт·ч)'!C584:I584)=7,SUM('Потребление (МВт·ч)'!C584:I584)&gt;0),SUMPRODUCT(C584:I584,'Потребление (МВт·ч)'!C584:I584)/SUM('Потребление (МВт·ч)'!C584:I584),"")</s:f>
      </s:c>
      <s:c r="K584" s="6" t="n">
        <s:f>IF(SUMIF(C584:I584,"&lt;&gt;",'Потребление (МВт·ч)'!C584:I584)&gt;0,SUMPRODUCT(C584:I584,'Потребление (МВт·ч)'!C584:I584)/SUMIF(C584:I584,"&lt;&gt;",'Потребление (МВт·ч)'!C584:I584),"")</s:f>
        <s:v>1770.9202061177953</s:v>
      </s:c>
      <s:c r="L584" s="6" t="n">
        <s:f>IF(COUNT(C584:I584)&gt;0,AVERAGE(C584:I584),"")</s:f>
        <s:v>1752.5739333333333</s:v>
      </s:c>
      <s:c r="M584" s="10" t="n">
        <s:f>COUNT(C584:I584)</s:f>
        <s:v>6</s:v>
      </s:c>
      <s:c r="N584" s="11" t="n">
        <s:f>IF(AND(COUNT('Потребление (МВт·ч)'!C584:I584)=7,SUM('Потребление (МВт·ч)'!C584:I584)&gt;0),SUMIF(C584:I584,"&lt;&gt;",'Потребление (МВт·ч)'!C584:I584)/SUM('Потребление (МВт·ч)'!C584:I584),"")</s:f>
        <s:v>0.9507305857987042</s:v>
      </s:c>
    </s:row>
    <s:row r="585">
      <s:c r="A585" s="5" t="n">
        <s:v>46290</s:v>
      </s:c>
      <s:c r="B585" s="2" t="n">
        <s:v>4</s:v>
      </s:c>
      <s:c r="C585" s="6" t="n">
        <s:v>1632.04968</s:v>
      </s:c>
      <s:c r="D585" s="6" t="n">
        <s:v>1993.6394</s:v>
      </s:c>
      <s:c r="E585" s="6" t="n">
        <s:v>1984.58875</s:v>
      </s:c>
      <s:c r="F585" s="6" t="n">
        <s:v>1998.13391</s:v>
      </s:c>
      <s:c r="G585" s="6" t="n">
        <s:v>1801.08972</s:v>
      </s:c>
      <s:c r="H585" s="6" t="n">
        <s:v>1940.47839</s:v>
      </s:c>
      <s:c r="I585" s="6" t="n"/>
      <s:c r="J585" s="6" t="str">
        <s:f>IF(AND(COUNT(C585:I585)=7,COUNT('Потребление (МВт·ч)'!C585:I585)=7,SUM('Потребление (МВт·ч)'!C585:I585)&gt;0),SUMPRODUCT(C585:I585,'Потребление (МВт·ч)'!C585:I585)/SUM('Потребление (МВт·ч)'!C585:I585),"")</s:f>
      </s:c>
      <s:c r="K585" s="6" t="n">
        <s:f>IF(SUMIF(C585:I585,"&lt;&gt;",'Потребление (МВт·ч)'!C585:I585)&gt;0,SUMPRODUCT(C585:I585,'Потребление (МВт·ч)'!C585:I585)/SUMIF(C585:I585,"&lt;&gt;",'Потребление (МВт·ч)'!C585:I585),"")</s:f>
        <s:v>1900.840637700727</s:v>
      </s:c>
      <s:c r="L585" s="6" t="n">
        <s:f>IF(COUNT(C585:I585)&gt;0,AVERAGE(C585:I585),"")</s:f>
        <s:v>1891.6633083333334</s:v>
      </s:c>
      <s:c r="M585" s="10" t="n">
        <s:f>COUNT(C585:I585)</s:f>
        <s:v>6</s:v>
      </s:c>
      <s:c r="N585" s="11" t="n">
        <s:f>IF(AND(COUNT('Потребление (МВт·ч)'!C585:I585)=7,SUM('Потребление (МВт·ч)'!C585:I585)&gt;0),SUMIF(C585:I585,"&lt;&gt;",'Потребление (МВт·ч)'!C585:I585)/SUM('Потребление (МВт·ч)'!C585:I585),"")</s:f>
        <s:v>0.9522757647757648</s:v>
      </s:c>
    </s:row>
    <s:row r="586">
      <s:c r="A586" s="5" t="n">
        <s:v>46290</s:v>
      </s:c>
      <s:c r="B586" s="2" t="n">
        <s:v>5</s:v>
      </s:c>
      <s:c r="C586" s="6" t="n">
        <s:v>1716.55676</s:v>
      </s:c>
      <s:c r="D586" s="6" t="n">
        <s:v>2145.85645</s:v>
      </s:c>
      <s:c r="E586" s="6" t="n">
        <s:v>2101.07837</s:v>
      </s:c>
      <s:c r="F586" s="6" t="n">
        <s:v>2126.318</s:v>
      </s:c>
      <s:c r="G586" s="6" t="n">
        <s:v>1890.8584</s:v>
      </s:c>
      <s:c r="H586" s="6" t="n">
        <s:v>1864.53845</s:v>
      </s:c>
      <s:c r="I586" s="6" t="n"/>
      <s:c r="J586" s="6" t="str">
        <s:f>IF(AND(COUNT(C586:I586)=7,COUNT('Потребление (МВт·ч)'!C586:I586)=7,SUM('Потребление (МВт·ч)'!C586:I586)&gt;0),SUMPRODUCT(C586:I586,'Потребление (МВт·ч)'!C586:I586)/SUM('Потребление (МВт·ч)'!C586:I586),"")</s:f>
      </s:c>
      <s:c r="K586" s="6" t="n">
        <s:f>IF(SUMIF(C586:I586,"&lt;&gt;",'Потребление (МВт·ч)'!C586:I586)&gt;0,SUMPRODUCT(C586:I586,'Потребление (МВт·ч)'!C586:I586)/SUMIF(C586:I586,"&lt;&gt;",'Потребление (МВт·ч)'!C586:I586),"")</s:f>
        <s:v>1972.1529888052967</s:v>
      </s:c>
      <s:c r="L586" s="6" t="n">
        <s:f>IF(COUNT(C586:I586)&gt;0,AVERAGE(C586:I586),"")</s:f>
        <s:v>1974.2010716666666</s:v>
      </s:c>
      <s:c r="M586" s="10" t="n">
        <s:f>COUNT(C586:I586)</s:f>
        <s:v>6</s:v>
      </s:c>
      <s:c r="N586" s="11" t="n">
        <s:f>IF(AND(COUNT('Потребление (МВт·ч)'!C586:I586)=7,SUM('Потребление (МВт·ч)'!C586:I586)&gt;0),SUMIF(C586:I586,"&lt;&gt;",'Потребление (МВт·ч)'!C586:I586)/SUM('Потребление (МВт·ч)'!C586:I586),"")</s:f>
        <s:v>0.9544051123716522</s:v>
      </s:c>
    </s:row>
    <s:row r="587">
      <s:c r="A587" s="5" t="n">
        <s:v>46290</s:v>
      </s:c>
      <s:c r="B587" s="2" t="n">
        <s:v>6</s:v>
      </s:c>
      <s:c r="C587" s="6" t="n">
        <s:v>2003.24463</s:v>
      </s:c>
      <s:c r="D587" s="6" t="n">
        <s:v>2370.80078</s:v>
      </s:c>
      <s:c r="E587" s="6" t="n">
        <s:v>2374.45752</s:v>
      </s:c>
      <s:c r="F587" s="6" t="n">
        <s:v>2341.4436</s:v>
      </s:c>
      <s:c r="G587" s="6" t="n">
        <s:v>2052.86377</s:v>
      </s:c>
      <s:c r="H587" s="6" t="n">
        <s:v>1866.60254</s:v>
      </s:c>
      <s:c r="I587" s="6" t="n"/>
      <s:c r="J587" s="6" t="str">
        <s:f>IF(AND(COUNT(C587:I587)=7,COUNT('Потребление (МВт·ч)'!C587:I587)=7,SUM('Потребление (МВт·ч)'!C587:I587)&gt;0),SUMPRODUCT(C587:I587,'Потребление (МВт·ч)'!C587:I587)/SUM('Потребление (МВт·ч)'!C587:I587),"")</s:f>
      </s:c>
      <s:c r="K587" s="6" t="n">
        <s:f>IF(SUMIF(C587:I587,"&lt;&gt;",'Потребление (МВт·ч)'!C587:I587)&gt;0,SUMPRODUCT(C587:I587,'Потребление (МВт·ч)'!C587:I587)/SUMIF(C587:I587,"&lt;&gt;",'Потребление (МВт·ч)'!C587:I587),"")</s:f>
        <s:v>2142.4119283534333</s:v>
      </s:c>
      <s:c r="L587" s="6" t="n">
        <s:f>IF(COUNT(C587:I587)&gt;0,AVERAGE(C587:I587),"")</s:f>
        <s:v>2168.235473333333</s:v>
      </s:c>
      <s:c r="M587" s="10" t="n">
        <s:f>COUNT(C587:I587)</s:f>
        <s:v>6</s:v>
      </s:c>
      <s:c r="N587" s="11" t="n">
        <s:f>IF(AND(COUNT('Потребление (МВт·ч)'!C587:I587)=7,SUM('Потребление (МВт·ч)'!C587:I587)&gt;0),SUMIF(C587:I587,"&lt;&gt;",'Потребление (МВт·ч)'!C587:I587)/SUM('Потребление (МВт·ч)'!C587:I587),"")</s:f>
        <s:v>0.9566881966871549</s:v>
      </s:c>
    </s:row>
    <s:row r="588">
      <s:c r="A588" s="5" t="n">
        <s:v>46290</s:v>
      </s:c>
      <s:c r="B588" s="2" t="n">
        <s:v>7</s:v>
      </s:c>
      <s:c r="C588" s="6" t="n">
        <s:v>2349.61914</s:v>
      </s:c>
      <s:c r="D588" s="6" t="n">
        <s:v>2822.28369</s:v>
      </s:c>
      <s:c r="E588" s="6" t="n">
        <s:v>2799.85059</s:v>
      </s:c>
      <s:c r="F588" s="6" t="n">
        <s:v>2717.41968</s:v>
      </s:c>
      <s:c r="G588" s="6" t="n">
        <s:v>2218.537</s:v>
      </s:c>
      <s:c r="H588" s="6" t="n">
        <s:v>2037.54846</s:v>
      </s:c>
      <s:c r="I588" s="6" t="n"/>
      <s:c r="J588" s="6" t="str">
        <s:f>IF(AND(COUNT(C588:I588)=7,COUNT('Потребление (МВт·ч)'!C588:I588)=7,SUM('Потребление (МВт·ч)'!C588:I588)&gt;0),SUMPRODUCT(C588:I588,'Потребление (МВт·ч)'!C588:I588)/SUM('Потребление (МВт·ч)'!C588:I588),"")</s:f>
      </s:c>
      <s:c r="K588" s="6" t="n">
        <s:f>IF(SUMIF(C588:I588,"&lt;&gt;",'Потребление (МВт·ч)'!C588:I588)&gt;0,SUMPRODUCT(C588:I588,'Потребление (МВт·ч)'!C588:I588)/SUMIF(C588:I588,"&lt;&gt;",'Потребление (МВт·ч)'!C588:I588),"")</s:f>
        <s:v>2451.3739056128857</s:v>
      </s:c>
      <s:c r="L588" s="6" t="n">
        <s:f>IF(COUNT(C588:I588)&gt;0,AVERAGE(C588:I588),"")</s:f>
        <s:v>2490.8764266666667</s:v>
      </s:c>
      <s:c r="M588" s="10" t="n">
        <s:f>COUNT(C588:I588)</s:f>
        <s:v>6</s:v>
      </s:c>
      <s:c r="N588" s="11" t="n">
        <s:f>IF(AND(COUNT('Потребление (МВт·ч)'!C588:I588)=7,SUM('Потребление (МВт·ч)'!C588:I588)&gt;0),SUMIF(C588:I588,"&lt;&gt;",'Потребление (МВт·ч)'!C588:I588)/SUM('Потребление (МВт·ч)'!C588:I588),"")</s:f>
        <s:v>0.9573372686796187</s:v>
      </s:c>
    </s:row>
    <s:row r="589">
      <s:c r="A589" s="5" t="n">
        <s:v>46290</s:v>
      </s:c>
      <s:c r="B589" s="2" t="n">
        <s:v>8</s:v>
      </s:c>
      <s:c r="C589" s="6" t="n">
        <s:v>2545.92578</s:v>
      </s:c>
      <s:c r="D589" s="6" t="n">
        <s:v>3000.42432</s:v>
      </s:c>
      <s:c r="E589" s="6" t="n">
        <s:v>2905.66772</s:v>
      </s:c>
      <s:c r="F589" s="6" t="n">
        <s:v>2816.40039</s:v>
      </s:c>
      <s:c r="G589" s="6" t="n">
        <s:v>2127.7</s:v>
      </s:c>
      <s:c r="H589" s="6" t="n">
        <s:v>1955.98413</s:v>
      </s:c>
      <s:c r="I589" s="6" t="n"/>
      <s:c r="J589" s="6" t="str">
        <s:f>IF(AND(COUNT(C589:I589)=7,COUNT('Потребление (МВт·ч)'!C589:I589)=7,SUM('Потребление (МВт·ч)'!C589:I589)&gt;0),SUMPRODUCT(C589:I589,'Потребление (МВт·ч)'!C589:I589)/SUM('Потребление (МВт·ч)'!C589:I589),"")</s:f>
      </s:c>
      <s:c r="K589" s="6" t="n">
        <s:f>IF(SUMIF(C589:I589,"&lt;&gt;",'Потребление (МВт·ч)'!C589:I589)&gt;0,SUMPRODUCT(C589:I589,'Потребление (МВт·ч)'!C589:I589)/SUMIF(C589:I589,"&lt;&gt;",'Потребление (МВт·ч)'!C589:I589),"")</s:f>
        <s:v>2503.9594582180744</s:v>
      </s:c>
      <s:c r="L589" s="6" t="n">
        <s:f>IF(COUNT(C589:I589)&gt;0,AVERAGE(C589:I589),"")</s:f>
        <s:v>2558.6837233333335</s:v>
      </s:c>
      <s:c r="M589" s="10" t="n">
        <s:f>COUNT(C589:I589)</s:f>
        <s:v>6</s:v>
      </s:c>
      <s:c r="N589" s="11" t="n">
        <s:f>IF(AND(COUNT('Потребление (МВт·ч)'!C589:I589)=7,SUM('Потребление (МВт·ч)'!C589:I589)&gt;0),SUMIF(C589:I589,"&lt;&gt;",'Потребление (МВт·ч)'!C589:I589)/SUM('Потребление (МВт·ч)'!C589:I589),"")</s:f>
        <s:v>0.9589833593343734</s:v>
      </s:c>
    </s:row>
    <s:row r="590">
      <s:c r="A590" s="5" t="n">
        <s:v>46290</s:v>
      </s:c>
      <s:c r="B590" s="2" t="n">
        <s:v>9</s:v>
      </s:c>
      <s:c r="C590" s="6" t="n">
        <s:v>2636.559</s:v>
      </s:c>
      <s:c r="D590" s="6" t="n">
        <s:v>3080.53979</s:v>
      </s:c>
      <s:c r="E590" s="6" t="n">
        <s:v>2922.67651</s:v>
      </s:c>
      <s:c r="F590" s="6" t="n">
        <s:v>2869.19434</s:v>
      </s:c>
      <s:c r="G590" s="6" t="n">
        <s:v>2136.07764</s:v>
      </s:c>
      <s:c r="H590" s="6" t="n">
        <s:v>1949.56653</s:v>
      </s:c>
      <s:c r="I590" s="6" t="n"/>
      <s:c r="J590" s="6" t="str">
        <s:f>IF(AND(COUNT(C590:I590)=7,COUNT('Потребление (МВт·ч)'!C590:I590)=7,SUM('Потребление (МВт·ч)'!C590:I590)&gt;0),SUMPRODUCT(C590:I590,'Потребление (МВт·ч)'!C590:I590)/SUM('Потребление (МВт·ч)'!C590:I590),"")</s:f>
      </s:c>
      <s:c r="K590" s="6" t="n">
        <s:f>IF(SUMIF(C590:I590,"&lt;&gt;",'Потребление (МВт·ч)'!C590:I590)&gt;0,SUMPRODUCT(C590:I590,'Потребление (МВт·ч)'!C590:I590)/SUMIF(C590:I590,"&lt;&gt;",'Потребление (МВт·ч)'!C590:I590),"")</s:f>
        <s:v>2545.825465530224</s:v>
      </s:c>
      <s:c r="L590" s="6" t="n">
        <s:f>IF(COUNT(C590:I590)&gt;0,AVERAGE(C590:I590),"")</s:f>
        <s:v>2599.1023016666663</s:v>
      </s:c>
      <s:c r="M590" s="10" t="n">
        <s:f>COUNT(C590:I590)</s:f>
        <s:v>6</s:v>
      </s:c>
      <s:c r="N590" s="11" t="n">
        <s:f>IF(AND(COUNT('Потребление (МВт·ч)'!C590:I590)=7,SUM('Потребление (МВт·ч)'!C590:I590)&gt;0),SUMIF(C590:I590,"&lt;&gt;",'Потребление (МВт·ч)'!C590:I590)/SUM('Потребление (МВт·ч)'!C590:I590),"")</s:f>
        <s:v>0.9593143445491035</s:v>
      </s:c>
    </s:row>
    <s:row r="591">
      <s:c r="A591" s="5" t="n">
        <s:v>46290</s:v>
      </s:c>
      <s:c r="B591" s="2" t="n">
        <s:v>10</s:v>
      </s:c>
      <s:c r="C591" s="6" t="n">
        <s:v>2599.572</s:v>
      </s:c>
      <s:c r="D591" s="6" t="n">
        <s:v>3020.481</s:v>
      </s:c>
      <s:c r="E591" s="6" t="n">
        <s:v>2831.31079</s:v>
      </s:c>
      <s:c r="F591" s="6" t="n">
        <s:v>2806.2605</s:v>
      </s:c>
      <s:c r="G591" s="6" t="n">
        <s:v>2093.99</s:v>
      </s:c>
      <s:c r="H591" s="6" t="n">
        <s:v>1969.56641</s:v>
      </s:c>
      <s:c r="I591" s="6" t="n"/>
      <s:c r="J591" s="6" t="str">
        <s:f>IF(AND(COUNT(C591:I591)=7,COUNT('Потребление (МВт·ч)'!C591:I591)=7,SUM('Потребление (МВт·ч)'!C591:I591)&gt;0),SUMPRODUCT(C591:I591,'Потребление (МВт·ч)'!C591:I591)/SUM('Потребление (МВт·ч)'!C591:I591),"")</s:f>
      </s:c>
      <s:c r="K591" s="6" t="n">
        <s:f>IF(SUMIF(C591:I591,"&lt;&gt;",'Потребление (МВт·ч)'!C591:I591)&gt;0,SUMPRODUCT(C591:I591,'Потребление (МВт·ч)'!C591:I591)/SUMIF(C591:I591,"&lt;&gt;",'Потребление (МВт·ч)'!C591:I591),"")</s:f>
        <s:v>2507.378368363553</s:v>
      </s:c>
      <s:c r="L591" s="6" t="n">
        <s:f>IF(COUNT(C591:I591)&gt;0,AVERAGE(C591:I591),"")</s:f>
        <s:v>2553.5301166666663</s:v>
      </s:c>
      <s:c r="M591" s="10" t="n">
        <s:f>COUNT(C591:I591)</s:f>
        <s:v>6</s:v>
      </s:c>
      <s:c r="N591" s="11" t="n">
        <s:f>IF(AND(COUNT('Потребление (МВт·ч)'!C591:I591)=7,SUM('Потребление (МВт·ч)'!C591:I591)&gt;0),SUMIF(C591:I591,"&lt;&gt;",'Потребление (МВт·ч)'!C591:I591)/SUM('Потребление (МВт·ч)'!C591:I591),"")</s:f>
        <s:v>0.960797251301528</s:v>
      </s:c>
    </s:row>
    <s:row r="592">
      <s:c r="A592" s="5" t="n">
        <s:v>46290</s:v>
      </s:c>
      <s:c r="B592" s="2" t="n">
        <s:v>11</s:v>
      </s:c>
      <s:c r="C592" s="6" t="n">
        <s:v>2556.67</s:v>
      </s:c>
      <s:c r="D592" s="6" t="n">
        <s:v>2975.29736</s:v>
      </s:c>
      <s:c r="E592" s="6" t="n">
        <s:v>2718.227</s:v>
      </s:c>
      <s:c r="F592" s="6" t="n">
        <s:v>2776.97266</s:v>
      </s:c>
      <s:c r="G592" s="6" t="n">
        <s:v>2095.885</s:v>
      </s:c>
      <s:c r="H592" s="6" t="n">
        <s:v>1984.58655</s:v>
      </s:c>
      <s:c r="I592" s="6" t="n"/>
      <s:c r="J592" s="6" t="str">
        <s:f>IF(AND(COUNT(C592:I592)=7,COUNT('Потребление (МВт·ч)'!C592:I592)=7,SUM('Потребление (МВт·ч)'!C592:I592)&gt;0),SUMPRODUCT(C592:I592,'Потребление (МВт·ч)'!C592:I592)/SUM('Потребление (МВт·ч)'!C592:I592),"")</s:f>
      </s:c>
      <s:c r="K592" s="6" t="n">
        <s:f>IF(SUMIF(C592:I592,"&lt;&gt;",'Потребление (МВт·ч)'!C592:I592)&gt;0,SUMPRODUCT(C592:I592,'Потребление (МВт·ч)'!C592:I592)/SUMIF(C592:I592,"&lt;&gt;",'Потребление (МВт·ч)'!C592:I592),"")</s:f>
        <s:v>2482.270921065965</s:v>
      </s:c>
      <s:c r="L592" s="6" t="n">
        <s:f>IF(COUNT(C592:I592)&gt;0,AVERAGE(C592:I592),"")</s:f>
        <s:v>2517.939761666667</s:v>
      </s:c>
      <s:c r="M592" s="10" t="n">
        <s:f>COUNT(C592:I592)</s:f>
        <s:v>6</s:v>
      </s:c>
      <s:c r="N592" s="11" t="n">
        <s:f>IF(AND(COUNT('Потребление (МВт·ч)'!C592:I592)=7,SUM('Потребление (МВт·ч)'!C592:I592)&gt;0),SUMIF(C592:I592,"&lt;&gt;",'Потребление (МВт·ч)'!C592:I592)/SUM('Потребление (МВт·ч)'!C592:I592),"")</s:f>
        <s:v>0.9584516671925949</s:v>
      </s:c>
    </s:row>
    <s:row r="593">
      <s:c r="A593" s="5" t="n">
        <s:v>46290</s:v>
      </s:c>
      <s:c r="B593" s="2" t="n">
        <s:v>12</s:v>
      </s:c>
      <s:c r="C593" s="6" t="n">
        <s:v>2624.07886</s:v>
      </s:c>
      <s:c r="D593" s="6" t="n">
        <s:v>3061.17578</s:v>
      </s:c>
      <s:c r="E593" s="6" t="n">
        <s:v>2663.597</s:v>
      </s:c>
      <s:c r="F593" s="6" t="n">
        <s:v>2839.781</s:v>
      </s:c>
      <s:c r="G593" s="6" t="n">
        <s:v>2083.893</s:v>
      </s:c>
      <s:c r="H593" s="6" t="n">
        <s:v>2044.872</s:v>
      </s:c>
      <s:c r="I593" s="6" t="n"/>
      <s:c r="J593" s="6" t="str">
        <s:f>IF(AND(COUNT(C593:I593)=7,COUNT('Потребление (МВт·ч)'!C593:I593)=7,SUM('Потребление (МВт·ч)'!C593:I593)&gt;0),SUMPRODUCT(C593:I593,'Потребление (МВт·ч)'!C593:I593)/SUM('Потребление (МВт·ч)'!C593:I593),"")</s:f>
      </s:c>
      <s:c r="K593" s="6" t="n">
        <s:f>IF(SUMIF(C593:I593,"&lt;&gt;",'Потребление (МВт·ч)'!C593:I593)&gt;0,SUMPRODUCT(C593:I593,'Потребление (МВт·ч)'!C593:I593)/SUMIF(C593:I593,"&lt;&gt;",'Потребление (МВт·ч)'!C593:I593),"")</s:f>
        <s:v>2522.153580100944</s:v>
      </s:c>
      <s:c r="L593" s="6" t="n">
        <s:f>IF(COUNT(C593:I593)&gt;0,AVERAGE(C593:I593),"")</s:f>
        <s:v>2552.8996066666664</s:v>
      </s:c>
      <s:c r="M593" s="10" t="n">
        <s:f>COUNT(C593:I593)</s:f>
        <s:v>6</s:v>
      </s:c>
      <s:c r="N593" s="11" t="n">
        <s:f>IF(AND(COUNT('Потребление (МВт·ч)'!C593:I593)=7,SUM('Потребление (МВт·ч)'!C593:I593)&gt;0),SUMIF(C593:I593,"&lt;&gt;",'Потребление (МВт·ч)'!C593:I593)/SUM('Потребление (МВт·ч)'!C593:I593),"")</s:f>
        <s:v>0.9562932249234706</s:v>
      </s:c>
    </s:row>
    <s:row r="594">
      <s:c r="A594" s="5" t="n">
        <s:v>46290</s:v>
      </s:c>
      <s:c r="B594" s="2" t="n">
        <s:v>13</s:v>
      </s:c>
      <s:c r="C594" s="6" t="n">
        <s:v>2624.58081</s:v>
      </s:c>
      <s:c r="D594" s="6" t="n">
        <s:v>3052.58032</s:v>
      </s:c>
      <s:c r="E594" s="6" t="n">
        <s:v>2673.35352</s:v>
      </s:c>
      <s:c r="F594" s="6" t="n">
        <s:v>2839.498</s:v>
      </s:c>
      <s:c r="G594" s="6" t="n">
        <s:v>2002.10437</s:v>
      </s:c>
      <s:c r="H594" s="6" t="n">
        <s:v>2140.32544</s:v>
      </s:c>
      <s:c r="I594" s="6" t="n"/>
      <s:c r="J594" s="6" t="str">
        <s:f>IF(AND(COUNT(C594:I594)=7,COUNT('Потребление (МВт·ч)'!C594:I594)=7,SUM('Потребление (МВт·ч)'!C594:I594)&gt;0),SUMPRODUCT(C594:I594,'Потребление (МВт·ч)'!C594:I594)/SUM('Потребление (МВт·ч)'!C594:I594),"")</s:f>
      </s:c>
      <s:c r="K594" s="6" t="n">
        <s:f>IF(SUMIF(C594:I594,"&lt;&gt;",'Потребление (МВт·ч)'!C594:I594)&gt;0,SUMPRODUCT(C594:I594,'Потребление (МВт·ч)'!C594:I594)/SUMIF(C594:I594,"&lt;&gt;",'Потребление (МВт·ч)'!C594:I594),"")</s:f>
        <s:v>2523.386577715526</s:v>
      </s:c>
      <s:c r="L594" s="6" t="n">
        <s:f>IF(COUNT(C594:I594)&gt;0,AVERAGE(C594:I594),"")</s:f>
        <s:v>2555.407076666667</s:v>
      </s:c>
      <s:c r="M594" s="10" t="n">
        <s:f>COUNT(C594:I594)</s:f>
        <s:v>6</s:v>
      </s:c>
      <s:c r="N594" s="11" t="n">
        <s:f>IF(AND(COUNT('Потребление (МВт·ч)'!C594:I594)=7,SUM('Потребление (МВт·ч)'!C594:I594)&gt;0),SUMIF(C594:I594,"&lt;&gt;",'Потребление (МВт·ч)'!C594:I594)/SUM('Потребление (МВт·ч)'!C594:I594),"")</s:f>
        <s:v>0.9567933032839665</s:v>
      </s:c>
    </s:row>
    <s:row r="595">
      <s:c r="A595" s="5" t="n">
        <s:v>46290</s:v>
      </s:c>
      <s:c r="B595" s="2" t="n">
        <s:v>14</s:v>
      </s:c>
      <s:c r="C595" s="6" t="n">
        <s:v>2527.06348</s:v>
      </s:c>
      <s:c r="D595" s="6" t="n">
        <s:v>2921.17236</s:v>
      </s:c>
      <s:c r="E595" s="6" t="n">
        <s:v>2655.156</s:v>
      </s:c>
      <s:c r="F595" s="6" t="n">
        <s:v>2728.442</s:v>
      </s:c>
      <s:c r="G595" s="6" t="n">
        <s:v>1947.37683</s:v>
      </s:c>
      <s:c r="H595" s="6" t="n">
        <s:v>2014.36731</s:v>
      </s:c>
      <s:c r="I595" s="6" t="n"/>
      <s:c r="J595" s="6" t="str">
        <s:f>IF(AND(COUNT(C595:I595)=7,COUNT('Потребление (МВт·ч)'!C595:I595)=7,SUM('Потребление (МВт·ч)'!C595:I595)&gt;0),SUMPRODUCT(C595:I595,'Потребление (МВт·ч)'!C595:I595)/SUM('Потребление (МВт·ч)'!C595:I595),"")</s:f>
      </s:c>
      <s:c r="K595" s="6" t="n">
        <s:f>IF(SUMIF(C595:I595,"&lt;&gt;",'Потребление (МВт·ч)'!C595:I595)&gt;0,SUMPRODUCT(C595:I595,'Потребление (МВт·ч)'!C595:I595)/SUMIF(C595:I595,"&lt;&gt;",'Потребление (МВт·ч)'!C595:I595),"")</s:f>
        <s:v>2425.8697009643206</s:v>
      </s:c>
      <s:c r="L595" s="6" t="n">
        <s:f>IF(COUNT(C595:I595)&gt;0,AVERAGE(C595:I595),"")</s:f>
        <s:v>2465.59633</s:v>
      </s:c>
      <s:c r="M595" s="10" t="n">
        <s:f>COUNT(C595:I595)</s:f>
        <s:v>6</s:v>
      </s:c>
      <s:c r="N595" s="11" t="n">
        <s:f>IF(AND(COUNT('Потребление (МВт·ч)'!C595:I595)=7,SUM('Потребление (МВт·ч)'!C595:I595)&gt;0),SUMIF(C595:I595,"&lt;&gt;",'Потребление (МВт·ч)'!C595:I595)/SUM('Потребление (МВт·ч)'!C595:I595),"")</s:f>
        <s:v>0.9571441273228416</s:v>
      </s:c>
    </s:row>
    <s:row r="596">
      <s:c r="A596" s="5" t="n">
        <s:v>46290</s:v>
      </s:c>
      <s:c r="B596" s="2" t="n">
        <s:v>15</s:v>
      </s:c>
      <s:c r="C596" s="6" t="n">
        <s:v>2502.79736</s:v>
      </s:c>
      <s:c r="D596" s="6" t="n">
        <s:v>2893.75049</s:v>
      </s:c>
      <s:c r="E596" s="6" t="n">
        <s:v>2660.171</s:v>
      </s:c>
      <s:c r="F596" s="6" t="n">
        <s:v>2711.6167</s:v>
      </s:c>
      <s:c r="G596" s="6" t="n">
        <s:v>2001.51074</s:v>
      </s:c>
      <s:c r="H596" s="6" t="n">
        <s:v>2000.43164</s:v>
      </s:c>
      <s:c r="I596" s="6" t="n"/>
      <s:c r="J596" s="6" t="str">
        <s:f>IF(AND(COUNT(C596:I596)=7,COUNT('Потребление (МВт·ч)'!C596:I596)=7,SUM('Потребление (МВт·ч)'!C596:I596)&gt;0),SUMPRODUCT(C596:I596,'Потребление (МВт·ч)'!C596:I596)/SUM('Потребление (МВт·ч)'!C596:I596),"")</s:f>
      </s:c>
      <s:c r="K596" s="6" t="n">
        <s:f>IF(SUMIF(C596:I596,"&lt;&gt;",'Потребление (МВт·ч)'!C596:I596)&gt;0,SUMPRODUCT(C596:I596,'Потребление (МВт·ч)'!C596:I596)/SUMIF(C596:I596,"&lt;&gt;",'Потребление (МВт·ч)'!C596:I596),"")</s:f>
        <s:v>2421.547687435482</s:v>
      </s:c>
      <s:c r="L596" s="6" t="n">
        <s:f>IF(COUNT(C596:I596)&gt;0,AVERAGE(C596:I596),"")</s:f>
        <s:v>2461.712988333333</s:v>
      </s:c>
      <s:c r="M596" s="10" t="n">
        <s:f>COUNT(C596:I596)</s:f>
        <s:v>6</s:v>
      </s:c>
      <s:c r="N596" s="11" t="n">
        <s:f>IF(AND(COUNT('Потребление (МВт·ч)'!C596:I596)=7,SUM('Потребление (МВт·ч)'!C596:I596)&gt;0),SUMIF(C596:I596,"&lt;&gt;",'Потребление (МВт·ч)'!C596:I596)/SUM('Потребление (МВт·ч)'!C596:I596),"")</s:f>
        <s:v>0.958273730149109</s:v>
      </s:c>
    </s:row>
    <s:row r="597">
      <s:c r="A597" s="5" t="n">
        <s:v>46290</s:v>
      </s:c>
      <s:c r="B597" s="2" t="n">
        <s:v>16</s:v>
      </s:c>
      <s:c r="C597" s="6" t="n">
        <s:v>2470.59131</s:v>
      </s:c>
      <s:c r="D597" s="6" t="n">
        <s:v>2854.69019</s:v>
      </s:c>
      <s:c r="E597" s="6" t="n">
        <s:v>2715.94287</s:v>
      </s:c>
      <s:c r="F597" s="6" t="n">
        <s:v>2686.42554</s:v>
      </s:c>
      <s:c r="G597" s="6" t="n">
        <s:v>2050.66772</s:v>
      </s:c>
      <s:c r="H597" s="6" t="n">
        <s:v>1993.03516</s:v>
      </s:c>
      <s:c r="I597" s="6" t="n"/>
      <s:c r="J597" s="6" t="str">
        <s:f>IF(AND(COUNT(C597:I597)=7,COUNT('Потребление (МВт·ч)'!C597:I597)=7,SUM('Потребление (МВт·ч)'!C597:I597)&gt;0),SUMPRODUCT(C597:I597,'Потребление (МВт·ч)'!C597:I597)/SUM('Потребление (МВт·ч)'!C597:I597),"")</s:f>
      </s:c>
      <s:c r="K597" s="6" t="n">
        <s:f>IF(SUMIF(C597:I597,"&lt;&gt;",'Потребление (МВт·ч)'!C597:I597)&gt;0,SUMPRODUCT(C597:I597,'Потребление (МВт·ч)'!C597:I597)/SUMIF(C597:I597,"&lt;&gt;",'Потребление (МВт·ч)'!C597:I597),"")</s:f>
        <s:v>2419.1003354334384</s:v>
      </s:c>
      <s:c r="L597" s="6" t="n">
        <s:f>IF(COUNT(C597:I597)&gt;0,AVERAGE(C597:I597),"")</s:f>
        <s:v>2461.8921316666665</s:v>
      </s:c>
      <s:c r="M597" s="10" t="n">
        <s:f>COUNT(C597:I597)</s:f>
        <s:v>6</s:v>
      </s:c>
      <s:c r="N597" s="11" t="n">
        <s:f>IF(AND(COUNT('Потребление (МВт·ч)'!C597:I597)=7,SUM('Потребление (МВт·ч)'!C597:I597)&gt;0),SUMIF(C597:I597,"&lt;&gt;",'Потребление (МВт·ч)'!C597:I597)/SUM('Потребление (МВт·ч)'!C597:I597),"")</s:f>
        <s:v>0.9590969066119337</s:v>
      </s:c>
    </s:row>
    <s:row r="598">
      <s:c r="A598" s="5" t="n">
        <s:v>46290</s:v>
      </s:c>
      <s:c r="B598" s="2" t="n">
        <s:v>17</s:v>
      </s:c>
      <s:c r="C598" s="6" t="n">
        <s:v>2496.21436</s:v>
      </s:c>
      <s:c r="D598" s="6" t="n">
        <s:v>2877.295</s:v>
      </s:c>
      <s:c r="E598" s="6" t="n">
        <s:v>2757.34424</s:v>
      </s:c>
      <s:c r="F598" s="6" t="n">
        <s:v>2725.36914</s:v>
      </s:c>
      <s:c r="G598" s="6" t="n">
        <s:v>2146.22437</s:v>
      </s:c>
      <s:c r="H598" s="6" t="n">
        <s:v>2126.23242</s:v>
      </s:c>
      <s:c r="I598" s="6" t="n"/>
      <s:c r="J598" s="6" t="str">
        <s:f>IF(AND(COUNT(C598:I598)=7,COUNT('Потребление (МВт·ч)'!C598:I598)=7,SUM('Потребление (МВт·ч)'!C598:I598)&gt;0),SUMPRODUCT(C598:I598,'Потребление (МВт·ч)'!C598:I598)/SUM('Потребление (МВт·ч)'!C598:I598),"")</s:f>
      </s:c>
      <s:c r="K598" s="6" t="n">
        <s:f>IF(SUMIF(C598:I598,"&lt;&gt;",'Потребление (МВт·ч)'!C598:I598)&gt;0,SUMPRODUCT(C598:I598,'Потребление (МВт·ч)'!C598:I598)/SUMIF(C598:I598,"&lt;&gt;",'Потребление (МВт·ч)'!C598:I598),"")</s:f>
        <s:v>2486.7087845784895</s:v>
      </s:c>
      <s:c r="L598" s="6" t="n">
        <s:f>IF(COUNT(C598:I598)&gt;0,AVERAGE(C598:I598),"")</s:f>
        <s:v>2521.4465883333337</s:v>
      </s:c>
      <s:c r="M598" s="10" t="n">
        <s:f>COUNT(C598:I598)</s:f>
        <s:v>6</s:v>
      </s:c>
      <s:c r="N598" s="11" t="n">
        <s:f>IF(AND(COUNT('Потребление (МВт·ч)'!C598:I598)=7,SUM('Потребление (МВт·ч)'!C598:I598)&gt;0),SUMIF(C598:I598,"&lt;&gt;",'Потребление (МВт·ч)'!C598:I598)/SUM('Потребление (МВт·ч)'!C598:I598),"")</s:f>
        <s:v>0.9612117688854439</s:v>
      </s:c>
    </s:row>
    <s:row r="599">
      <s:c r="A599" s="5" t="n">
        <s:v>46290</s:v>
      </s:c>
      <s:c r="B599" s="2" t="n">
        <s:v>18</s:v>
      </s:c>
      <s:c r="C599" s="6" t="n">
        <s:v>2615.26563</s:v>
      </s:c>
      <s:c r="D599" s="6" t="n">
        <s:v>3034.75732</s:v>
      </s:c>
      <s:c r="E599" s="6" t="n">
        <s:v>2999.021</s:v>
      </s:c>
      <s:c r="F599" s="6" t="n">
        <s:v>2843.43286</s:v>
      </s:c>
      <s:c r="G599" s="6" t="n">
        <s:v>2139.14551</s:v>
      </s:c>
      <s:c r="H599" s="6" t="n">
        <s:v>1953.476</s:v>
      </s:c>
      <s:c r="I599" s="6" t="n"/>
      <s:c r="J599" s="6" t="str">
        <s:f>IF(AND(COUNT(C599:I599)=7,COUNT('Потребление (МВт·ч)'!C599:I599)=7,SUM('Потребление (МВт·ч)'!C599:I599)&gt;0),SUMPRODUCT(C599:I599,'Потребление (МВт·ч)'!C599:I599)/SUM('Потребление (МВт·ч)'!C599:I599),"")</s:f>
      </s:c>
      <s:c r="K599" s="6" t="n">
        <s:f>IF(SUMIF(C599:I599,"&lt;&gt;",'Потребление (МВт·ч)'!C599:I599)&gt;0,SUMPRODUCT(C599:I599,'Потребление (МВт·ч)'!C599:I599)/SUMIF(C599:I599,"&lt;&gt;",'Потребление (МВт·ч)'!C599:I599),"")</s:f>
        <s:v>2545.918376097224</s:v>
      </s:c>
      <s:c r="L599" s="6" t="n">
        <s:f>IF(COUNT(C599:I599)&gt;0,AVERAGE(C599:I599),"")</s:f>
        <s:v>2597.5163866666667</s:v>
      </s:c>
      <s:c r="M599" s="10" t="n">
        <s:f>COUNT(C599:I599)</s:f>
        <s:v>6</s:v>
      </s:c>
      <s:c r="N599" s="11" t="n">
        <s:f>IF(AND(COUNT('Потребление (МВт·ч)'!C599:I599)=7,SUM('Потребление (МВт·ч)'!C599:I599)&gt;0),SUMIF(C599:I599,"&lt;&gt;",'Потребление (МВт·ч)'!C599:I599)/SUM('Потребление (МВт·ч)'!C599:I599),"")</s:f>
        <s:v>0.9623583606478163</s:v>
      </s:c>
    </s:row>
    <s:row r="600">
      <s:c r="A600" s="5" t="n">
        <s:v>46290</s:v>
      </s:c>
      <s:c r="B600" s="2" t="n">
        <s:v>19</s:v>
      </s:c>
      <s:c r="C600" s="6" t="n">
        <s:v>2542.63916</s:v>
      </s:c>
      <s:c r="D600" s="6" t="n">
        <s:v>2903.51587</s:v>
      </s:c>
      <s:c r="E600" s="6" t="n">
        <s:v>2825.85864</s:v>
      </s:c>
      <s:c r="F600" s="6" t="n">
        <s:v>2713.14</s:v>
      </s:c>
      <s:c r="G600" s="6" t="n">
        <s:v>2054.85864</s:v>
      </s:c>
      <s:c r="H600" s="6" t="n">
        <s:v>1805.87317</s:v>
      </s:c>
      <s:c r="I600" s="6" t="n"/>
      <s:c r="J600" s="6" t="str">
        <s:f>IF(AND(COUNT(C600:I600)=7,COUNT('Потребление (МВт·ч)'!C600:I600)=7,SUM('Потребление (МВт·ч)'!C600:I600)&gt;0),SUMPRODUCT(C600:I600,'Потребление (МВт·ч)'!C600:I600)/SUM('Потребление (МВт·ч)'!C600:I600),"")</s:f>
      </s:c>
      <s:c r="K600" s="6" t="n">
        <s:f>IF(SUMIF(C600:I600,"&lt;&gt;",'Потребление (МВт·ч)'!C600:I600)&gt;0,SUMPRODUCT(C600:I600,'Потребление (МВт·ч)'!C600:I600)/SUMIF(C600:I600,"&lt;&gt;",'Потребление (МВт·ч)'!C600:I600),"")</s:f>
        <s:v>2425.5429047810694</s:v>
      </s:c>
      <s:c r="L600" s="6" t="n">
        <s:f>IF(COUNT(C600:I600)&gt;0,AVERAGE(C600:I600),"")</s:f>
        <s:v>2474.314246666667</s:v>
      </s:c>
      <s:c r="M600" s="10" t="n">
        <s:f>COUNT(C600:I600)</s:f>
        <s:v>6</s:v>
      </s:c>
      <s:c r="N600" s="11" t="n">
        <s:f>IF(AND(COUNT('Потребление (МВт·ч)'!C600:I600)=7,SUM('Потребление (МВт·ч)'!C600:I600)&gt;0),SUMIF(C600:I600,"&lt;&gt;",'Потребление (МВт·ч)'!C600:I600)/SUM('Потребление (МВт·ч)'!C600:I600),"")</s:f>
        <s:v>0.9625519541325097</s:v>
      </s:c>
    </s:row>
    <s:row r="601">
      <s:c r="A601" s="5" t="n">
        <s:v>46290</s:v>
      </s:c>
      <s:c r="B601" s="2" t="n">
        <s:v>20</s:v>
      </s:c>
      <s:c r="C601" s="6" t="n">
        <s:v>2537.388</s:v>
      </s:c>
      <s:c r="D601" s="6" t="n">
        <s:v>2843.57446</s:v>
      </s:c>
      <s:c r="E601" s="6" t="n">
        <s:v>2678.54932</s:v>
      </s:c>
      <s:c r="F601" s="6" t="n">
        <s:v>2656.17236</s:v>
      </s:c>
      <s:c r="G601" s="6" t="n">
        <s:v>2006.09583</s:v>
      </s:c>
      <s:c r="H601" s="6" t="n">
        <s:v>1891.22852</s:v>
      </s:c>
      <s:c r="I601" s="6" t="n"/>
      <s:c r="J601" s="6" t="str">
        <s:f>IF(AND(COUNT(C601:I601)=7,COUNT('Потребление (МВт·ч)'!C601:I601)=7,SUM('Потребление (МВт·ч)'!C601:I601)&gt;0),SUMPRODUCT(C601:I601,'Потребление (МВт·ч)'!C601:I601)/SUM('Потребление (МВт·ч)'!C601:I601),"")</s:f>
      </s:c>
      <s:c r="K601" s="6" t="n">
        <s:f>IF(SUMIF(C601:I601,"&lt;&gt;",'Потребление (МВт·ч)'!C601:I601)&gt;0,SUMPRODUCT(C601:I601,'Потребление (МВт·ч)'!C601:I601)/SUMIF(C601:I601,"&lt;&gt;",'Потребление (МВт·ч)'!C601:I601),"")</s:f>
        <s:v>2393.380329363416</s:v>
      </s:c>
      <s:c r="L601" s="6" t="n">
        <s:f>IF(COUNT(C601:I601)&gt;0,AVERAGE(C601:I601),"")</s:f>
        <s:v>2435.501415</s:v>
      </s:c>
      <s:c r="M601" s="10" t="n">
        <s:f>COUNT(C601:I601)</s:f>
        <s:v>6</s:v>
      </s:c>
      <s:c r="N601" s="11" t="n">
        <s:f>IF(AND(COUNT('Потребление (МВт·ч)'!C601:I601)=7,SUM('Потребление (МВт·ч)'!C601:I601)&gt;0),SUMIF(C601:I601,"&lt;&gt;",'Потребление (МВт·ч)'!C601:I601)/SUM('Потребление (МВт·ч)'!C601:I601),"")</s:f>
        <s:v>0.9622285728652481</s:v>
      </s:c>
    </s:row>
    <s:row r="602">
      <s:c r="A602" s="5" t="n">
        <s:v>46290</s:v>
      </s:c>
      <s:c r="B602" s="2" t="n">
        <s:v>21</s:v>
      </s:c>
      <s:c r="C602" s="6" t="n">
        <s:v>2312.32129</s:v>
      </s:c>
      <s:c r="D602" s="6" t="n">
        <s:v>2587.73682</s:v>
      </s:c>
      <s:c r="E602" s="6" t="n">
        <s:v>2427.13672</s:v>
      </s:c>
      <s:c r="F602" s="6" t="n">
        <s:v>2434.06274</s:v>
      </s:c>
      <s:c r="G602" s="6" t="n">
        <s:v>1874.05835</s:v>
      </s:c>
      <s:c r="H602" s="6" t="n">
        <s:v>1821.80188</s:v>
      </s:c>
      <s:c r="I602" s="6" t="n"/>
      <s:c r="J602" s="6" t="str">
        <s:f>IF(AND(COUNT(C602:I602)=7,COUNT('Потребление (МВт·ч)'!C602:I602)=7,SUM('Потребление (МВт·ч)'!C602:I602)&gt;0),SUMPRODUCT(C602:I602,'Потребление (МВт·ч)'!C602:I602)/SUM('Потребление (МВт·ч)'!C602:I602),"")</s:f>
      </s:c>
      <s:c r="K602" s="6" t="n">
        <s:f>IF(SUMIF(C602:I602,"&lt;&gt;",'Потребление (МВт·ч)'!C602:I602)&gt;0,SUMPRODUCT(C602:I602,'Потребление (МВт·ч)'!C602:I602)/SUMIF(C602:I602,"&lt;&gt;",'Потребление (МВт·ч)'!C602:I602),"")</s:f>
        <s:v>2207.485538303163</s:v>
      </s:c>
      <s:c r="L602" s="6" t="n">
        <s:f>IF(COUNT(C602:I602)&gt;0,AVERAGE(C602:I602),"")</s:f>
        <s:v>2242.852966666667</s:v>
      </s:c>
      <s:c r="M602" s="10" t="n">
        <s:f>COUNT(C602:I602)</s:f>
        <s:v>6</s:v>
      </s:c>
      <s:c r="N602" s="11" t="n">
        <s:f>IF(AND(COUNT('Потребление (МВт·ч)'!C602:I602)=7,SUM('Потребление (МВт·ч)'!C602:I602)&gt;0),SUMIF(C602:I602,"&lt;&gt;",'Потребление (МВт·ч)'!C602:I602)/SUM('Потребление (МВт·ч)'!C602:I602),"")</s:f>
        <s:v>0.9608375438896977</s:v>
      </s:c>
    </s:row>
    <s:row r="603">
      <s:c r="A603" s="5" t="n">
        <s:v>46290</s:v>
      </s:c>
      <s:c r="B603" s="2" t="n">
        <s:v>22</s:v>
      </s:c>
      <s:c r="C603" s="6" t="n">
        <s:v>1803.87048</s:v>
      </s:c>
      <s:c r="D603" s="6" t="n">
        <s:v>2081.29</s:v>
      </s:c>
      <s:c r="E603" s="6" t="n">
        <s:v>2015.8938</s:v>
      </s:c>
      <s:c r="F603" s="6" t="n">
        <s:v>1999.55371</s:v>
      </s:c>
      <s:c r="G603" s="6" t="n">
        <s:v>1747.14551</s:v>
      </s:c>
      <s:c r="H603" s="6" t="n">
        <s:v>1761.86755</s:v>
      </s:c>
      <s:c r="I603" s="6" t="n"/>
      <s:c r="J603" s="6" t="str">
        <s:f>IF(AND(COUNT(C603:I603)=7,COUNT('Потребление (МВт·ч)'!C603:I603)=7,SUM('Потребление (МВт·ч)'!C603:I603)&gt;0),SUMPRODUCT(C603:I603,'Потребление (МВт·ч)'!C603:I603)/SUM('Потребление (МВт·ч)'!C603:I603),"")</s:f>
      </s:c>
      <s:c r="K603" s="6" t="n">
        <s:f>IF(SUMIF(C603:I603,"&lt;&gt;",'Потребление (МВт·ч)'!C603:I603)&gt;0,SUMPRODUCT(C603:I603,'Потребление (МВт·ч)'!C603:I603)/SUMIF(C603:I603,"&lt;&gt;",'Потребление (МВт·ч)'!C603:I603),"")</s:f>
        <s:v>1894.6215433076402</s:v>
      </s:c>
      <s:c r="L603" s="6" t="n">
        <s:f>IF(COUNT(C603:I603)&gt;0,AVERAGE(C603:I603),"")</s:f>
        <s:v>1901.6035083333336</s:v>
      </s:c>
      <s:c r="M603" s="10" t="n">
        <s:f>COUNT(C603:I603)</s:f>
        <s:v>6</s:v>
      </s:c>
      <s:c r="N603" s="11" t="n">
        <s:f>IF(AND(COUNT('Потребление (МВт·ч)'!C603:I603)=7,SUM('Потребление (МВт·ч)'!C603:I603)&gt;0),SUMIF(C603:I603,"&lt;&gt;",'Потребление (МВт·ч)'!C603:I603)/SUM('Потребление (МВт·ч)'!C603:I603),"")</s:f>
        <s:v>0.959587297333512</s:v>
      </s:c>
    </s:row>
    <s:row r="604">
      <s:c r="A604" s="5" t="n">
        <s:v>46290</s:v>
      </s:c>
      <s:c r="B604" s="2" t="n">
        <s:v>23</s:v>
      </s:c>
      <s:c r="C604" s="6" t="n">
        <s:v>1572.975</s:v>
      </s:c>
      <s:c r="D604" s="6" t="n">
        <s:v>1869.60132</s:v>
      </s:c>
      <s:c r="E604" s="6" t="n">
        <s:v>1750.09631</s:v>
      </s:c>
      <s:c r="F604" s="6" t="n">
        <s:v>1821.40723</s:v>
      </s:c>
      <s:c r="G604" s="6" t="n">
        <s:v>1600.43176</s:v>
      </s:c>
      <s:c r="H604" s="6" t="n">
        <s:v>1634.25879</s:v>
      </s:c>
      <s:c r="I604" s="6" t="n"/>
      <s:c r="J604" s="6" t="str">
        <s:f>IF(AND(COUNT(C604:I604)=7,COUNT('Потребление (МВт·ч)'!C604:I604)=7,SUM('Потребление (МВт·ч)'!C604:I604)&gt;0),SUMPRODUCT(C604:I604,'Потребление (МВт·ч)'!C604:I604)/SUM('Потребление (МВт·ч)'!C604:I604),"")</s:f>
      </s:c>
      <s:c r="K604" s="6" t="n">
        <s:f>IF(SUMIF(C604:I604,"&lt;&gt;",'Потребление (МВт·ч)'!C604:I604)&gt;0,SUMPRODUCT(C604:I604,'Потребление (МВт·ч)'!C604:I604)/SUMIF(C604:I604,"&lt;&gt;",'Потребление (МВт·ч)'!C604:I604),"")</s:f>
        <s:v>1710.340371937273</s:v>
      </s:c>
      <s:c r="L604" s="6" t="n">
        <s:f>IF(COUNT(C604:I604)&gt;0,AVERAGE(C604:I604),"")</s:f>
        <s:v>1708.1284016666666</s:v>
      </s:c>
      <s:c r="M604" s="10" t="n">
        <s:f>COUNT(C604:I604)</s:f>
        <s:v>6</s:v>
      </s:c>
      <s:c r="N604" s="11" t="n">
        <s:f>IF(AND(COUNT('Потребление (МВт·ч)'!C604:I604)=7,SUM('Потребление (МВт·ч)'!C604:I604)&gt;0),SUMIF(C604:I604,"&lt;&gt;",'Потребление (МВт·ч)'!C604:I604)/SUM('Потребление (МВт·ч)'!C604:I604),"")</s:f>
        <s:v>0.956768040905287</s:v>
      </s:c>
    </s:row>
    <s:row r="605">
      <s:c r="A605" s="5" t="n">
        <s:v>46291</s:v>
      </s:c>
      <s:c r="B605" s="2" t="n">
        <s:v>0</s:v>
      </s:c>
      <s:c r="C605" s="6" t="n">
        <s:v>1904.74609</s:v>
      </s:c>
      <s:c r="D605" s="6" t="n">
        <s:v>2300.62915</s:v>
      </s:c>
      <s:c r="E605" s="6" t="n">
        <s:v>2260.98853</s:v>
      </s:c>
      <s:c r="F605" s="6" t="n">
        <s:v>2217.40967</s:v>
      </s:c>
      <s:c r="G605" s="6" t="n">
        <s:v>1843.34241</s:v>
      </s:c>
      <s:c r="H605" s="6" t="n">
        <s:v>1916.96875</s:v>
      </s:c>
      <s:c r="I605" s="6" t="n"/>
      <s:c r="J605" s="6" t="str">
        <s:f>IF(AND(COUNT(C605:I605)=7,COUNT('Потребление (МВт·ч)'!C605:I605)=7,SUM('Потребление (МВт·ч)'!C605:I605)&gt;0),SUMPRODUCT(C605:I605,'Потребление (МВт·ч)'!C605:I605)/SUM('Потребление (МВт·ч)'!C605:I605),"")</s:f>
      </s:c>
      <s:c r="K605" s="6" t="n">
        <s:f>IF(SUMIF(C605:I605,"&lt;&gt;",'Потребление (МВт·ч)'!C605:I605)&gt;0,SUMPRODUCT(C605:I605,'Потребление (МВт·ч)'!C605:I605)/SUMIF(C605:I605,"&lt;&gt;",'Потребление (МВт·ч)'!C605:I605),"")</s:f>
        <s:v>2056.072885672692</s:v>
      </s:c>
      <s:c r="L605" s="6" t="n">
        <s:f>IF(COUNT(C605:I605)&gt;0,AVERAGE(C605:I605),"")</s:f>
        <s:v>2074.0141</s:v>
      </s:c>
      <s:c r="M605" s="10" t="n">
        <s:f>COUNT(C605:I605)</s:f>
        <s:v>6</s:v>
      </s:c>
      <s:c r="N605" s="11" t="n">
        <s:f>IF(AND(COUNT('Потребление (МВт·ч)'!C605:I605)=7,SUM('Потребление (МВт·ч)'!C605:I605)&gt;0),SUMIF(C605:I605,"&lt;&gt;",'Потребление (МВт·ч)'!C605:I605)/SUM('Потребление (МВт·ч)'!C605:I605),"")</s:f>
        <s:v>0.9541464422183208</s:v>
      </s:c>
    </s:row>
    <s:row r="606">
      <s:c r="A606" s="5" t="n">
        <s:v>46291</s:v>
      </s:c>
      <s:c r="B606" s="2" t="n">
        <s:v>1</s:v>
      </s:c>
      <s:c r="C606" s="6" t="n">
        <s:v>1585.08594</s:v>
      </s:c>
      <s:c r="D606" s="6" t="n">
        <s:v>2274.99219</s:v>
      </s:c>
      <s:c r="E606" s="6" t="n">
        <s:v>2231.3418</s:v>
      </s:c>
      <s:c r="F606" s="6" t="n">
        <s:v>2210.467</s:v>
      </s:c>
      <s:c r="G606" s="6" t="n">
        <s:v>1848.54333</s:v>
      </s:c>
      <s:c r="H606" s="6" t="n">
        <s:v>1926.24658</s:v>
      </s:c>
      <s:c r="I606" s="6" t="n"/>
      <s:c r="J606" s="6" t="str">
        <s:f>IF(AND(COUNT(C606:I606)=7,COUNT('Потребление (МВт·ч)'!C606:I606)=7,SUM('Потребление (МВт·ч)'!C606:I606)&gt;0),SUMPRODUCT(C606:I606,'Потребление (МВт·ч)'!C606:I606)/SUM('Потребление (МВт·ч)'!C606:I606),"")</s:f>
      </s:c>
      <s:c r="K606" s="6" t="n">
        <s:f>IF(SUMIF(C606:I606,"&lt;&gt;",'Потребление (МВт·ч)'!C606:I606)&gt;0,SUMPRODUCT(C606:I606,'Потребление (МВт·ч)'!C606:I606)/SUMIF(C606:I606,"&lt;&gt;",'Потребление (МВт·ч)'!C606:I606),"")</s:f>
        <s:v>2017.9729982070583</s:v>
      </s:c>
      <s:c r="L606" s="6" t="n">
        <s:f>IF(COUNT(C606:I606)&gt;0,AVERAGE(C606:I606),"")</s:f>
        <s:v>2012.7794733333333</s:v>
      </s:c>
      <s:c r="M606" s="10" t="n">
        <s:f>COUNT(C606:I606)</s:f>
        <s:v>6</s:v>
      </s:c>
      <s:c r="N606" s="11" t="n">
        <s:f>IF(AND(COUNT('Потребление (МВт·ч)'!C606:I606)=7,SUM('Потребление (МВт·ч)'!C606:I606)&gt;0),SUMIF(C606:I606,"&lt;&gt;",'Потребление (МВт·ч)'!C606:I606)/SUM('Потребление (МВт·ч)'!C606:I606),"")</s:f>
        <s:v>0.9515779673576409</s:v>
      </s:c>
    </s:row>
    <s:row r="607">
      <s:c r="A607" s="5" t="n">
        <s:v>46291</s:v>
      </s:c>
      <s:c r="B607" s="2" t="n">
        <s:v>2</s:v>
      </s:c>
      <s:c r="C607" s="6" t="n">
        <s:v>1507.85278</s:v>
      </s:c>
      <s:c r="D607" s="6" t="n">
        <s:v>2148.47217</s:v>
      </s:c>
      <s:c r="E607" s="6" t="n">
        <s:v>2083.63281</s:v>
      </s:c>
      <s:c r="F607" s="6" t="n">
        <s:v>2090.54077</s:v>
      </s:c>
      <s:c r="G607" s="6" t="n">
        <s:v>1825.14514</s:v>
      </s:c>
      <s:c r="H607" s="6" t="n">
        <s:v>1978.96619</s:v>
      </s:c>
      <s:c r="I607" s="6" t="n"/>
      <s:c r="J607" s="6" t="str">
        <s:f>IF(AND(COUNT(C607:I607)=7,COUNT('Потребление (МВт·ч)'!C607:I607)=7,SUM('Потребление (МВт·ч)'!C607:I607)&gt;0),SUMPRODUCT(C607:I607,'Потребление (МВт·ч)'!C607:I607)/SUM('Потребление (МВт·ч)'!C607:I607),"")</s:f>
      </s:c>
      <s:c r="K607" s="6" t="n">
        <s:f>IF(SUMIF(C607:I607,"&lt;&gt;",'Потребление (МВт·ч)'!C607:I607)&gt;0,SUMPRODUCT(C607:I607,'Потребление (МВт·ч)'!C607:I607)/SUMIF(C607:I607,"&lt;&gt;",'Потребление (МВт·ч)'!C607:I607),"")</s:f>
        <s:v>1959.5287312852224</s:v>
      </s:c>
      <s:c r="L607" s="6" t="n">
        <s:f>IF(COUNT(C607:I607)&gt;0,AVERAGE(C607:I607),"")</s:f>
        <s:v>1939.1016433333334</s:v>
      </s:c>
      <s:c r="M607" s="10" t="n">
        <s:f>COUNT(C607:I607)</s:f>
        <s:v>6</s:v>
      </s:c>
      <s:c r="N607" s="11" t="n">
        <s:f>IF(AND(COUNT('Потребление (МВт·ч)'!C607:I607)=7,SUM('Потребление (МВт·ч)'!C607:I607)&gt;0),SUMIF(C607:I607,"&lt;&gt;",'Потребление (МВт·ч)'!C607:I607)/SUM('Потребление (МВт·ч)'!C607:I607),"")</s:f>
        <s:v>0.9494408642911296</s:v>
      </s:c>
    </s:row>
    <s:row r="608">
      <s:c r="A608" s="5" t="n">
        <s:v>46291</s:v>
      </s:c>
      <s:c r="B608" s="2" t="n">
        <s:v>3</s:v>
      </s:c>
      <s:c r="C608" s="6" t="n">
        <s:v>1503.5614</s:v>
      </s:c>
      <s:c r="D608" s="6" t="n">
        <s:v>2142.164</s:v>
      </s:c>
      <s:c r="E608" s="6" t="n">
        <s:v>2080.681</s:v>
      </s:c>
      <s:c r="F608" s="6" t="n">
        <s:v>2092.52344</s:v>
      </s:c>
      <s:c r="G608" s="6" t="n">
        <s:v>1830.1333</s:v>
      </s:c>
      <s:c r="H608" s="6" t="n">
        <s:v>1974.193</s:v>
      </s:c>
      <s:c r="I608" s="6" t="n"/>
      <s:c r="J608" s="6" t="str">
        <s:f>IF(AND(COUNT(C608:I608)=7,COUNT('Потребление (МВт·ч)'!C608:I608)=7,SUM('Потребление (МВт·ч)'!C608:I608)&gt;0),SUMPRODUCT(C608:I608,'Потребление (МВт·ч)'!C608:I608)/SUM('Потребление (МВт·ч)'!C608:I608),"")</s:f>
      </s:c>
      <s:c r="K608" s="6" t="n">
        <s:f>IF(SUMIF(C608:I608,"&lt;&gt;",'Потребление (МВт·ч)'!C608:I608)&gt;0,SUMPRODUCT(C608:I608,'Потребление (МВт·ч)'!C608:I608)/SUMIF(C608:I608,"&lt;&gt;",'Потребление (МВт·ч)'!C608:I608),"")</s:f>
        <s:v>1957.7611609540925</s:v>
      </s:c>
      <s:c r="L608" s="6" t="n">
        <s:f>IF(COUNT(C608:I608)&gt;0,AVERAGE(C608:I608),"")</s:f>
        <s:v>1937.2093566666665</s:v>
      </s:c>
      <s:c r="M608" s="10" t="n">
        <s:f>COUNT(C608:I608)</s:f>
        <s:v>6</s:v>
      </s:c>
      <s:c r="N608" s="11" t="n">
        <s:f>IF(AND(COUNT('Потребление (МВт·ч)'!C608:I608)=7,SUM('Потребление (МВт·ч)'!C608:I608)&gt;0),SUMIF(C608:I608,"&lt;&gt;",'Потребление (МВт·ч)'!C608:I608)/SUM('Потребление (МВт·ч)'!C608:I608),"")</s:f>
        <s:v>0.9493930003127399</s:v>
      </s:c>
    </s:row>
    <s:row r="609">
      <s:c r="A609" s="5" t="n">
        <s:v>46291</s:v>
      </s:c>
      <s:c r="B609" s="2" t="n">
        <s:v>4</s:v>
      </s:c>
      <s:c r="C609" s="6" t="n">
        <s:v>1560.33374</s:v>
      </s:c>
      <s:c r="D609" s="6" t="n">
        <s:v>2231.83545</s:v>
      </s:c>
      <s:c r="E609" s="6" t="n">
        <s:v>2171.70654</s:v>
      </s:c>
      <s:c r="F609" s="6" t="n">
        <s:v>2172.14014</s:v>
      </s:c>
      <s:c r="G609" s="6" t="n">
        <s:v>1935.977</s:v>
      </s:c>
      <s:c r="H609" s="6" t="n">
        <s:v>2046.07385</s:v>
      </s:c>
      <s:c r="I609" s="6" t="n"/>
      <s:c r="J609" s="6" t="str">
        <s:f>IF(AND(COUNT(C609:I609)=7,COUNT('Потребление (МВт·ч)'!C609:I609)=7,SUM('Потребление (МВт·ч)'!C609:I609)&gt;0),SUMPRODUCT(C609:I609,'Потребление (МВт·ч)'!C609:I609)/SUM('Потребление (МВт·ч)'!C609:I609),"")</s:f>
      </s:c>
      <s:c r="K609" s="6" t="n">
        <s:f>IF(SUMIF(C609:I609,"&lt;&gt;",'Потребление (МВт·ч)'!C609:I609)&gt;0,SUMPRODUCT(C609:I609,'Потребление (МВт·ч)'!C609:I609)/SUMIF(C609:I609,"&lt;&gt;",'Потребление (МВт·ч)'!C609:I609),"")</s:f>
        <s:v>2043.7690757093587</s:v>
      </s:c>
      <s:c r="L609" s="6" t="n">
        <s:f>IF(COUNT(C609:I609)&gt;0,AVERAGE(C609:I609),"")</s:f>
        <s:v>2019.6777866666669</s:v>
      </s:c>
      <s:c r="M609" s="10" t="n">
        <s:f>COUNT(C609:I609)</s:f>
        <s:v>6</s:v>
      </s:c>
      <s:c r="N609" s="11" t="n">
        <s:f>IF(AND(COUNT('Потребление (МВт·ч)'!C609:I609)=7,SUM('Потребление (МВт·ч)'!C609:I609)&gt;0),SUMIF(C609:I609,"&lt;&gt;",'Потребление (МВт·ч)'!C609:I609)/SUM('Потребление (МВт·ч)'!C609:I609),"")</s:f>
        <s:v>0.9512965828377548</s:v>
      </s:c>
    </s:row>
    <s:row r="610">
      <s:c r="A610" s="5" t="n">
        <s:v>46291</s:v>
      </s:c>
      <s:c r="B610" s="2" t="n">
        <s:v>5</s:v>
      </s:c>
      <s:c r="C610" s="6" t="n">
        <s:v>1658.81824</s:v>
      </s:c>
      <s:c r="D610" s="6" t="n">
        <s:v>2372.38135</s:v>
      </s:c>
      <s:c r="E610" s="6" t="n">
        <s:v>2306.96045</s:v>
      </s:c>
      <s:c r="F610" s="6" t="n">
        <s:v>2312.75781</s:v>
      </s:c>
      <s:c r="G610" s="6" t="n">
        <s:v>2063.322</s:v>
      </s:c>
      <s:c r="H610" s="6" t="n">
        <s:v>2102.25024</s:v>
      </s:c>
      <s:c r="I610" s="6" t="n"/>
      <s:c r="J610" s="6" t="str">
        <s:f>IF(AND(COUNT(C610:I610)=7,COUNT('Потребление (МВт·ч)'!C610:I610)=7,SUM('Потребление (МВт·ч)'!C610:I610)&gt;0),SUMPRODUCT(C610:I610,'Потребление (МВт·ч)'!C610:I610)/SUM('Потребление (МВт·ч)'!C610:I610),"")</s:f>
      </s:c>
      <s:c r="K610" s="6" t="n">
        <s:f>IF(SUMIF(C610:I610,"&lt;&gt;",'Потребление (МВт·ч)'!C610:I610)&gt;0,SUMPRODUCT(C610:I610,'Потребление (МВт·ч)'!C610:I610)/SUMIF(C610:I610,"&lt;&gt;",'Потребление (МВт·ч)'!C610:I610),"")</s:f>
        <s:v>2156.004012480144</s:v>
      </s:c>
      <s:c r="L610" s="6" t="n">
        <s:f>IF(COUNT(C610:I610)&gt;0,AVERAGE(C610:I610),"")</s:f>
        <s:v>2136.081681666667</s:v>
      </s:c>
      <s:c r="M610" s="10" t="n">
        <s:f>COUNT(C610:I610)</s:f>
        <s:v>6</s:v>
      </s:c>
      <s:c r="N610" s="11" t="n">
        <s:f>IF(AND(COUNT('Потребление (МВт·ч)'!C610:I610)=7,SUM('Потребление (МВт·ч)'!C610:I610)&gt;0),SUMIF(C610:I610,"&lt;&gt;",'Потребление (МВт·ч)'!C610:I610)/SUM('Потребление (МВт·ч)'!C610:I610),"")</s:f>
        <s:v>0.9515348369092822</s:v>
      </s:c>
    </s:row>
    <s:row r="611">
      <s:c r="A611" s="5" t="n">
        <s:v>46291</s:v>
      </s:c>
      <s:c r="B611" s="2" t="n">
        <s:v>6</s:v>
      </s:c>
      <s:c r="C611" s="6" t="n">
        <s:v>1703.02319</s:v>
      </s:c>
      <s:c r="D611" s="6" t="n">
        <s:v>2448.12354</s:v>
      </s:c>
      <s:c r="E611" s="6" t="n">
        <s:v>2440.032</s:v>
      </s:c>
      <s:c r="F611" s="6" t="n">
        <s:v>2411.69971</s:v>
      </s:c>
      <s:c r="G611" s="6" t="n">
        <s:v>2156.18774</s:v>
      </s:c>
      <s:c r="H611" s="6" t="n">
        <s:v>2131.479</s:v>
      </s:c>
      <s:c r="I611" s="6" t="n"/>
      <s:c r="J611" s="6" t="str">
        <s:f>IF(AND(COUNT(C611:I611)=7,COUNT('Потребление (МВт·ч)'!C611:I611)=7,SUM('Потребление (МВт·ч)'!C611:I611)&gt;0),SUMPRODUCT(C611:I611,'Потребление (МВт·ч)'!C611:I611)/SUM('Потребление (МВт·ч)'!C611:I611),"")</s:f>
      </s:c>
      <s:c r="K611" s="6" t="n">
        <s:f>IF(SUMIF(C611:I611,"&lt;&gt;",'Потребление (МВт·ч)'!C611:I611)&gt;0,SUMPRODUCT(C611:I611,'Потребление (МВт·ч)'!C611:I611)/SUMIF(C611:I611,"&lt;&gt;",'Потребление (МВт·ч)'!C611:I611),"")</s:f>
        <s:v>2229.824779409645</s:v>
      </s:c>
      <s:c r="L611" s="6" t="n">
        <s:f>IF(COUNT(C611:I611)&gt;0,AVERAGE(C611:I611),"")</s:f>
        <s:v>2215.0908633333333</s:v>
      </s:c>
      <s:c r="M611" s="10" t="n">
        <s:f>COUNT(C611:I611)</s:f>
        <s:v>6</s:v>
      </s:c>
      <s:c r="N611" s="11" t="n">
        <s:f>IF(AND(COUNT('Потребление (МВт·ч)'!C611:I611)=7,SUM('Потребление (МВт·ч)'!C611:I611)&gt;0),SUMIF(C611:I611,"&lt;&gt;",'Потребление (МВт·ч)'!C611:I611)/SUM('Потребление (МВт·ч)'!C611:I611),"")</s:f>
        <s:v>0.9529738693917799</s:v>
      </s:c>
    </s:row>
    <s:row r="612">
      <s:c r="A612" s="5" t="n">
        <s:v>46291</s:v>
      </s:c>
      <s:c r="B612" s="2" t="n">
        <s:v>7</s:v>
      </s:c>
      <s:c r="C612" s="6" t="n">
        <s:v>1604.928</s:v>
      </s:c>
      <s:c r="D612" s="6" t="n">
        <s:v>2754.16064</s:v>
      </s:c>
      <s:c r="E612" s="6" t="n">
        <s:v>2653.764</s:v>
      </s:c>
      <s:c r="F612" s="6" t="n">
        <s:v>2713.50562</s:v>
      </s:c>
      <s:c r="G612" s="6" t="n">
        <s:v>2242.60278</s:v>
      </s:c>
      <s:c r="H612" s="6" t="n">
        <s:v>2168.62646</s:v>
      </s:c>
      <s:c r="I612" s="6" t="n"/>
      <s:c r="J612" s="6" t="str">
        <s:f>IF(AND(COUNT(C612:I612)=7,COUNT('Потребление (МВт·ч)'!C612:I612)=7,SUM('Потребление (МВт·ч)'!C612:I612)&gt;0),SUMPRODUCT(C612:I612,'Потребление (МВт·ч)'!C612:I612)/SUM('Потребление (МВт·ч)'!C612:I612),"")</s:f>
      </s:c>
      <s:c r="K612" s="6" t="n">
        <s:f>IF(SUMIF(C612:I612,"&lt;&gt;",'Потребление (МВт·ч)'!C612:I612)&gt;0,SUMPRODUCT(C612:I612,'Потребление (МВт·ч)'!C612:I612)/SUMIF(C612:I612,"&lt;&gt;",'Потребление (МВт·ч)'!C612:I612),"")</s:f>
        <s:v>2379.8654426162043</s:v>
      </s:c>
      <s:c r="L612" s="6" t="n">
        <s:f>IF(COUNT(C612:I612)&gt;0,AVERAGE(C612:I612),"")</s:f>
        <s:v>2356.2645833333336</s:v>
      </s:c>
      <s:c r="M612" s="10" t="n">
        <s:f>COUNT(C612:I612)</s:f>
        <s:v>6</s:v>
      </s:c>
      <s:c r="N612" s="11" t="n">
        <s:f>IF(AND(COUNT('Потребление (МВт·ч)'!C612:I612)=7,SUM('Потребление (МВт·ч)'!C612:I612)&gt;0),SUMIF(C612:I612,"&lt;&gt;",'Потребление (МВт·ч)'!C612:I612)/SUM('Потребление (МВт·ч)'!C612:I612),"")</s:f>
        <s:v>0.9549875398034058</s:v>
      </s:c>
    </s:row>
    <s:row r="613">
      <s:c r="A613" s="5" t="n">
        <s:v>46291</s:v>
      </s:c>
      <s:c r="B613" s="2" t="n">
        <s:v>8</s:v>
      </s:c>
      <s:c r="C613" s="6" t="n">
        <s:v>517.5639</s:v>
      </s:c>
      <s:c r="D613" s="6" t="n">
        <s:v>2900.89087</s:v>
      </s:c>
      <s:c r="E613" s="6" t="n">
        <s:v>2775.9</s:v>
      </s:c>
      <s:c r="F613" s="6" t="n">
        <s:v>2868.52124</s:v>
      </s:c>
      <s:c r="G613" s="6" t="n">
        <s:v>2313.662</s:v>
      </s:c>
      <s:c r="H613" s="6" t="n">
        <s:v>2089.88745</s:v>
      </s:c>
      <s:c r="I613" s="6" t="n"/>
      <s:c r="J613" s="6" t="str">
        <s:f>IF(AND(COUNT(C613:I613)=7,COUNT('Потребление (МВт·ч)'!C613:I613)=7,SUM('Потребление (МВт·ч)'!C613:I613)&gt;0),SUMPRODUCT(C613:I613,'Потребление (МВт·ч)'!C613:I613)/SUM('Потребление (МВт·ч)'!C613:I613),"")</s:f>
      </s:c>
      <s:c r="K613" s="6" t="n">
        <s:f>IF(SUMIF(C613:I613,"&lt;&gt;",'Потребление (МВт·ч)'!C613:I613)&gt;0,SUMPRODUCT(C613:I613,'Потребление (МВт·ч)'!C613:I613)/SUMIF(C613:I613,"&lt;&gt;",'Потребление (МВт·ч)'!C613:I613),"")</s:f>
        <s:v>2349.3998454405205</s:v>
      </s:c>
      <s:c r="L613" s="6" t="n">
        <s:f>IF(COUNT(C613:I613)&gt;0,AVERAGE(C613:I613),"")</s:f>
        <s:v>2244.4042433333334</s:v>
      </s:c>
      <s:c r="M613" s="10" t="n">
        <s:f>COUNT(C613:I613)</s:f>
        <s:v>6</s:v>
      </s:c>
      <s:c r="N613" s="11" t="n">
        <s:f>IF(AND(COUNT('Потребление (МВт·ч)'!C613:I613)=7,SUM('Потребление (МВт·ч)'!C613:I613)&gt;0),SUMIF(C613:I613,"&lt;&gt;",'Потребление (МВт·ч)'!C613:I613)/SUM('Потребление (МВт·ч)'!C613:I613),"")</s:f>
        <s:v>0.9562126812624396</s:v>
      </s:c>
    </s:row>
    <s:row r="614">
      <s:c r="A614" s="5" t="n">
        <s:v>46291</s:v>
      </s:c>
      <s:c r="B614" s="2" t="n">
        <s:v>9</s:v>
      </s:c>
      <s:c r="C614" s="6" t="n">
        <s:v>2717.20459</s:v>
      </s:c>
      <s:c r="D614" s="6" t="n">
        <s:v>3122.124</s:v>
      </s:c>
      <s:c r="E614" s="6" t="n">
        <s:v>2767.8584</s:v>
      </s:c>
      <s:c r="F614" s="6" t="n">
        <s:v>2890.922</s:v>
      </s:c>
      <s:c r="G614" s="6" t="n">
        <s:v>2265.27173</s:v>
      </s:c>
      <s:c r="H614" s="6" t="n">
        <s:v>2030.67957</s:v>
      </s:c>
      <s:c r="I614" s="6" t="n"/>
      <s:c r="J614" s="6" t="str">
        <s:f>IF(AND(COUNT(C614:I614)=7,COUNT('Потребление (МВт·ч)'!C614:I614)=7,SUM('Потребление (МВт·ч)'!C614:I614)&gt;0),SUMPRODUCT(C614:I614,'Потребление (МВт·ч)'!C614:I614)/SUM('Потребление (МВт·ч)'!C614:I614),"")</s:f>
      </s:c>
      <s:c r="K614" s="6" t="n">
        <s:f>IF(SUMIF(C614:I614,"&lt;&gt;",'Потребление (МВт·ч)'!C614:I614)&gt;0,SUMPRODUCT(C614:I614,'Потребление (МВт·ч)'!C614:I614)/SUMIF(C614:I614,"&lt;&gt;",'Потребление (МВт·ч)'!C614:I614),"")</s:f>
        <s:v>2587.7495439166564</s:v>
      </s:c>
      <s:c r="L614" s="6" t="n">
        <s:f>IF(COUNT(C614:I614)&gt;0,AVERAGE(C614:I614),"")</s:f>
        <s:v>2632.3433816666666</s:v>
      </s:c>
      <s:c r="M614" s="10" t="n">
        <s:f>COUNT(C614:I614)</s:f>
        <s:v>6</s:v>
      </s:c>
      <s:c r="N614" s="11" t="n">
        <s:f>IF(AND(COUNT('Потребление (МВт·ч)'!C614:I614)=7,SUM('Потребление (МВт·ч)'!C614:I614)&gt;0),SUMIF(C614:I614,"&lt;&gt;",'Потребление (МВт·ч)'!C614:I614)/SUM('Потребление (МВт·ч)'!C614:I614),"")</s:f>
        <s:v>0.9565798814614255</s:v>
      </s:c>
    </s:row>
    <s:row r="615">
      <s:c r="A615" s="5" t="n">
        <s:v>46291</s:v>
      </s:c>
      <s:c r="B615" s="2" t="n">
        <s:v>10</s:v>
      </s:c>
      <s:c r="C615" s="6" t="n">
        <s:v>2753.16284</s:v>
      </s:c>
      <s:c r="D615" s="6" t="n">
        <s:v>3242.82935</s:v>
      </s:c>
      <s:c r="E615" s="6" t="n">
        <s:v>2792.67969</s:v>
      </s:c>
      <s:c r="F615" s="6" t="n">
        <s:v>2933.82739</s:v>
      </s:c>
      <s:c r="G615" s="6" t="n">
        <s:v>2239.09473</s:v>
      </s:c>
      <s:c r="H615" s="6" t="n">
        <s:v>2305.06055</s:v>
      </s:c>
      <s:c r="I615" s="6" t="n"/>
      <s:c r="J615" s="6" t="str">
        <s:f>IF(AND(COUNT(C615:I615)=7,COUNT('Потребление (МВт·ч)'!C615:I615)=7,SUM('Потребление (МВт·ч)'!C615:I615)&gt;0),SUMPRODUCT(C615:I615,'Потребление (МВт·ч)'!C615:I615)/SUM('Потребление (МВт·ч)'!C615:I615),"")</s:f>
      </s:c>
      <s:c r="K615" s="6" t="n">
        <s:f>IF(SUMIF(C615:I615,"&lt;&gt;",'Потребление (МВт·ч)'!C615:I615)&gt;0,SUMPRODUCT(C615:I615,'Потребление (МВт·ч)'!C615:I615)/SUMIF(C615:I615,"&lt;&gt;",'Потребление (МВт·ч)'!C615:I615),"")</s:f>
        <s:v>2684.6984779152585</s:v>
      </s:c>
      <s:c r="L615" s="6" t="n">
        <s:f>IF(COUNT(C615:I615)&gt;0,AVERAGE(C615:I615),"")</s:f>
        <s:v>2711.1090916666667</s:v>
      </s:c>
      <s:c r="M615" s="10" t="n">
        <s:f>COUNT(C615:I615)</s:f>
        <s:v>6</s:v>
      </s:c>
      <s:c r="N615" s="11" t="n">
        <s:f>IF(AND(COUNT('Потребление (МВт·ч)'!C615:I615)=7,SUM('Потребление (МВт·ч)'!C615:I615)&gt;0),SUMIF(C615:I615,"&lt;&gt;",'Потребление (МВт·ч)'!C615:I615)/SUM('Потребление (МВт·ч)'!C615:I615),"")</s:f>
        <s:v>0.9565024776031241</s:v>
      </s:c>
    </s:row>
    <s:row r="616">
      <s:c r="A616" s="5" t="n">
        <s:v>46291</s:v>
      </s:c>
      <s:c r="B616" s="2" t="n">
        <s:v>11</s:v>
      </s:c>
      <s:c r="C616" s="6" t="n">
        <s:v>2380.57837</s:v>
      </s:c>
      <s:c r="D616" s="6" t="n">
        <s:v>3243.13574</s:v>
      </s:c>
      <s:c r="E616" s="6" t="n">
        <s:v>2791.94287</s:v>
      </s:c>
      <s:c r="F616" s="6" t="n">
        <s:v>2946.83618</s:v>
      </s:c>
      <s:c r="G616" s="6" t="n">
        <s:v>2237.84766</s:v>
      </s:c>
      <s:c r="H616" s="6" t="n">
        <s:v>2339.368</s:v>
      </s:c>
      <s:c r="I616" s="6" t="n"/>
      <s:c r="J616" s="6" t="str">
        <s:f>IF(AND(COUNT(C616:I616)=7,COUNT('Потребление (МВт·ч)'!C616:I616)=7,SUM('Потребление (МВт·ч)'!C616:I616)&gt;0),SUMPRODUCT(C616:I616,'Потребление (МВт·ч)'!C616:I616)/SUM('Потребление (МВт·ч)'!C616:I616),"")</s:f>
      </s:c>
      <s:c r="K616" s="6" t="n">
        <s:f>IF(SUMIF(C616:I616,"&lt;&gt;",'Потребление (МВт·ч)'!C616:I616)&gt;0,SUMPRODUCT(C616:I616,'Потребление (МВт·ч)'!C616:I616)/SUMIF(C616:I616,"&lt;&gt;",'Потребление (МВт·ч)'!C616:I616),"")</s:f>
        <s:v>2658.298186310669</s:v>
      </s:c>
      <s:c r="L616" s="6" t="n">
        <s:f>IF(COUNT(C616:I616)&gt;0,AVERAGE(C616:I616),"")</s:f>
        <s:v>2656.6181366666665</s:v>
      </s:c>
      <s:c r="M616" s="10" t="n">
        <s:f>COUNT(C616:I616)</s:f>
        <s:v>6</s:v>
      </s:c>
      <s:c r="N616" s="11" t="n">
        <s:f>IF(AND(COUNT('Потребление (МВт·ч)'!C616:I616)=7,SUM('Потребление (МВт·ч)'!C616:I616)&gt;0),SUMIF(C616:I616,"&lt;&gt;",'Потребление (МВт·ч)'!C616:I616)/SUM('Потребление (МВт·ч)'!C616:I616),"")</s:f>
        <s:v>0.9551129973648999</s:v>
      </s:c>
    </s:row>
    <s:row r="617">
      <s:c r="A617" s="5" t="n">
        <s:v>46291</s:v>
      </s:c>
      <s:c r="B617" s="2" t="n">
        <s:v>12</s:v>
      </s:c>
      <s:c r="C617" s="6" t="n">
        <s:v>2832.44727</s:v>
      </s:c>
      <s:c r="D617" s="6" t="n">
        <s:v>3343.019</s:v>
      </s:c>
      <s:c r="E617" s="6" t="n">
        <s:v>2345.402</s:v>
      </s:c>
      <s:c r="F617" s="6" t="n">
        <s:v>2885.24121</s:v>
      </s:c>
      <s:c r="G617" s="6" t="n">
        <s:v>2205.82275</s:v>
      </s:c>
      <s:c r="H617" s="6" t="n">
        <s:v>2345.24316</s:v>
      </s:c>
      <s:c r="I617" s="6" t="n"/>
      <s:c r="J617" s="6" t="str">
        <s:f>IF(AND(COUNT(C617:I617)=7,COUNT('Потребление (МВт·ч)'!C617:I617)=7,SUM('Потребление (МВт·ч)'!C617:I617)&gt;0),SUMPRODUCT(C617:I617,'Потребление (МВт·ч)'!C617:I617)/SUM('Потребление (МВт·ч)'!C617:I617),"")</s:f>
      </s:c>
      <s:c r="K617" s="6" t="n">
        <s:f>IF(SUMIF(C617:I617,"&lt;&gt;",'Потребление (МВт·ч)'!C617:I617)&gt;0,SUMPRODUCT(C617:I617,'Потребление (МВт·ч)'!C617:I617)/SUMIF(C617:I617,"&lt;&gt;",'Потребление (МВт·ч)'!C617:I617),"")</s:f>
        <s:v>2665.6135191369485</s:v>
      </s:c>
      <s:c r="L617" s="6" t="n">
        <s:f>IF(COUNT(C617:I617)&gt;0,AVERAGE(C617:I617),"")</s:f>
        <s:v>2659.5292316666664</s:v>
      </s:c>
      <s:c r="M617" s="10" t="n">
        <s:f>COUNT(C617:I617)</s:f>
        <s:v>6</s:v>
      </s:c>
      <s:c r="N617" s="11" t="n">
        <s:f>IF(AND(COUNT('Потребление (МВт·ч)'!C617:I617)=7,SUM('Потребление (МВт·ч)'!C617:I617)&gt;0),SUMIF(C617:I617,"&lt;&gt;",'Потребление (МВт·ч)'!C617:I617)/SUM('Потребление (МВт·ч)'!C617:I617),"")</s:f>
        <s:v>0.9546675455219577</s:v>
      </s:c>
    </s:row>
    <s:row r="618">
      <s:c r="A618" s="5" t="n">
        <s:v>46291</s:v>
      </s:c>
      <s:c r="B618" s="2" t="n">
        <s:v>13</s:v>
      </s:c>
      <s:c r="C618" s="6" t="n">
        <s:v>2678.265</s:v>
      </s:c>
      <s:c r="D618" s="6" t="n">
        <s:v>3145.519</s:v>
      </s:c>
      <s:c r="E618" s="6" t="n">
        <s:v>2492.88</s:v>
      </s:c>
      <s:c r="F618" s="6" t="n">
        <s:v>2813.84888</s:v>
      </s:c>
      <s:c r="G618" s="6" t="n">
        <s:v>2200.9856</s:v>
      </s:c>
      <s:c r="H618" s="6" t="n">
        <s:v>2454.019</s:v>
      </s:c>
      <s:c r="I618" s="6" t="n"/>
      <s:c r="J618" s="6" t="str">
        <s:f>IF(AND(COUNT(C618:I618)=7,COUNT('Потребление (МВт·ч)'!C618:I618)=7,SUM('Потребление (МВт·ч)'!C618:I618)&gt;0),SUMPRODUCT(C618:I618,'Потребление (МВт·ч)'!C618:I618)/SUM('Потребление (МВт·ч)'!C618:I618),"")</s:f>
      </s:c>
      <s:c r="K618" s="6" t="n">
        <s:f>IF(SUMIF(C618:I618,"&lt;&gt;",'Потребление (МВт·ч)'!C618:I618)&gt;0,SUMPRODUCT(C618:I618,'Потребление (МВт·ч)'!C618:I618)/SUMIF(C618:I618,"&lt;&gt;",'Потребление (МВт·ч)'!C618:I618),"")</s:f>
        <s:v>2632.057841587865</s:v>
      </s:c>
      <s:c r="L618" s="6" t="n">
        <s:f>IF(COUNT(C618:I618)&gt;0,AVERAGE(C618:I618),"")</s:f>
        <s:v>2630.91958</s:v>
      </s:c>
      <s:c r="M618" s="10" t="n">
        <s:f>COUNT(C618:I618)</s:f>
        <s:v>6</s:v>
      </s:c>
      <s:c r="N618" s="11" t="n">
        <s:f>IF(AND(COUNT('Потребление (МВт·ч)'!C618:I618)=7,SUM('Потребление (МВт·ч)'!C618:I618)&gt;0),SUMIF(C618:I618,"&lt;&gt;",'Потребление (МВт·ч)'!C618:I618)/SUM('Потребление (МВт·ч)'!C618:I618),"")</s:f>
        <s:v>0.9555535424576083</s:v>
      </s:c>
    </s:row>
    <s:row r="619">
      <s:c r="A619" s="5" t="n">
        <s:v>46291</s:v>
      </s:c>
      <s:c r="B619" s="2" t="n">
        <s:v>14</s:v>
      </s:c>
      <s:c r="C619" s="6" t="n">
        <s:v>2620.35449</s:v>
      </s:c>
      <s:c r="D619" s="6" t="n">
        <s:v>3088.975</s:v>
      </s:c>
      <s:c r="E619" s="6" t="n">
        <s:v>2403.87476</s:v>
      </s:c>
      <s:c r="F619" s="6" t="n">
        <s:v>2751.71387</s:v>
      </s:c>
      <s:c r="G619" s="6" t="n">
        <s:v>2217.467</s:v>
      </s:c>
      <s:c r="H619" s="6" t="n">
        <s:v>2518.11084</s:v>
      </s:c>
      <s:c r="I619" s="6" t="n"/>
      <s:c r="J619" s="6" t="str">
        <s:f>IF(AND(COUNT(C619:I619)=7,COUNT('Потребление (МВт·ч)'!C619:I619)=7,SUM('Потребление (МВт·ч)'!C619:I619)&gt;0),SUMPRODUCT(C619:I619,'Потребление (МВт·ч)'!C619:I619)/SUM('Потребление (МВт·ч)'!C619:I619),"")</s:f>
      </s:c>
      <s:c r="K619" s="6" t="n">
        <s:f>IF(SUMIF(C619:I619,"&lt;&gt;",'Потребление (МВт·ч)'!C619:I619)&gt;0,SUMPRODUCT(C619:I619,'Потребление (МВт·ч)'!C619:I619)/SUMIF(C619:I619,"&lt;&gt;",'Потребление (МВт·ч)'!C619:I619),"")</s:f>
        <s:v>2613.6617616720914</s:v>
      </s:c>
      <s:c r="L619" s="6" t="n">
        <s:f>IF(COUNT(C619:I619)&gt;0,AVERAGE(C619:I619),"")</s:f>
        <s:v>2600.08266</s:v>
      </s:c>
      <s:c r="M619" s="10" t="n">
        <s:f>COUNT(C619:I619)</s:f>
        <s:v>6</s:v>
      </s:c>
      <s:c r="N619" s="11" t="n">
        <s:f>IF(AND(COUNT('Потребление (МВт·ч)'!C619:I619)=7,SUM('Потребление (МВт·ч)'!C619:I619)&gt;0),SUMIF(C619:I619,"&lt;&gt;",'Потребление (МВт·ч)'!C619:I619)/SUM('Потребление (МВт·ч)'!C619:I619),"")</s:f>
        <s:v>0.9556945358788677</s:v>
      </s:c>
    </s:row>
    <s:row r="620">
      <s:c r="A620" s="5" t="n">
        <s:v>46291</s:v>
      </s:c>
      <s:c r="B620" s="2" t="n">
        <s:v>15</s:v>
      </s:c>
      <s:c r="C620" s="6" t="n">
        <s:v>2503.46777</s:v>
      </s:c>
      <s:c r="D620" s="6" t="n">
        <s:v>2980.99121</s:v>
      </s:c>
      <s:c r="E620" s="6" t="n">
        <s:v>2410.22437</s:v>
      </s:c>
      <s:c r="F620" s="6" t="n">
        <s:v>2688.29419</s:v>
      </s:c>
      <s:c r="G620" s="6" t="n">
        <s:v>2225.41577</s:v>
      </s:c>
      <s:c r="H620" s="6" t="n">
        <s:v>2530.34888</s:v>
      </s:c>
      <s:c r="I620" s="6" t="n"/>
      <s:c r="J620" s="6" t="str">
        <s:f>IF(AND(COUNT(C620:I620)=7,COUNT('Потребление (МВт·ч)'!C620:I620)=7,SUM('Потребление (МВт·ч)'!C620:I620)&gt;0),SUMPRODUCT(C620:I620,'Потребление (МВт·ч)'!C620:I620)/SUM('Потребление (МВт·ч)'!C620:I620),"")</s:f>
      </s:c>
      <s:c r="K620" s="6" t="n">
        <s:f>IF(SUMIF(C620:I620,"&lt;&gt;",'Потребление (МВт·ч)'!C620:I620)&gt;0,SUMPRODUCT(C620:I620,'Потребление (МВт·ч)'!C620:I620)/SUMIF(C620:I620,"&lt;&gt;",'Потребление (МВт·ч)'!C620:I620),"")</s:f>
        <s:v>2574.0607744641216</s:v>
      </s:c>
      <s:c r="L620" s="6" t="n">
        <s:f>IF(COUNT(C620:I620)&gt;0,AVERAGE(C620:I620),"")</s:f>
        <s:v>2556.4570316666664</s:v>
      </s:c>
      <s:c r="M620" s="10" t="n">
        <s:f>COUNT(C620:I620)</s:f>
        <s:v>6</s:v>
      </s:c>
      <s:c r="N620" s="11" t="n">
        <s:f>IF(AND(COUNT('Потребление (МВт·ч)'!C620:I620)=7,SUM('Потребление (МВт·ч)'!C620:I620)&gt;0),SUMIF(C620:I620,"&lt;&gt;",'Потребление (МВт·ч)'!C620:I620)/SUM('Потребление (МВт·ч)'!C620:I620),"")</s:f>
        <s:v>0.9572056652176424</s:v>
      </s:c>
    </s:row>
    <s:row r="621">
      <s:c r="A621" s="5" t="n">
        <s:v>46291</s:v>
      </s:c>
      <s:c r="B621" s="2" t="n">
        <s:v>16</s:v>
      </s:c>
      <s:c r="C621" s="6" t="n">
        <s:v>2440.34741</s:v>
      </s:c>
      <s:c r="D621" s="6" t="n">
        <s:v>2876.79956</s:v>
      </s:c>
      <s:c r="E621" s="6" t="n">
        <s:v>2471.83325</s:v>
      </s:c>
      <s:c r="F621" s="6" t="n">
        <s:v>2708.34155</s:v>
      </s:c>
      <s:c r="G621" s="6" t="n">
        <s:v>2397.337</s:v>
      </s:c>
      <s:c r="H621" s="6" t="n">
        <s:v>2528.21753</s:v>
      </s:c>
      <s:c r="I621" s="6" t="n"/>
      <s:c r="J621" s="6" t="str">
        <s:f>IF(AND(COUNT(C621:I621)=7,COUNT('Потребление (МВт·ч)'!C621:I621)=7,SUM('Потребление (МВт·ч)'!C621:I621)&gt;0),SUMPRODUCT(C621:I621,'Потребление (МВт·ч)'!C621:I621)/SUM('Потребление (МВт·ч)'!C621:I621),"")</s:f>
      </s:c>
      <s:c r="K621" s="6" t="n">
        <s:f>IF(SUMIF(C621:I621,"&lt;&gt;",'Потребление (МВт·ч)'!C621:I621)&gt;0,SUMPRODUCT(C621:I621,'Потребление (МВт·ч)'!C621:I621)/SUMIF(C621:I621,"&lt;&gt;",'Потребление (МВт·ч)'!C621:I621),"")</s:f>
        <s:v>2588.8612489922057</s:v>
      </s:c>
      <s:c r="L621" s="6" t="n">
        <s:f>IF(COUNT(C621:I621)&gt;0,AVERAGE(C621:I621),"")</s:f>
        <s:v>2570.479383333333</s:v>
      </s:c>
      <s:c r="M621" s="10" t="n">
        <s:f>COUNT(C621:I621)</s:f>
        <s:v>6</s:v>
      </s:c>
      <s:c r="N621" s="11" t="n">
        <s:f>IF(AND(COUNT('Потребление (МВт·ч)'!C621:I621)=7,SUM('Потребление (МВт·ч)'!C621:I621)&gt;0),SUMIF(C621:I621,"&lt;&gt;",'Потребление (МВт·ч)'!C621:I621)/SUM('Потребление (МВт·ч)'!C621:I621),"")</s:f>
        <s:v>0.9591921027632068</s:v>
      </s:c>
    </s:row>
    <s:row r="622">
      <s:c r="A622" s="5" t="n">
        <s:v>46291</s:v>
      </s:c>
      <s:c r="B622" s="2" t="n">
        <s:v>17</s:v>
      </s:c>
      <s:c r="C622" s="6" t="n">
        <s:v>2426.74951</s:v>
      </s:c>
      <s:c r="D622" s="6" t="n">
        <s:v>2792.51514</s:v>
      </s:c>
      <s:c r="E622" s="6" t="n">
        <s:v>2354.64966</s:v>
      </s:c>
      <s:c r="F622" s="6" t="n">
        <s:v>2616.16626</s:v>
      </s:c>
      <s:c r="G622" s="6" t="n">
        <s:v>2319.58032</s:v>
      </s:c>
      <s:c r="H622" s="6" t="n">
        <s:v>2507.73462</s:v>
      </s:c>
      <s:c r="I622" s="6" t="n"/>
      <s:c r="J622" s="6" t="str">
        <s:f>IF(AND(COUNT(C622:I622)=7,COUNT('Потребление (МВт·ч)'!C622:I622)=7,SUM('Потребление (МВт·ч)'!C622:I622)&gt;0),SUMPRODUCT(C622:I622,'Потребление (МВт·ч)'!C622:I622)/SUM('Потребление (МВт·ч)'!C622:I622),"")</s:f>
      </s:c>
      <s:c r="K622" s="6" t="n">
        <s:f>IF(SUMIF(C622:I622,"&lt;&gt;",'Потребление (МВт·ч)'!C622:I622)&gt;0,SUMPRODUCT(C622:I622,'Потребление (МВт·ч)'!C622:I622)/SUMIF(C622:I622,"&lt;&gt;",'Потребление (МВт·ч)'!C622:I622),"")</s:f>
        <s:v>2523.0655795955863</s:v>
      </s:c>
      <s:c r="L622" s="6" t="n">
        <s:f>IF(COUNT(C622:I622)&gt;0,AVERAGE(C622:I622),"")</s:f>
        <s:v>2502.8992516666663</s:v>
      </s:c>
      <s:c r="M622" s="10" t="n">
        <s:f>COUNT(C622:I622)</s:f>
        <s:v>6</s:v>
      </s:c>
      <s:c r="N622" s="11" t="n">
        <s:f>IF(AND(COUNT('Потребление (МВт·ч)'!C622:I622)=7,SUM('Потребление (МВт·ч)'!C622:I622)&gt;0),SUMIF(C622:I622,"&lt;&gt;",'Потребление (МВт·ч)'!C622:I622)/SUM('Потребление (МВт·ч)'!C622:I622),"")</s:f>
        <s:v>0.9603743740626306</s:v>
      </s:c>
    </s:row>
    <s:row r="623">
      <s:c r="A623" s="5" t="n">
        <s:v>46291</s:v>
      </s:c>
      <s:c r="B623" s="2" t="n">
        <s:v>18</s:v>
      </s:c>
      <s:c r="C623" s="6" t="n">
        <s:v>2614.94482</s:v>
      </s:c>
      <s:c r="D623" s="6" t="n">
        <s:v>3056.24487</s:v>
      </s:c>
      <s:c r="E623" s="6" t="n">
        <s:v>2176.94263</s:v>
      </s:c>
      <s:c r="F623" s="6" t="n">
        <s:v>2642.533</s:v>
      </s:c>
      <s:c r="G623" s="6" t="n">
        <s:v>2276.57813</s:v>
      </s:c>
      <s:c r="H623" s="6" t="n">
        <s:v>2478.92188</s:v>
      </s:c>
      <s:c r="I623" s="6" t="n"/>
      <s:c r="J623" s="6" t="str">
        <s:f>IF(AND(COUNT(C623:I623)=7,COUNT('Потребление (МВт·ч)'!C623:I623)=7,SUM('Потребление (МВт·ч)'!C623:I623)&gt;0),SUMPRODUCT(C623:I623,'Потребление (МВт·ч)'!C623:I623)/SUM('Потребление (МВт·ч)'!C623:I623),"")</s:f>
      </s:c>
      <s:c r="K623" s="6" t="n">
        <s:f>IF(SUMIF(C623:I623,"&lt;&gt;",'Потребление (МВт·ч)'!C623:I623)&gt;0,SUMPRODUCT(C623:I623,'Потребление (МВт·ч)'!C623:I623)/SUMIF(C623:I623,"&lt;&gt;",'Потребление (МВт·ч)'!C623:I623),"")</s:f>
        <s:v>2579.3575066642634</s:v>
      </s:c>
      <s:c r="L623" s="6" t="n">
        <s:f>IF(COUNT(C623:I623)&gt;0,AVERAGE(C623:I623),"")</s:f>
        <s:v>2541.027555</s:v>
      </s:c>
      <s:c r="M623" s="10" t="n">
        <s:f>COUNT(C623:I623)</s:f>
        <s:v>6</s:v>
      </s:c>
      <s:c r="N623" s="11" t="n">
        <s:f>IF(AND(COUNT('Потребление (МВт·ч)'!C623:I623)=7,SUM('Потребление (МВт·ч)'!C623:I623)&gt;0),SUMIF(C623:I623,"&lt;&gt;",'Потребление (МВт·ч)'!C623:I623)/SUM('Потребление (МВт·ч)'!C623:I623),"")</s:f>
        <s:v>0.9610512415018667</s:v>
      </s:c>
    </s:row>
    <s:row r="624">
      <s:c r="A624" s="5" t="n">
        <s:v>46291</s:v>
      </s:c>
      <s:c r="B624" s="2" t="n">
        <s:v>19</s:v>
      </s:c>
      <s:c r="C624" s="6" t="n">
        <s:v>2683.165</s:v>
      </s:c>
      <s:c r="D624" s="6" t="n">
        <s:v>3153.31714</s:v>
      </s:c>
      <s:c r="E624" s="6" t="n">
        <s:v>1971.483</s:v>
      </s:c>
      <s:c r="F624" s="6" t="n">
        <s:v>2618.60547</s:v>
      </s:c>
      <s:c r="G624" s="6" t="n">
        <s:v>2223.05444</s:v>
      </s:c>
      <s:c r="H624" s="6" t="n">
        <s:v>2448.431</s:v>
      </s:c>
      <s:c r="I624" s="6" t="n"/>
      <s:c r="J624" s="6" t="str">
        <s:f>IF(AND(COUNT(C624:I624)=7,COUNT('Потребление (МВт·ч)'!C624:I624)=7,SUM('Потребление (МВт·ч)'!C624:I624)&gt;0),SUMPRODUCT(C624:I624,'Потребление (МВт·ч)'!C624:I624)/SUM('Потребление (МВт·ч)'!C624:I624),"")</s:f>
      </s:c>
      <s:c r="K624" s="6" t="n">
        <s:f>IF(SUMIF(C624:I624,"&lt;&gt;",'Потребление (МВт·ч)'!C624:I624)&gt;0,SUMPRODUCT(C624:I624,'Потребление (МВт·ч)'!C624:I624)/SUMIF(C624:I624,"&lt;&gt;",'Потребление (МВт·ч)'!C624:I624),"")</s:f>
        <s:v>2569.2288004211687</s:v>
      </s:c>
      <s:c r="L624" s="6" t="n">
        <s:f>IF(COUNT(C624:I624)&gt;0,AVERAGE(C624:I624),"")</s:f>
        <s:v>2516.3426750000003</s:v>
      </s:c>
      <s:c r="M624" s="10" t="n">
        <s:f>COUNT(C624:I624)</s:f>
        <s:v>6</s:v>
      </s:c>
      <s:c r="N624" s="11" t="n">
        <s:f>IF(AND(COUNT('Потребление (МВт·ч)'!C624:I624)=7,SUM('Потребление (МВт·ч)'!C624:I624)&gt;0),SUMIF(C624:I624,"&lt;&gt;",'Потребление (МВт·ч)'!C624:I624)/SUM('Потребление (МВт·ч)'!C624:I624),"")</s:f>
        <s:v>0.9614963321937133</s:v>
      </s:c>
    </s:row>
    <s:row r="625">
      <s:c r="A625" s="5" t="n">
        <s:v>46291</s:v>
      </s:c>
      <s:c r="B625" s="2" t="n">
        <s:v>20</s:v>
      </s:c>
      <s:c r="C625" s="6" t="n">
        <s:v>2768.6958</s:v>
      </s:c>
      <s:c r="D625" s="6" t="n">
        <s:v>3211.152</s:v>
      </s:c>
      <s:c r="E625" s="6" t="n">
        <s:v>1881.65979</s:v>
      </s:c>
      <s:c r="F625" s="6" t="n">
        <s:v>2671.96484</s:v>
      </s:c>
      <s:c r="G625" s="6" t="n">
        <s:v>2268.151</s:v>
      </s:c>
      <s:c r="H625" s="6" t="n">
        <s:v>2326.97778</s:v>
      </s:c>
      <s:c r="I625" s="6" t="n"/>
      <s:c r="J625" s="6" t="str">
        <s:f>IF(AND(COUNT(C625:I625)=7,COUNT('Потребление (МВт·ч)'!C625:I625)=7,SUM('Потребление (МВт·ч)'!C625:I625)&gt;0),SUMPRODUCT(C625:I625,'Потребление (МВт·ч)'!C625:I625)/SUM('Потребление (МВт·ч)'!C625:I625),"")</s:f>
      </s:c>
      <s:c r="K625" s="6" t="n">
        <s:f>IF(SUMIF(C625:I625,"&lt;&gt;",'Потребление (МВт·ч)'!C625:I625)&gt;0,SUMPRODUCT(C625:I625,'Потребление (МВт·ч)'!C625:I625)/SUMIF(C625:I625,"&lt;&gt;",'Потребление (МВт·ч)'!C625:I625),"")</s:f>
        <s:v>2576.2096100445424</s:v>
      </s:c>
      <s:c r="L625" s="6" t="n">
        <s:f>IF(COUNT(C625:I625)&gt;0,AVERAGE(C625:I625),"")</s:f>
        <s:v>2521.433535</s:v>
      </s:c>
      <s:c r="M625" s="10" t="n">
        <s:f>COUNT(C625:I625)</s:f>
        <s:v>6</s:v>
      </s:c>
      <s:c r="N625" s="11" t="n">
        <s:f>IF(AND(COUNT('Потребление (МВт·ч)'!C625:I625)=7,SUM('Потребление (МВт·ч)'!C625:I625)&gt;0),SUMIF(C625:I625,"&lt;&gt;",'Потребление (МВт·ч)'!C625:I625)/SUM('Потребление (МВт·ч)'!C625:I625),"")</s:f>
        <s:v>0.9608157614843077</s:v>
      </s:c>
    </s:row>
    <s:row r="626">
      <s:c r="A626" s="5" t="n">
        <s:v>46291</s:v>
      </s:c>
      <s:c r="B626" s="2" t="n">
        <s:v>21</s:v>
      </s:c>
      <s:c r="C626" s="6" t="n">
        <s:v>2330.295</s:v>
      </s:c>
      <s:c r="D626" s="6" t="n">
        <s:v>2794.66675</s:v>
      </s:c>
      <s:c r="E626" s="6" t="n">
        <s:v>1715.12671</s:v>
      </s:c>
      <s:c r="F626" s="6" t="n">
        <s:v>2465.88257</s:v>
      </s:c>
      <s:c r="G626" s="6" t="n">
        <s:v>2116.514</s:v>
      </s:c>
      <s:c r="H626" s="6" t="n">
        <s:v>2298.70142</s:v>
      </s:c>
      <s:c r="I626" s="6" t="n"/>
      <s:c r="J626" s="6" t="str">
        <s:f>IF(AND(COUNT(C626:I626)=7,COUNT('Потребление (МВт·ч)'!C626:I626)=7,SUM('Потребление (МВт·ч)'!C626:I626)&gt;0),SUMPRODUCT(C626:I626,'Потребление (МВт·ч)'!C626:I626)/SUM('Потребление (МВт·ч)'!C626:I626),"")</s:f>
      </s:c>
      <s:c r="K626" s="6" t="n">
        <s:f>IF(SUMIF(C626:I626,"&lt;&gt;",'Потребление (МВт·ч)'!C626:I626)&gt;0,SUMPRODUCT(C626:I626,'Потребление (МВт·ч)'!C626:I626)/SUMIF(C626:I626,"&lt;&gt;",'Потребление (МВт·ч)'!C626:I626),"")</s:f>
        <s:v>2345.7059489358003</s:v>
      </s:c>
      <s:c r="L626" s="6" t="n">
        <s:f>IF(COUNT(C626:I626)&gt;0,AVERAGE(C626:I626),"")</s:f>
        <s:v>2286.8644083333334</s:v>
      </s:c>
      <s:c r="M626" s="10" t="n">
        <s:f>COUNT(C626:I626)</s:f>
        <s:v>6</s:v>
      </s:c>
      <s:c r="N626" s="11" t="n">
        <s:f>IF(AND(COUNT('Потребление (МВт·ч)'!C626:I626)=7,SUM('Потребление (МВт·ч)'!C626:I626)&gt;0),SUMIF(C626:I626,"&lt;&gt;",'Потребление (МВт·ч)'!C626:I626)/SUM('Потребление (МВт·ч)'!C626:I626),"")</s:f>
        <s:v>0.9594649758978591</s:v>
      </s:c>
    </s:row>
    <s:row r="627">
      <s:c r="A627" s="5" t="n">
        <s:v>46291</s:v>
      </s:c>
      <s:c r="B627" s="2" t="n">
        <s:v>22</s:v>
      </s:c>
      <s:c r="C627" s="6" t="n">
        <s:v>1965.08618</s:v>
      </s:c>
      <s:c r="D627" s="6" t="n">
        <s:v>2448.88647</s:v>
      </s:c>
      <s:c r="E627" s="6" t="n">
        <s:v>96.40445</s:v>
      </s:c>
      <s:c r="F627" s="6" t="n">
        <s:v>1970.72534</s:v>
      </s:c>
      <s:c r="G627" s="6" t="n">
        <s:v>1747.30054</s:v>
      </s:c>
      <s:c r="H627" s="6" t="n">
        <s:v>2337.78149</s:v>
      </s:c>
      <s:c r="I627" s="6" t="n"/>
      <s:c r="J627" s="6" t="str">
        <s:f>IF(AND(COUNT(C627:I627)=7,COUNT('Потребление (МВт·ч)'!C627:I627)=7,SUM('Потребление (МВт·ч)'!C627:I627)&gt;0),SUMPRODUCT(C627:I627,'Потребление (МВт·ч)'!C627:I627)/SUM('Потребление (МВт·ч)'!C627:I627),"")</s:f>
      </s:c>
      <s:c r="K627" s="6" t="n">
        <s:f>IF(SUMIF(C627:I627,"&lt;&gt;",'Потребление (МВт·ч)'!C627:I627)&gt;0,SUMPRODUCT(C627:I627,'Потребление (МВт·ч)'!C627:I627)/SUMIF(C627:I627,"&lt;&gt;",'Потребление (МВт·ч)'!C627:I627),"")</s:f>
        <s:v>1929.6683650206633</s:v>
      </s:c>
      <s:c r="L627" s="6" t="n">
        <s:f>IF(COUNT(C627:I627)&gt;0,AVERAGE(C627:I627),"")</s:f>
        <s:v>1761.0307449999998</s:v>
      </s:c>
      <s:c r="M627" s="10" t="n">
        <s:f>COUNT(C627:I627)</s:f>
        <s:v>6</s:v>
      </s:c>
      <s:c r="N627" s="11" t="n">
        <s:f>IF(AND(COUNT('Потребление (МВт·ч)'!C627:I627)=7,SUM('Потребление (МВт·ч)'!C627:I627)&gt;0),SUMIF(C627:I627,"&lt;&gt;",'Потребление (МВт·ч)'!C627:I627)/SUM('Потребление (МВт·ч)'!C627:I627),"")</s:f>
        <s:v>0.9569906970473238</s:v>
      </s:c>
    </s:row>
    <s:row r="628">
      <s:c r="A628" s="5" t="n">
        <s:v>46291</s:v>
      </s:c>
      <s:c r="B628" s="2" t="n">
        <s:v>23</s:v>
      </s:c>
      <s:c r="C628" s="6" t="n">
        <s:v>1729.67151</s:v>
      </s:c>
      <s:c r="D628" s="6" t="n">
        <s:v>2080.96436</s:v>
      </s:c>
      <s:c r="E628" s="6" t="n">
        <s:v>67.9543839</s:v>
      </s:c>
      <s:c r="F628" s="6" t="n">
        <s:v>1728.00061</s:v>
      </s:c>
      <s:c r="G628" s="6" t="n">
        <s:v>1547.64771</s:v>
      </s:c>
      <s:c r="H628" s="6" t="n">
        <s:v>2112.24487</s:v>
      </s:c>
      <s:c r="I628" s="6" t="n"/>
      <s:c r="J628" s="6" t="str">
        <s:f>IF(AND(COUNT(C628:I628)=7,COUNT('Потребление (МВт·ч)'!C628:I628)=7,SUM('Потребление (МВт·ч)'!C628:I628)&gt;0),SUMPRODUCT(C628:I628,'Потребление (МВт·ч)'!C628:I628)/SUM('Потребление (МВт·ч)'!C628:I628),"")</s:f>
      </s:c>
      <s:c r="K628" s="6" t="n">
        <s:f>IF(SUMIF(C628:I628,"&lt;&gt;",'Потребление (МВт·ч)'!C628:I628)&gt;0,SUMPRODUCT(C628:I628,'Потребление (МВт·ч)'!C628:I628)/SUMIF(C628:I628,"&lt;&gt;",'Потребление (МВт·ч)'!C628:I628),"")</s:f>
        <s:v>1696.4114773094718</s:v>
      </s:c>
      <s:c r="L628" s="6" t="n">
        <s:f>IF(COUNT(C628:I628)&gt;0,AVERAGE(C628:I628),"")</s:f>
        <s:v>1544.4139073166668</s:v>
      </s:c>
      <s:c r="M628" s="10" t="n">
        <s:f>COUNT(C628:I628)</s:f>
        <s:v>6</s:v>
      </s:c>
      <s:c r="N628" s="11" t="n">
        <s:f>IF(AND(COUNT('Потребление (МВт·ч)'!C628:I628)=7,SUM('Потребление (МВт·ч)'!C628:I628)&gt;0),SUMIF(C628:I628,"&lt;&gt;",'Потребление (МВт·ч)'!C628:I628)/SUM('Потребление (МВт·ч)'!C628:I628),"")</s:f>
        <s:v>0.9560548046316372</s:v>
      </s:c>
    </s:row>
    <s:row r="629">
      <s:c r="A629" s="5" t="n">
        <s:v>46292</s:v>
      </s:c>
      <s:c r="B629" s="2" t="n">
        <s:v>0</s:v>
      </s:c>
      <s:c r="C629" s="6" t="n">
        <s:v>1728.8645</s:v>
      </s:c>
      <s:c r="D629" s="6" t="n">
        <s:v>2038.09363</s:v>
      </s:c>
      <s:c r="E629" s="6" t="n">
        <s:v>1997.16272</s:v>
      </s:c>
      <s:c r="F629" s="6" t="n">
        <s:v>1971.597</s:v>
      </s:c>
      <s:c r="G629" s="6" t="n">
        <s:v>1764.44775</s:v>
      </s:c>
      <s:c r="H629" s="6" t="n">
        <s:v>1384.8313</s:v>
      </s:c>
      <s:c r="I629" s="6" t="n"/>
      <s:c r="J629" s="6" t="str">
        <s:f>IF(AND(COUNT(C629:I629)=7,COUNT('Потребление (МВт·ч)'!C629:I629)=7,SUM('Потребление (МВт·ч)'!C629:I629)&gt;0),SUMPRODUCT(C629:I629,'Потребление (МВт·ч)'!C629:I629)/SUM('Потребление (МВт·ч)'!C629:I629),"")</s:f>
      </s:c>
      <s:c r="K629" s="6" t="n">
        <s:f>IF(SUMIF(C629:I629,"&lt;&gt;",'Потребление (МВт·ч)'!C629:I629)&gt;0,SUMPRODUCT(C629:I629,'Потребление (МВт·ч)'!C629:I629)/SUMIF(C629:I629,"&lt;&gt;",'Потребление (МВт·ч)'!C629:I629),"")</s:f>
        <s:v>1783.3760105558517</s:v>
      </s:c>
      <s:c r="L629" s="6" t="n">
        <s:f>IF(COUNT(C629:I629)&gt;0,AVERAGE(C629:I629),"")</s:f>
        <s:v>1814.16615</s:v>
      </s:c>
      <s:c r="M629" s="10" t="n">
        <s:f>COUNT(C629:I629)</s:f>
        <s:v>6</s:v>
      </s:c>
      <s:c r="N629" s="11" t="n">
        <s:f>IF(AND(COUNT('Потребление (МВт·ч)'!C629:I629)=7,SUM('Потребление (МВт·ч)'!C629:I629)&gt;0),SUMIF(C629:I629,"&lt;&gt;",'Потребление (МВт·ч)'!C629:I629)/SUM('Потребление (МВт·ч)'!C629:I629),"")</s:f>
        <s:v>0.9539150983364245</s:v>
      </s:c>
    </s:row>
    <s:row r="630">
      <s:c r="A630" s="5" t="n">
        <s:v>46292</s:v>
      </s:c>
      <s:c r="B630" s="2" t="n">
        <s:v>1</s:v>
      </s:c>
      <s:c r="C630" s="6" t="n">
        <s:v>1650.51038</s:v>
      </s:c>
      <s:c r="D630" s="6" t="n">
        <s:v>2001.76392</s:v>
      </s:c>
      <s:c r="E630" s="6" t="n">
        <s:v>1920.893</s:v>
      </s:c>
      <s:c r="F630" s="6" t="n">
        <s:v>1951.552</s:v>
      </s:c>
      <s:c r="G630" s="6" t="n">
        <s:v>1786.26135</s:v>
      </s:c>
      <s:c r="H630" s="6" t="n">
        <s:v>1392.48645</s:v>
      </s:c>
      <s:c r="I630" s="6" t="n"/>
      <s:c r="J630" s="6" t="str">
        <s:f>IF(AND(COUNT(C630:I630)=7,COUNT('Потребление (МВт·ч)'!C630:I630)=7,SUM('Потребление (МВт·ч)'!C630:I630)&gt;0),SUMPRODUCT(C630:I630,'Потребление (МВт·ч)'!C630:I630)/SUM('Потребление (МВт·ч)'!C630:I630),"")</s:f>
      </s:c>
      <s:c r="K630" s="6" t="n">
        <s:f>IF(SUMIF(C630:I630,"&lt;&gt;",'Потребление (МВт·ч)'!C630:I630)&gt;0,SUMPRODUCT(C630:I630,'Потребление (МВт·ч)'!C630:I630)/SUMIF(C630:I630,"&lt;&gt;",'Потребление (МВт·ч)'!C630:I630),"")</s:f>
        <s:v>1762.2542531412741</s:v>
      </s:c>
      <s:c r="L630" s="6" t="n">
        <s:f>IF(COUNT(C630:I630)&gt;0,AVERAGE(C630:I630),"")</s:f>
        <s:v>1783.9111833333334</s:v>
      </s:c>
      <s:c r="M630" s="10" t="n">
        <s:f>COUNT(C630:I630)</s:f>
        <s:v>6</s:v>
      </s:c>
      <s:c r="N630" s="11" t="n">
        <s:f>IF(AND(COUNT('Потребление (МВт·ч)'!C630:I630)=7,SUM('Потребление (МВт·ч)'!C630:I630)&gt;0),SUMIF(C630:I630,"&lt;&gt;",'Потребление (МВт·ч)'!C630:I630)/SUM('Потребление (МВт·ч)'!C630:I630),"")</s:f>
        <s:v>0.9504464242808677</s:v>
      </s:c>
    </s:row>
    <s:row r="631">
      <s:c r="A631" s="5" t="n">
        <s:v>46292</s:v>
      </s:c>
      <s:c r="B631" s="2" t="n">
        <s:v>2</s:v>
      </s:c>
      <s:c r="C631" s="6" t="n">
        <s:v>1586.71008</s:v>
      </s:c>
      <s:c r="D631" s="6" t="n">
        <s:v>1904.76123</s:v>
      </s:c>
      <s:c r="E631" s="6" t="n">
        <s:v>1817.94922</s:v>
      </s:c>
      <s:c r="F631" s="6" t="n">
        <s:v>1872.52893</s:v>
      </s:c>
      <s:c r="G631" s="6" t="n">
        <s:v>1726.68774</s:v>
      </s:c>
      <s:c r="H631" s="6" t="n">
        <s:v>1370.90173</s:v>
      </s:c>
      <s:c r="I631" s="6" t="n"/>
      <s:c r="J631" s="6" t="str">
        <s:f>IF(AND(COUNT(C631:I631)=7,COUNT('Потребление (МВт·ч)'!C631:I631)=7,SUM('Потребление (МВт·ч)'!C631:I631)&gt;0),SUMPRODUCT(C631:I631,'Потребление (МВт·ч)'!C631:I631)/SUM('Потребление (МВт·ч)'!C631:I631),"")</s:f>
      </s:c>
      <s:c r="K631" s="6" t="n">
        <s:f>IF(SUMIF(C631:I631,"&lt;&gt;",'Потребление (МВт·ч)'!C631:I631)&gt;0,SUMPRODUCT(C631:I631,'Потребление (МВт·ч)'!C631:I631)/SUMIF(C631:I631,"&lt;&gt;",'Потребление (МВт·ч)'!C631:I631),"")</s:f>
        <s:v>1694.0230492661244</s:v>
      </s:c>
      <s:c r="L631" s="6" t="n">
        <s:f>IF(COUNT(C631:I631)&gt;0,AVERAGE(C631:I631),"")</s:f>
        <s:v>1713.2564883333332</s:v>
      </s:c>
      <s:c r="M631" s="10" t="n">
        <s:f>COUNT(C631:I631)</s:f>
        <s:v>6</s:v>
      </s:c>
      <s:c r="N631" s="11" t="n">
        <s:f>IF(AND(COUNT('Потребление (МВт·ч)'!C631:I631)=7,SUM('Потребление (МВт·ч)'!C631:I631)&gt;0),SUMIF(C631:I631,"&lt;&gt;",'Потребление (МВт·ч)'!C631:I631)/SUM('Потребление (МВт·ч)'!C631:I631),"")</s:f>
        <s:v>0.9483636363636364</s:v>
      </s:c>
    </s:row>
    <s:row r="632">
      <s:c r="A632" s="5" t="n">
        <s:v>46292</s:v>
      </s:c>
      <s:c r="B632" s="2" t="n">
        <s:v>3</s:v>
      </s:c>
      <s:c r="C632" s="6" t="n">
        <s:v>1559.47693</s:v>
      </s:c>
      <s:c r="D632" s="6" t="n">
        <s:v>1879.60022</s:v>
      </s:c>
      <s:c r="E632" s="6" t="n">
        <s:v>1787.57617</s:v>
      </s:c>
      <s:c r="F632" s="6" t="n">
        <s:v>1854.21326</s:v>
      </s:c>
      <s:c r="G632" s="6" t="n">
        <s:v>1719.15869</s:v>
      </s:c>
      <s:c r="H632" s="6" t="n">
        <s:v>1293.7052</s:v>
      </s:c>
      <s:c r="I632" s="6" t="n"/>
      <s:c r="J632" s="6" t="str">
        <s:f>IF(AND(COUNT(C632:I632)=7,COUNT('Потребление (МВт·ч)'!C632:I632)=7,SUM('Потребление (МВт·ч)'!C632:I632)&gt;0),SUMPRODUCT(C632:I632,'Потребление (МВт·ч)'!C632:I632)/SUM('Потребление (МВт·ч)'!C632:I632),"")</s:f>
      </s:c>
      <s:c r="K632" s="6" t="n">
        <s:f>IF(SUMIF(C632:I632,"&lt;&gt;",'Потребление (МВт·ч)'!C632:I632)&gt;0,SUMPRODUCT(C632:I632,'Потребление (МВт·ч)'!C632:I632)/SUMIF(C632:I632,"&lt;&gt;",'Потребление (МВт·ч)'!C632:I632),"")</s:f>
        <s:v>1657.216641921163</s:v>
      </s:c>
      <s:c r="L632" s="6" t="n">
        <s:f>IF(COUNT(C632:I632)&gt;0,AVERAGE(C632:I632),"")</s:f>
        <s:v>1682.2884116666667</s:v>
      </s:c>
      <s:c r="M632" s="10" t="n">
        <s:f>COUNT(C632:I632)</s:f>
        <s:v>6</s:v>
      </s:c>
      <s:c r="N632" s="11" t="n">
        <s:f>IF(AND(COUNT('Потребление (МВт·ч)'!C632:I632)=7,SUM('Потребление (МВт·ч)'!C632:I632)&gt;0),SUMIF(C632:I632,"&lt;&gt;",'Потребление (МВт·ч)'!C632:I632)/SUM('Потребление (МВт·ч)'!C632:I632),"")</s:f>
        <s:v>0.9483171236023893</s:v>
      </s:c>
    </s:row>
    <s:row r="633">
      <s:c r="A633" s="5" t="n">
        <s:v>46292</s:v>
      </s:c>
      <s:c r="B633" s="2" t="n">
        <s:v>4</s:v>
      </s:c>
      <s:c r="C633" s="6" t="n">
        <s:v>1626.68677</s:v>
      </s:c>
      <s:c r="D633" s="6" t="n">
        <s:v>1969.98511</s:v>
      </s:c>
      <s:c r="E633" s="6" t="n">
        <s:v>1899.01709</s:v>
      </s:c>
      <s:c r="F633" s="6" t="n">
        <s:v>1943.89575</s:v>
      </s:c>
      <s:c r="G633" s="6" t="n">
        <s:v>1809.42334</s:v>
      </s:c>
      <s:c r="H633" s="6" t="n">
        <s:v>1814.68127</s:v>
      </s:c>
      <s:c r="I633" s="6" t="n"/>
      <s:c r="J633" s="6" t="str">
        <s:f>IF(AND(COUNT(C633:I633)=7,COUNT('Потребление (МВт·ч)'!C633:I633)=7,SUM('Потребление (МВт·ч)'!C633:I633)&gt;0),SUMPRODUCT(C633:I633,'Потребление (МВт·ч)'!C633:I633)/SUM('Потребление (МВт·ч)'!C633:I633),"")</s:f>
      </s:c>
      <s:c r="K633" s="6" t="n">
        <s:f>IF(SUMIF(C633:I633,"&lt;&gt;",'Потребление (МВт·ч)'!C633:I633)&gt;0,SUMPRODUCT(C633:I633,'Потребление (МВт·ч)'!C633:I633)/SUMIF(C633:I633,"&lt;&gt;",'Потребление (МВт·ч)'!C633:I633),"")</s:f>
        <s:v>1853.307721442153</s:v>
      </s:c>
      <s:c r="L633" s="6" t="n">
        <s:f>IF(COUNT(C633:I633)&gt;0,AVERAGE(C633:I633),"")</s:f>
        <s:v>1843.9482216666668</s:v>
      </s:c>
      <s:c r="M633" s="10" t="n">
        <s:f>COUNT(C633:I633)</s:f>
        <s:v>6</s:v>
      </s:c>
      <s:c r="N633" s="11" t="n">
        <s:f>IF(AND(COUNT('Потребление (МВт·ч)'!C633:I633)=7,SUM('Потребление (МВт·ч)'!C633:I633)&gt;0),SUMIF(C633:I633,"&lt;&gt;",'Потребление (МВт·ч)'!C633:I633)/SUM('Потребление (МВт·ч)'!C633:I633),"")</s:f>
        <s:v>0.9485837292443079</s:v>
      </s:c>
    </s:row>
    <s:row r="634">
      <s:c r="A634" s="5" t="n">
        <s:v>46292</s:v>
      </s:c>
      <s:c r="B634" s="2" t="n">
        <s:v>5</s:v>
      </s:c>
      <s:c r="C634" s="6" t="n">
        <s:v>1653.96362</s:v>
      </s:c>
      <s:c r="D634" s="6" t="n">
        <s:v>2015.51941</s:v>
      </s:c>
      <s:c r="E634" s="6" t="n">
        <s:v>1385.52051</s:v>
      </s:c>
      <s:c r="F634" s="6" t="n">
        <s:v>1985.14185</s:v>
      </s:c>
      <s:c r="G634" s="6" t="n">
        <s:v>1853.52881</s:v>
      </s:c>
      <s:c r="H634" s="6" t="n">
        <s:v>1815.17346</s:v>
      </s:c>
      <s:c r="I634" s="6" t="n"/>
      <s:c r="J634" s="6" t="str">
        <s:f>IF(AND(COUNT(C634:I634)=7,COUNT('Потребление (МВт·ч)'!C634:I634)=7,SUM('Потребление (МВт·ч)'!C634:I634)&gt;0),SUMPRODUCT(C634:I634,'Потребление (МВт·ч)'!C634:I634)/SUM('Потребление (МВт·ч)'!C634:I634),"")</s:f>
      </s:c>
      <s:c r="K634" s="6" t="n">
        <s:f>IF(SUMIF(C634:I634,"&lt;&gt;",'Потребление (МВт·ч)'!C634:I634)&gt;0,SUMPRODUCT(C634:I634,'Потребление (МВт·ч)'!C634:I634)/SUMIF(C634:I634,"&lt;&gt;",'Потребление (МВт·ч)'!C634:I634),"")</s:f>
        <s:v>1834.4374243388481</s:v>
      </s:c>
      <s:c r="L634" s="6" t="n">
        <s:f>IF(COUNT(C634:I634)&gt;0,AVERAGE(C634:I634),"")</s:f>
        <s:v>1784.8079433333335</s:v>
      </s:c>
      <s:c r="M634" s="10" t="n">
        <s:f>COUNT(C634:I634)</s:f>
        <s:v>6</s:v>
      </s:c>
      <s:c r="N634" s="11" t="n">
        <s:f>IF(AND(COUNT('Потребление (МВт·ч)'!C634:I634)=7,SUM('Потребление (МВт·ч)'!C634:I634)&gt;0),SUMIF(C634:I634,"&lt;&gt;",'Потребление (МВт·ч)'!C634:I634)/SUM('Потребление (МВт·ч)'!C634:I634),"")</s:f>
        <s:v>0.9505006594958109</s:v>
      </s:c>
    </s:row>
    <s:row r="635">
      <s:c r="A635" s="5" t="n">
        <s:v>46292</s:v>
      </s:c>
      <s:c r="B635" s="2" t="n">
        <s:v>6</s:v>
      </s:c>
      <s:c r="C635" s="6" t="n">
        <s:v>1666.53027</s:v>
      </s:c>
      <s:c r="D635" s="6" t="n">
        <s:v>2016.76184</s:v>
      </s:c>
      <s:c r="E635" s="6" t="n">
        <s:v>1759.40222</s:v>
      </s:c>
      <s:c r="F635" s="6" t="n">
        <s:v>2012.11731</s:v>
      </s:c>
      <s:c r="G635" s="6" t="n">
        <s:v>1904.60876</s:v>
      </s:c>
      <s:c r="H635" s="6" t="n">
        <s:v>1705.55945</s:v>
      </s:c>
      <s:c r="I635" s="6" t="n"/>
      <s:c r="J635" s="6" t="str">
        <s:f>IF(AND(COUNT(C635:I635)=7,COUNT('Потребление (МВт·ч)'!C635:I635)=7,SUM('Потребление (МВт·ч)'!C635:I635)&gt;0),SUMPRODUCT(C635:I635,'Потребление (МВт·ч)'!C635:I635)/SUM('Потребление (МВт·ч)'!C635:I635),"")</s:f>
      </s:c>
      <s:c r="K635" s="6" t="n">
        <s:f>IF(SUMIF(C635:I635,"&lt;&gt;",'Потребление (МВт·ч)'!C635:I635)&gt;0,SUMPRODUCT(C635:I635,'Потребление (МВт·ч)'!C635:I635)/SUMIF(C635:I635,"&lt;&gt;",'Потребление (МВт·ч)'!C635:I635),"")</s:f>
        <s:v>1857.6829595590955</s:v>
      </s:c>
      <s:c r="L635" s="6" t="n">
        <s:f>IF(COUNT(C635:I635)&gt;0,AVERAGE(C635:I635),"")</s:f>
        <s:v>1844.1633083333334</s:v>
      </s:c>
      <s:c r="M635" s="10" t="n">
        <s:f>COUNT(C635:I635)</s:f>
        <s:v>6</s:v>
      </s:c>
      <s:c r="N635" s="11" t="n">
        <s:f>IF(AND(COUNT('Потребление (МВт·ч)'!C635:I635)=7,SUM('Потребление (МВт·ч)'!C635:I635)&gt;0),SUMIF(C635:I635,"&lt;&gt;",'Потребление (МВт·ч)'!C635:I635)/SUM('Потребление (МВт·ч)'!C635:I635),"")</s:f>
        <s:v>0.9524285428742755</s:v>
      </s:c>
    </s:row>
    <s:row r="636">
      <s:c r="A636" s="5" t="n">
        <s:v>46292</s:v>
      </s:c>
      <s:c r="B636" s="2" t="n">
        <s:v>7</s:v>
      </s:c>
      <s:c r="C636" s="6" t="n">
        <s:v>1851.65234</s:v>
      </s:c>
      <s:c r="D636" s="6" t="n">
        <s:v>2150.711</s:v>
      </s:c>
      <s:c r="E636" s="6" t="n">
        <s:v>2000.23474</s:v>
      </s:c>
      <s:c r="F636" s="6" t="n">
        <s:v>2126.63647</s:v>
      </s:c>
      <s:c r="G636" s="6" t="n">
        <s:v>1954.08447</s:v>
      </s:c>
      <s:c r="H636" s="6" t="n">
        <s:v>1731.86987</s:v>
      </s:c>
      <s:c r="I636" s="6" t="n"/>
      <s:c r="J636" s="6" t="str">
        <s:f>IF(AND(COUNT(C636:I636)=7,COUNT('Потребление (МВт·ч)'!C636:I636)=7,SUM('Потребление (МВт·ч)'!C636:I636)&gt;0),SUMPRODUCT(C636:I636,'Потребление (МВт·ч)'!C636:I636)/SUM('Потребление (МВт·ч)'!C636:I636),"")</s:f>
      </s:c>
      <s:c r="K636" s="6" t="n">
        <s:f>IF(SUMIF(C636:I636,"&lt;&gt;",'Потребление (МВт·ч)'!C636:I636)&gt;0,SUMPRODUCT(C636:I636,'Потребление (МВт·ч)'!C636:I636)/SUMIF(C636:I636,"&lt;&gt;",'Потребление (МВт·ч)'!C636:I636),"")</s:f>
        <s:v>1960.1764645040655</s:v>
      </s:c>
      <s:c r="L636" s="6" t="n">
        <s:f>IF(COUNT(C636:I636)&gt;0,AVERAGE(C636:I636),"")</s:f>
        <s:v>1969.1981483333332</s:v>
      </s:c>
      <s:c r="M636" s="10" t="n">
        <s:f>COUNT(C636:I636)</s:f>
        <s:v>6</s:v>
      </s:c>
      <s:c r="N636" s="11" t="n">
        <s:f>IF(AND(COUNT('Потребление (МВт·ч)'!C636:I636)=7,SUM('Потребление (МВт·ч)'!C636:I636)&gt;0),SUMIF(C636:I636,"&lt;&gt;",'Потребление (МВт·ч)'!C636:I636)/SUM('Потребление (МВт·ч)'!C636:I636),"")</s:f>
        <s:v>0.954240164021351</s:v>
      </s:c>
    </s:row>
    <s:row r="637">
      <s:c r="A637" s="5" t="n">
        <s:v>46292</s:v>
      </s:c>
      <s:c r="B637" s="2" t="n">
        <s:v>8</s:v>
      </s:c>
      <s:c r="C637" s="6" t="n">
        <s:v>2210.54224</s:v>
      </s:c>
      <s:c r="D637" s="6" t="n">
        <s:v>2539.96143</s:v>
      </s:c>
      <s:c r="E637" s="6" t="n">
        <s:v>2239.5415</s:v>
      </s:c>
      <s:c r="F637" s="6" t="n">
        <s:v>2456.11328</s:v>
      </s:c>
      <s:c r="G637" s="6" t="n">
        <s:v>2173.46533</s:v>
      </s:c>
      <s:c r="H637" s="6" t="n">
        <s:v>1578.89832</s:v>
      </s:c>
      <s:c r="I637" s="6" t="n"/>
      <s:c r="J637" s="6" t="str">
        <s:f>IF(AND(COUNT(C637:I637)=7,COUNT('Потребление (МВт·ч)'!C637:I637)=7,SUM('Потребление (МВт·ч)'!C637:I637)&gt;0),SUMPRODUCT(C637:I637,'Потребление (МВт·ч)'!C637:I637)/SUM('Потребление (МВт·ч)'!C637:I637),"")</s:f>
      </s:c>
      <s:c r="K637" s="6" t="n">
        <s:f>IF(SUMIF(C637:I637,"&lt;&gt;",'Потребление (МВт·ч)'!C637:I637)&gt;0,SUMPRODUCT(C637:I637,'Потребление (МВт·ч)'!C637:I637)/SUMIF(C637:I637,"&lt;&gt;",'Потребление (МВт·ч)'!C637:I637),"")</s:f>
        <s:v>2163.8874850956286</s:v>
      </s:c>
      <s:c r="L637" s="6" t="n">
        <s:f>IF(COUNT(C637:I637)&gt;0,AVERAGE(C637:I637),"")</s:f>
        <s:v>2199.753683333333</s:v>
      </s:c>
      <s:c r="M637" s="10" t="n">
        <s:f>COUNT(C637:I637)</s:f>
        <s:v>6</s:v>
      </s:c>
      <s:c r="N637" s="11" t="n">
        <s:f>IF(AND(COUNT('Потребление (МВт·ч)'!C637:I637)=7,SUM('Потребление (МВт·ч)'!C637:I637)&gt;0),SUMIF(C637:I637,"&lt;&gt;",'Потребление (МВт·ч)'!C637:I637)/SUM('Потребление (МВт·ч)'!C637:I637),"")</s:f>
        <s:v>0.9564064298810386</s:v>
      </s:c>
    </s:row>
    <s:row r="638">
      <s:c r="A638" s="5" t="n">
        <s:v>46292</s:v>
      </s:c>
      <s:c r="B638" s="2" t="n">
        <s:v>9</s:v>
      </s:c>
      <s:c r="C638" s="6" t="n">
        <s:v>2279.89551</s:v>
      </s:c>
      <s:c r="D638" s="6" t="n">
        <s:v>2671.46631</s:v>
      </s:c>
      <s:c r="E638" s="6" t="n">
        <s:v>2276.48828</s:v>
      </s:c>
      <s:c r="F638" s="6" t="n">
        <s:v>2521.91431</s:v>
      </s:c>
      <s:c r="G638" s="6" t="n">
        <s:v>2198.14038</s:v>
      </s:c>
      <s:c r="H638" s="6" t="n">
        <s:v>1675.63965</s:v>
      </s:c>
      <s:c r="I638" s="6" t="n"/>
      <s:c r="J638" s="6" t="str">
        <s:f>IF(AND(COUNT(C638:I638)=7,COUNT('Потребление (МВт·ч)'!C638:I638)=7,SUM('Потребление (МВт·ч)'!C638:I638)&gt;0),SUMPRODUCT(C638:I638,'Потребление (МВт·ч)'!C638:I638)/SUM('Потребление (МВт·ч)'!C638:I638),"")</s:f>
      </s:c>
      <s:c r="K638" s="6" t="n">
        <s:f>IF(SUMIF(C638:I638,"&lt;&gt;",'Потребление (МВт·ч)'!C638:I638)&gt;0,SUMPRODUCT(C638:I638,'Потребление (МВт·ч)'!C638:I638)/SUMIF(C638:I638,"&lt;&gt;",'Потребление (МВт·ч)'!C638:I638),"")</s:f>
        <s:v>2246.44192300533</s:v>
      </s:c>
      <s:c r="L638" s="6" t="n">
        <s:f>IF(COUNT(C638:I638)&gt;0,AVERAGE(C638:I638),"")</s:f>
        <s:v>2270.59074</s:v>
      </s:c>
      <s:c r="M638" s="10" t="n">
        <s:f>COUNT(C638:I638)</s:f>
        <s:v>6</s:v>
      </s:c>
      <s:c r="N638" s="11" t="n">
        <s:f>IF(AND(COUNT('Потребление (МВт·ч)'!C638:I638)=7,SUM('Потребление (МВт·ч)'!C638:I638)&gt;0),SUMIF(C638:I638,"&lt;&gt;",'Потребление (МВт·ч)'!C638:I638)/SUM('Потребление (МВт·ч)'!C638:I638),"")</s:f>
        <s:v>0.9568997951590652</s:v>
      </s:c>
    </s:row>
    <s:row r="639">
      <s:c r="A639" s="5" t="n">
        <s:v>46292</s:v>
      </s:c>
      <s:c r="B639" s="2" t="n">
        <s:v>10</s:v>
      </s:c>
      <s:c r="C639" s="6" t="n">
        <s:v>2423.0813</s:v>
      </s:c>
      <s:c r="D639" s="6" t="n">
        <s:v>2763.15381</s:v>
      </s:c>
      <s:c r="E639" s="6" t="n">
        <s:v>2229.082</s:v>
      </s:c>
      <s:c r="F639" s="6" t="n">
        <s:v>2577.357</s:v>
      </s:c>
      <s:c r="G639" s="6" t="n">
        <s:v>2246.40576</s:v>
      </s:c>
      <s:c r="H639" s="6" t="n">
        <s:v>1756.04468</s:v>
      </s:c>
      <s:c r="I639" s="6" t="n"/>
      <s:c r="J639" s="6" t="str">
        <s:f>IF(AND(COUNT(C639:I639)=7,COUNT('Потребление (МВт·ч)'!C639:I639)=7,SUM('Потребление (МВт·ч)'!C639:I639)&gt;0),SUMPRODUCT(C639:I639,'Потребление (МВт·ч)'!C639:I639)/SUM('Потребление (МВт·ч)'!C639:I639),"")</s:f>
      </s:c>
      <s:c r="K639" s="6" t="n">
        <s:f>IF(SUMIF(C639:I639,"&lt;&gt;",'Потребление (МВт·ч)'!C639:I639)&gt;0,SUMPRODUCT(C639:I639,'Потребление (МВт·ч)'!C639:I639)/SUMIF(C639:I639,"&lt;&gt;",'Потребление (МВт·ч)'!C639:I639),"")</s:f>
        <s:v>2312.9550487549095</s:v>
      </s:c>
      <s:c r="L639" s="6" t="n">
        <s:f>IF(COUNT(C639:I639)&gt;0,AVERAGE(C639:I639),"")</s:f>
        <s:v>2332.5207583333336</s:v>
      </s:c>
      <s:c r="M639" s="10" t="n">
        <s:f>COUNT(C639:I639)</s:f>
        <s:v>6</s:v>
      </s:c>
      <s:c r="N639" s="11" t="n">
        <s:f>IF(AND(COUNT('Потребление (МВт·ч)'!C639:I639)=7,SUM('Потребление (МВт·ч)'!C639:I639)&gt;0),SUMIF(C639:I639,"&lt;&gt;",'Потребление (МВт·ч)'!C639:I639)/SUM('Потребление (МВт·ч)'!C639:I639),"")</s:f>
        <s:v>0.9567075452088962</s:v>
      </s:c>
    </s:row>
    <s:row r="640">
      <s:c r="A640" s="5" t="n">
        <s:v>46292</s:v>
      </s:c>
      <s:c r="B640" s="2" t="n">
        <s:v>11</s:v>
      </s:c>
      <s:c r="C640" s="6" t="n">
        <s:v>2386.37256</s:v>
      </s:c>
      <s:c r="D640" s="6" t="n">
        <s:v>2790.61279</s:v>
      </s:c>
      <s:c r="E640" s="6" t="n">
        <s:v>2095.71118</s:v>
      </s:c>
      <s:c r="F640" s="6" t="n">
        <s:v>2583.007</s:v>
      </s:c>
      <s:c r="G640" s="6" t="n">
        <s:v>2249.0498</s:v>
      </s:c>
      <s:c r="H640" s="6" t="n">
        <s:v>1765.26306</s:v>
      </s:c>
      <s:c r="I640" s="6" t="n"/>
      <s:c r="J640" s="6" t="str">
        <s:f>IF(AND(COUNT(C640:I640)=7,COUNT('Потребление (МВт·ч)'!C640:I640)=7,SUM('Потребление (МВт·ч)'!C640:I640)&gt;0),SUMPRODUCT(C640:I640,'Потребление (МВт·ч)'!C640:I640)/SUM('Потребление (МВт·ч)'!C640:I640),"")</s:f>
      </s:c>
      <s:c r="K640" s="6" t="n">
        <s:f>IF(SUMIF(C640:I640,"&lt;&gt;",'Потребление (МВт·ч)'!C640:I640)&gt;0,SUMPRODUCT(C640:I640,'Потребление (МВт·ч)'!C640:I640)/SUMIF(C640:I640,"&lt;&gt;",'Потребление (МВт·ч)'!C640:I640),"")</s:f>
        <s:v>2306.3188665233442</s:v>
      </s:c>
      <s:c r="L640" s="6" t="n">
        <s:f>IF(COUNT(C640:I640)&gt;0,AVERAGE(C640:I640),"")</s:f>
        <s:v>2311.669398333333</s:v>
      </s:c>
      <s:c r="M640" s="10" t="n">
        <s:f>COUNT(C640:I640)</s:f>
        <s:v>6</s:v>
      </s:c>
      <s:c r="N640" s="11" t="n">
        <s:f>IF(AND(COUNT('Потребление (МВт·ч)'!C640:I640)=7,SUM('Потребление (МВт·ч)'!C640:I640)&gt;0),SUMIF(C640:I640,"&lt;&gt;",'Потребление (МВт·ч)'!C640:I640)/SUM('Потребление (МВт·ч)'!C640:I640),"")</s:f>
        <s:v>0.9548942665859182</s:v>
      </s:c>
    </s:row>
    <s:row r="641">
      <s:c r="A641" s="5" t="n">
        <s:v>46292</s:v>
      </s:c>
      <s:c r="B641" s="2" t="n">
        <s:v>12</s:v>
      </s:c>
      <s:c r="C641" s="6" t="n">
        <s:v>2387.26465</s:v>
      </s:c>
      <s:c r="D641" s="6" t="n">
        <s:v>2803.39258</s:v>
      </s:c>
      <s:c r="E641" s="6" t="n">
        <s:v>1785.51038</s:v>
      </s:c>
      <s:c r="F641" s="6" t="n">
        <s:v>2549.805</s:v>
      </s:c>
      <s:c r="G641" s="6" t="n">
        <s:v>2222.91821</s:v>
      </s:c>
      <s:c r="H641" s="6" t="n">
        <s:v>1964.732</s:v>
      </s:c>
      <s:c r="I641" s="6" t="n"/>
      <s:c r="J641" s="6" t="str">
        <s:f>IF(AND(COUNT(C641:I641)=7,COUNT('Потребление (МВт·ч)'!C641:I641)=7,SUM('Потребление (МВт·ч)'!C641:I641)&gt;0),SUMPRODUCT(C641:I641,'Потребление (МВт·ч)'!C641:I641)/SUM('Потребление (МВт·ч)'!C641:I641),"")</s:f>
      </s:c>
      <s:c r="K641" s="6" t="n">
        <s:f>IF(SUMIF(C641:I641,"&lt;&gt;",'Потребление (МВт·ч)'!C641:I641)&gt;0,SUMPRODUCT(C641:I641,'Потребление (МВт·ч)'!C641:I641)/SUMIF(C641:I641,"&lt;&gt;",'Потребление (МВт·ч)'!C641:I641),"")</s:f>
        <s:v>2313.1745977967366</s:v>
      </s:c>
      <s:c r="L641" s="6" t="n">
        <s:f>IF(COUNT(C641:I641)&gt;0,AVERAGE(C641:I641),"")</s:f>
        <s:v>2285.6038033333334</s:v>
      </s:c>
      <s:c r="M641" s="10" t="n">
        <s:f>COUNT(C641:I641)</s:f>
        <s:v>6</s:v>
      </s:c>
      <s:c r="N641" s="11" t="n">
        <s:f>IF(AND(COUNT('Потребление (МВт·ч)'!C641:I641)=7,SUM('Потребление (МВт·ч)'!C641:I641)&gt;0),SUMIF(C641:I641,"&lt;&gt;",'Потребление (МВт·ч)'!C641:I641)/SUM('Потребление (МВт·ч)'!C641:I641),"")</s:f>
        <s:v>0.954768960778795</s:v>
      </s:c>
    </s:row>
    <s:row r="642">
      <s:c r="A642" s="5" t="n">
        <s:v>46292</s:v>
      </s:c>
      <s:c r="B642" s="2" t="n">
        <s:v>13</s:v>
      </s:c>
      <s:c r="C642" s="6" t="n">
        <s:v>2438.21338</s:v>
      </s:c>
      <s:c r="D642" s="6" t="n">
        <s:v>2798.50757</s:v>
      </s:c>
      <s:c r="E642" s="6" t="n">
        <s:v>1922.91919</s:v>
      </s:c>
      <s:c r="F642" s="6" t="n">
        <s:v>2558.25</s:v>
      </s:c>
      <s:c r="G642" s="6" t="n">
        <s:v>2239.635</s:v>
      </s:c>
      <s:c r="H642" s="6" t="n">
        <s:v>2108.1394</s:v>
      </s:c>
      <s:c r="I642" s="6" t="n"/>
      <s:c r="J642" s="6" t="str">
        <s:f>IF(AND(COUNT(C642:I642)=7,COUNT('Потребление (МВт·ч)'!C642:I642)=7,SUM('Потребление (МВт·ч)'!C642:I642)&gt;0),SUMPRODUCT(C642:I642,'Потребление (МВт·ч)'!C642:I642)/SUM('Потребление (МВт·ч)'!C642:I642),"")</s:f>
      </s:c>
      <s:c r="K642" s="6" t="n">
        <s:f>IF(SUMIF(C642:I642,"&lt;&gt;",'Потребление (МВт·ч)'!C642:I642)&gt;0,SUMPRODUCT(C642:I642,'Потребление (МВт·ч)'!C642:I642)/SUMIF(C642:I642,"&lt;&gt;",'Потребление (МВт·ч)'!C642:I642),"")</s:f>
        <s:v>2367.526077803992</s:v>
      </s:c>
      <s:c r="L642" s="6" t="n">
        <s:f>IF(COUNT(C642:I642)&gt;0,AVERAGE(C642:I642),"")</s:f>
        <s:v>2344.2774233333334</s:v>
      </s:c>
      <s:c r="M642" s="10" t="n">
        <s:f>COUNT(C642:I642)</s:f>
        <s:v>6</s:v>
      </s:c>
      <s:c r="N642" s="11" t="n">
        <s:f>IF(AND(COUNT('Потребление (МВт·ч)'!C642:I642)=7,SUM('Потребление (МВт·ч)'!C642:I642)&gt;0),SUMIF(C642:I642,"&lt;&gt;",'Потребление (МВт·ч)'!C642:I642)/SUM('Потребление (МВт·ч)'!C642:I642),"")</s:f>
        <s:v>0.9536979464604007</s:v>
      </s:c>
    </s:row>
    <s:row r="643">
      <s:c r="A643" s="5" t="n">
        <s:v>46292</s:v>
      </s:c>
      <s:c r="B643" s="2" t="n">
        <s:v>14</s:v>
      </s:c>
      <s:c r="C643" s="6" t="n">
        <s:v>2424.39819</s:v>
      </s:c>
      <s:c r="D643" s="6" t="n">
        <s:v>2774.405</s:v>
      </s:c>
      <s:c r="E643" s="6" t="n">
        <s:v>2105.95435</s:v>
      </s:c>
      <s:c r="F643" s="6" t="n">
        <s:v>2568.797</s:v>
      </s:c>
      <s:c r="G643" s="6" t="n">
        <s:v>2262.829</s:v>
      </s:c>
      <s:c r="H643" s="6" t="n">
        <s:v>2323.24561</s:v>
      </s:c>
      <s:c r="I643" s="6" t="n"/>
      <s:c r="J643" s="6" t="str">
        <s:f>IF(AND(COUNT(C643:I643)=7,COUNT('Потребление (МВт·ч)'!C643:I643)=7,SUM('Потребление (МВт·ч)'!C643:I643)&gt;0),SUMPRODUCT(C643:I643,'Потребление (МВт·ч)'!C643:I643)/SUM('Потребление (МВт·ч)'!C643:I643),"")</s:f>
      </s:c>
      <s:c r="K643" s="6" t="n">
        <s:f>IF(SUMIF(C643:I643,"&lt;&gt;",'Потребление (МВт·ч)'!C643:I643)&gt;0,SUMPRODUCT(C643:I643,'Потребление (МВт·ч)'!C643:I643)/SUMIF(C643:I643,"&lt;&gt;",'Потребление (МВт·ч)'!C643:I643),"")</s:f>
        <s:v>2435.0140521142685</s:v>
      </s:c>
      <s:c r="L643" s="6" t="n">
        <s:f>IF(COUNT(C643:I643)&gt;0,AVERAGE(C643:I643),"")</s:f>
        <s:v>2409.9381916666666</s:v>
      </s:c>
      <s:c r="M643" s="10" t="n">
        <s:f>COUNT(C643:I643)</s:f>
        <s:v>6</s:v>
      </s:c>
      <s:c r="N643" s="11" t="n">
        <s:f>IF(AND(COUNT('Потребление (МВт·ч)'!C643:I643)=7,SUM('Потребление (МВт·ч)'!C643:I643)&gt;0),SUMIF(C643:I643,"&lt;&gt;",'Потребление (МВт·ч)'!C643:I643)/SUM('Потребление (МВт·ч)'!C643:I643),"")</s:f>
        <s:v>0.9557591840119413</s:v>
      </s:c>
    </s:row>
    <s:row r="644">
      <s:c r="A644" s="5" t="n">
        <s:v>46292</s:v>
      </s:c>
      <s:c r="B644" s="2" t="n">
        <s:v>15</s:v>
      </s:c>
      <s:c r="C644" s="6" t="n">
        <s:v>2425.04126</s:v>
      </s:c>
      <s:c r="D644" s="6" t="n">
        <s:v>2777.18652</s:v>
      </s:c>
      <s:c r="E644" s="6" t="n">
        <s:v>2016.35913</s:v>
      </s:c>
      <s:c r="F644" s="6" t="n">
        <s:v>2566.47583</s:v>
      </s:c>
      <s:c r="G644" s="6" t="n">
        <s:v>2274.6665</s:v>
      </s:c>
      <s:c r="H644" s="6" t="n">
        <s:v>2368.47241</s:v>
      </s:c>
      <s:c r="I644" s="6" t="n"/>
      <s:c r="J644" s="6" t="str">
        <s:f>IF(AND(COUNT(C644:I644)=7,COUNT('Потребление (МВт·ч)'!C644:I644)=7,SUM('Потребление (МВт·ч)'!C644:I644)&gt;0),SUMPRODUCT(C644:I644,'Потребление (МВт·ч)'!C644:I644)/SUM('Потребление (МВт·ч)'!C644:I644),"")</s:f>
      </s:c>
      <s:c r="K644" s="6" t="n">
        <s:f>IF(SUMIF(C644:I644,"&lt;&gt;",'Потребление (МВт·ч)'!C644:I644)&gt;0,SUMPRODUCT(C644:I644,'Потребление (МВт·ч)'!C644:I644)/SUMIF(C644:I644,"&lt;&gt;",'Потребление (МВт·ч)'!C644:I644),"")</s:f>
        <s:v>2437.689622772845</s:v>
      </s:c>
      <s:c r="L644" s="6" t="n">
        <s:f>IF(COUNT(C644:I644)&gt;0,AVERAGE(C644:I644),"")</s:f>
        <s:v>2404.7002749999997</s:v>
      </s:c>
      <s:c r="M644" s="10" t="n">
        <s:f>COUNT(C644:I644)</s:f>
        <s:v>6</s:v>
      </s:c>
      <s:c r="N644" s="11" t="n">
        <s:f>IF(AND(COUNT('Потребление (МВт·ч)'!C644:I644)=7,SUM('Потребление (МВт·ч)'!C644:I644)&gt;0),SUMIF(C644:I644,"&lt;&gt;",'Потребление (МВт·ч)'!C644:I644)/SUM('Потребление (МВт·ч)'!C644:I644),"")</s:f>
        <s:v>0.9573531970602126</s:v>
      </s:c>
    </s:row>
    <s:row r="645">
      <s:c r="A645" s="5" t="n">
        <s:v>46292</s:v>
      </s:c>
      <s:c r="B645" s="2" t="n">
        <s:v>16</s:v>
      </s:c>
      <s:c r="C645" s="6" t="n">
        <s:v>2393.30127</s:v>
      </s:c>
      <s:c r="D645" s="6" t="n">
        <s:v>2754.22632</s:v>
      </s:c>
      <s:c r="E645" s="6" t="n">
        <s:v>2062.53857</s:v>
      </s:c>
      <s:c r="F645" s="6" t="n">
        <s:v>2583.0708</s:v>
      </s:c>
      <s:c r="G645" s="6" t="n">
        <s:v>2319.94019</s:v>
      </s:c>
      <s:c r="H645" s="6" t="n">
        <s:v>2359.52441</s:v>
      </s:c>
      <s:c r="I645" s="6" t="n"/>
      <s:c r="J645" s="6" t="str">
        <s:f>IF(AND(COUNT(C645:I645)=7,COUNT('Потребление (МВт·ч)'!C645:I645)=7,SUM('Потребление (МВт·ч)'!C645:I645)&gt;0),SUMPRODUCT(C645:I645,'Потребление (МВт·ч)'!C645:I645)/SUM('Потребление (МВт·ч)'!C645:I645),"")</s:f>
      </s:c>
      <s:c r="K645" s="6" t="n">
        <s:f>IF(SUMIF(C645:I645,"&lt;&gt;",'Потребление (МВт·ч)'!C645:I645)&gt;0,SUMPRODUCT(C645:I645,'Потребление (МВт·ч)'!C645:I645)/SUMIF(C645:I645,"&lt;&gt;",'Потребление (МВт·ч)'!C645:I645),"")</s:f>
        <s:v>2443.7718589797378</s:v>
      </s:c>
      <s:c r="L645" s="6" t="n">
        <s:f>IF(COUNT(C645:I645)&gt;0,AVERAGE(C645:I645),"")</s:f>
        <s:v>2412.1002599999997</s:v>
      </s:c>
      <s:c r="M645" s="10" t="n">
        <s:f>COUNT(C645:I645)</s:f>
        <s:v>6</s:v>
      </s:c>
      <s:c r="N645" s="11" t="n">
        <s:f>IF(AND(COUNT('Потребление (МВт·ч)'!C645:I645)=7,SUM('Потребление (МВт·ч)'!C645:I645)&gt;0),SUMIF(C645:I645,"&lt;&gt;",'Потребление (МВт·ч)'!C645:I645)/SUM('Потребление (МВт·ч)'!C645:I645),"")</s:f>
        <s:v>0.9582621611585592</s:v>
      </s:c>
    </s:row>
    <s:row r="646">
      <s:c r="A646" s="5" t="n">
        <s:v>46292</s:v>
      </s:c>
      <s:c r="B646" s="2" t="n">
        <s:v>17</s:v>
      </s:c>
      <s:c r="C646" s="6" t="n">
        <s:v>2408.3772</s:v>
      </s:c>
      <s:c r="D646" s="6" t="n">
        <s:v>2786.68481</s:v>
      </s:c>
      <s:c r="E646" s="6" t="n">
        <s:v>2042.10547</s:v>
      </s:c>
      <s:c r="F646" s="6" t="n">
        <s:v>2589.02637</s:v>
      </s:c>
      <s:c r="G646" s="6" t="n">
        <s:v>2304.61353</s:v>
      </s:c>
      <s:c r="H646" s="6" t="n">
        <s:v>1741.57666</s:v>
      </s:c>
      <s:c r="I646" s="6" t="n"/>
      <s:c r="J646" s="6" t="str">
        <s:f>IF(AND(COUNT(C646:I646)=7,COUNT('Потребление (МВт·ч)'!C646:I646)=7,SUM('Потребление (МВт·ч)'!C646:I646)&gt;0),SUMPRODUCT(C646:I646,'Потребление (МВт·ч)'!C646:I646)/SUM('Потребление (МВт·ч)'!C646:I646),"")</s:f>
      </s:c>
      <s:c r="K646" s="6" t="n">
        <s:f>IF(SUMIF(C646:I646,"&lt;&gt;",'Потребление (МВт·ч)'!C646:I646)&gt;0,SUMPRODUCT(C646:I646,'Потребление (МВт·ч)'!C646:I646)/SUMIF(C646:I646,"&lt;&gt;",'Потребление (МВт·ч)'!C646:I646),"")</s:f>
        <s:v>2313.8910161284566</s:v>
      </s:c>
      <s:c r="L646" s="6" t="n">
        <s:f>IF(COUNT(C646:I646)&gt;0,AVERAGE(C646:I646),"")</s:f>
        <s:v>2312.064006666667</s:v>
      </s:c>
      <s:c r="M646" s="10" t="n">
        <s:f>COUNT(C646:I646)</s:f>
        <s:v>6</s:v>
      </s:c>
      <s:c r="N646" s="11" t="n">
        <s:f>IF(AND(COUNT('Потребление (МВт·ч)'!C646:I646)=7,SUM('Потребление (МВт·ч)'!C646:I646)&gt;0),SUMIF(C646:I646,"&lt;&gt;",'Потребление (МВт·ч)'!C646:I646)/SUM('Потребление (МВт·ч)'!C646:I646),"")</s:f>
        <s:v>0.9607625894557154</s:v>
      </s:c>
    </s:row>
    <s:row r="647">
      <s:c r="A647" s="5" t="n">
        <s:v>46292</s:v>
      </s:c>
      <s:c r="B647" s="2" t="n">
        <s:v>18</s:v>
      </s:c>
      <s:c r="C647" s="6" t="n">
        <s:v>2537.19336</s:v>
      </s:c>
      <s:c r="D647" s="6" t="n">
        <s:v>2966.38745</s:v>
      </s:c>
      <s:c r="E647" s="6" t="n">
        <s:v>2296.70923</s:v>
      </s:c>
      <s:c r="F647" s="6" t="n">
        <s:v>2723.08447</s:v>
      </s:c>
      <s:c r="G647" s="6" t="n">
        <s:v>2341.10083</s:v>
      </s:c>
      <s:c r="H647" s="6" t="n">
        <s:v>1785.36035</s:v>
      </s:c>
      <s:c r="I647" s="6" t="n"/>
      <s:c r="J647" s="6" t="str">
        <s:f>IF(AND(COUNT(C647:I647)=7,COUNT('Потребление (МВт·ч)'!C647:I647)=7,SUM('Потребление (МВт·ч)'!C647:I647)&gt;0),SUMPRODUCT(C647:I647,'Потребление (МВт·ч)'!C647:I647)/SUM('Потребление (МВт·ч)'!C647:I647),"")</s:f>
      </s:c>
      <s:c r="K647" s="6" t="n">
        <s:f>IF(SUMIF(C647:I647,"&lt;&gt;",'Потребление (МВт·ч)'!C647:I647)&gt;0,SUMPRODUCT(C647:I647,'Потребление (МВт·ч)'!C647:I647)/SUMIF(C647:I647,"&lt;&gt;",'Потребление (МВт·ч)'!C647:I647),"")</s:f>
        <s:v>2438.7808978747644</s:v>
      </s:c>
      <s:c r="L647" s="6" t="n">
        <s:f>IF(COUNT(C647:I647)&gt;0,AVERAGE(C647:I647),"")</s:f>
        <s:v>2441.6392816666666</s:v>
      </s:c>
      <s:c r="M647" s="10" t="n">
        <s:f>COUNT(C647:I647)</s:f>
        <s:v>6</s:v>
      </s:c>
      <s:c r="N647" s="11" t="n">
        <s:f>IF(AND(COUNT('Потребление (МВт·ч)'!C647:I647)=7,SUM('Потребление (МВт·ч)'!C647:I647)&gt;0),SUMIF(C647:I647,"&lt;&gt;",'Потребление (МВт·ч)'!C647:I647)/SUM('Потребление (МВт·ч)'!C647:I647),"")</s:f>
        <s:v>0.9615997269313915</s:v>
      </s:c>
    </s:row>
    <s:row r="648">
      <s:c r="A648" s="5" t="n">
        <s:v>46292</s:v>
      </s:c>
      <s:c r="B648" s="2" t="n">
        <s:v>19</s:v>
      </s:c>
      <s:c r="C648" s="6" t="n">
        <s:v>2540.00781</s:v>
      </s:c>
      <s:c r="D648" s="6" t="n">
        <s:v>2920.29736</s:v>
      </s:c>
      <s:c r="E648" s="6" t="n">
        <s:v>2305.648</s:v>
      </s:c>
      <s:c r="F648" s="6" t="n">
        <s:v>2682.70361</s:v>
      </s:c>
      <s:c r="G648" s="6" t="n">
        <s:v>2291.47437</s:v>
      </s:c>
      <s:c r="H648" s="6" t="n">
        <s:v>1969.62817</s:v>
      </s:c>
      <s:c r="I648" s="6" t="n"/>
      <s:c r="J648" s="6" t="str">
        <s:f>IF(AND(COUNT(C648:I648)=7,COUNT('Потребление (МВт·ч)'!C648:I648)=7,SUM('Потребление (МВт·ч)'!C648:I648)&gt;0),SUMPRODUCT(C648:I648,'Потребление (МВт·ч)'!C648:I648)/SUM('Потребление (МВт·ч)'!C648:I648),"")</s:f>
      </s:c>
      <s:c r="K648" s="6" t="n">
        <s:f>IF(SUMIF(C648:I648,"&lt;&gt;",'Потребление (МВт·ч)'!C648:I648)&gt;0,SUMPRODUCT(C648:I648,'Потребление (МВт·ч)'!C648:I648)/SUMIF(C648:I648,"&lt;&gt;",'Потребление (МВт·ч)'!C648:I648),"")</s:f>
        <s:v>2451.8658952520987</s:v>
      </s:c>
      <s:c r="L648" s="6" t="n">
        <s:f>IF(COUNT(C648:I648)&gt;0,AVERAGE(C648:I648),"")</s:f>
        <s:v>2451.626553333333</s:v>
      </s:c>
      <s:c r="M648" s="10" t="n">
        <s:f>COUNT(C648:I648)</s:f>
        <s:v>6</s:v>
      </s:c>
      <s:c r="N648" s="11" t="n">
        <s:f>IF(AND(COUNT('Потребление (МВт·ч)'!C648:I648)=7,SUM('Потребление (МВт·ч)'!C648:I648)&gt;0),SUMIF(C648:I648,"&lt;&gt;",'Потребление (МВт·ч)'!C648:I648)/SUM('Потребление (МВт·ч)'!C648:I648),"")</s:f>
        <s:v>0.9616776859504133</s:v>
      </s:c>
    </s:row>
    <s:row r="649">
      <s:c r="A649" s="5" t="n">
        <s:v>46292</s:v>
      </s:c>
      <s:c r="B649" s="2" t="n">
        <s:v>20</s:v>
      </s:c>
      <s:c r="C649" s="6" t="n">
        <s:v>2366.33472</s:v>
      </s:c>
      <s:c r="D649" s="6" t="n">
        <s:v>2743.60669</s:v>
      </s:c>
      <s:c r="E649" s="6" t="n">
        <s:v>2413.26172</s:v>
      </s:c>
      <s:c r="F649" s="6" t="n">
        <s:v>2545.12378</s:v>
      </s:c>
      <s:c r="G649" s="6" t="n">
        <s:v>2168.89014</s:v>
      </s:c>
      <s:c r="H649" s="6" t="n">
        <s:v>1971.61792</s:v>
      </s:c>
      <s:c r="I649" s="6" t="n"/>
      <s:c r="J649" s="6" t="str">
        <s:f>IF(AND(COUNT(C649:I649)=7,COUNT('Потребление (МВт·ч)'!C649:I649)=7,SUM('Потребление (МВт·ч)'!C649:I649)&gt;0),SUMPRODUCT(C649:I649,'Потребление (МВт·ч)'!C649:I649)/SUM('Потребление (МВт·ч)'!C649:I649),"")</s:f>
      </s:c>
      <s:c r="K649" s="6" t="n">
        <s:f>IF(SUMIF(C649:I649,"&lt;&gt;",'Потребление (МВт·ч)'!C649:I649)&gt;0,SUMPRODUCT(C649:I649,'Потребление (МВт·ч)'!C649:I649)/SUMIF(C649:I649,"&lt;&gt;",'Потребление (МВт·ч)'!C649:I649),"")</s:f>
        <s:v>2361.647484862294</s:v>
      </s:c>
      <s:c r="L649" s="6" t="n">
        <s:f>IF(COUNT(C649:I649)&gt;0,AVERAGE(C649:I649),"")</s:f>
        <s:v>2368.1391616666665</s:v>
      </s:c>
      <s:c r="M649" s="10" t="n">
        <s:f>COUNT(C649:I649)</s:f>
        <s:v>6</s:v>
      </s:c>
      <s:c r="N649" s="11" t="n">
        <s:f>IF(AND(COUNT('Потребление (МВт·ч)'!C649:I649)=7,SUM('Потребление (МВт·ч)'!C649:I649)&gt;0),SUMIF(C649:I649,"&lt;&gt;",'Потребление (МВт·ч)'!C649:I649)/SUM('Потребление (МВт·ч)'!C649:I649),"")</s:f>
        <s:v>0.9616808901008265</s:v>
      </s:c>
    </s:row>
    <s:row r="650">
      <s:c r="A650" s="5" t="n">
        <s:v>46292</s:v>
      </s:c>
      <s:c r="B650" s="2" t="n">
        <s:v>21</s:v>
      </s:c>
      <s:c r="C650" s="6" t="n">
        <s:v>2282.10376</s:v>
      </s:c>
      <s:c r="D650" s="6" t="n">
        <s:v>2623.28662</s:v>
      </s:c>
      <s:c r="E650" s="6" t="n">
        <s:v>2455.03857</s:v>
      </s:c>
      <s:c r="F650" s="6" t="n">
        <s:v>2469.16943</s:v>
      </s:c>
      <s:c r="G650" s="6" t="n">
        <s:v>2023.094</s:v>
      </s:c>
      <s:c r="H650" s="6" t="n">
        <s:v>1951.03528</s:v>
      </s:c>
      <s:c r="I650" s="6" t="n"/>
      <s:c r="J650" s="6" t="str">
        <s:f>IF(AND(COUNT(C650:I650)=7,COUNT('Потребление (МВт·ч)'!C650:I650)=7,SUM('Потребление (МВт·ч)'!C650:I650)&gt;0),SUMPRODUCT(C650:I650,'Потребление (МВт·ч)'!C650:I650)/SUM('Потребление (МВт·ч)'!C650:I650),"")</s:f>
      </s:c>
      <s:c r="K650" s="6" t="n">
        <s:f>IF(SUMIF(C650:I650,"&lt;&gt;",'Потребление (МВт·ч)'!C650:I650)&gt;0,SUMPRODUCT(C650:I650,'Потребление (МВт·ч)'!C650:I650)/SUMIF(C650:I650,"&lt;&gt;",'Потребление (МВт·ч)'!C650:I650),"")</s:f>
        <s:v>2278.5843858453713</s:v>
      </s:c>
      <s:c r="L650" s="6" t="n">
        <s:f>IF(COUNT(C650:I650)&gt;0,AVERAGE(C650:I650),"")</s:f>
        <s:v>2300.6212766666667</s:v>
      </s:c>
      <s:c r="M650" s="10" t="n">
        <s:f>COUNT(C650:I650)</s:f>
        <s:v>6</s:v>
      </s:c>
      <s:c r="N650" s="11" t="n">
        <s:f>IF(AND(COUNT('Потребление (МВт·ч)'!C650:I650)=7,SUM('Потребление (МВт·ч)'!C650:I650)&gt;0),SUMIF(C650:I650,"&lt;&gt;",'Потребление (МВт·ч)'!C650:I650)/SUM('Потребление (МВт·ч)'!C650:I650),"")</s:f>
        <s:v>0.960379687418508</s:v>
      </s:c>
    </s:row>
    <s:row r="651">
      <s:c r="A651" s="5" t="n">
        <s:v>46292</s:v>
      </s:c>
      <s:c r="B651" s="2" t="n">
        <s:v>22</s:v>
      </s:c>
      <s:c r="C651" s="6" t="n">
        <s:v>1646.71082</s:v>
      </s:c>
      <s:c r="D651" s="6" t="n">
        <s:v>2331.0376</s:v>
      </s:c>
      <s:c r="E651" s="6" t="n">
        <s:v>2197.97266</s:v>
      </s:c>
      <s:c r="F651" s="6" t="n">
        <s:v>2250.83276</s:v>
      </s:c>
      <s:c r="G651" s="6" t="n">
        <s:v>1935.07312</s:v>
      </s:c>
      <s:c r="H651" s="6" t="n">
        <s:v>1920.747</s:v>
      </s:c>
      <s:c r="I651" s="6" t="n"/>
      <s:c r="J651" s="6" t="str">
        <s:f>IF(AND(COUNT(C651:I651)=7,COUNT('Потребление (МВт·ч)'!C651:I651)=7,SUM('Потребление (МВт·ч)'!C651:I651)&gt;0),SUMPRODUCT(C651:I651,'Потребление (МВт·ч)'!C651:I651)/SUM('Потребление (МВт·ч)'!C651:I651),"")</s:f>
      </s:c>
      <s:c r="K651" s="6" t="n">
        <s:f>IF(SUMIF(C651:I651,"&lt;&gt;",'Потребление (МВт·ч)'!C651:I651)&gt;0,SUMPRODUCT(C651:I651,'Потребление (МВт·ч)'!C651:I651)/SUMIF(C651:I651,"&lt;&gt;",'Потребление (МВт·ч)'!C651:I651),"")</s:f>
        <s:v>2061.9009556843407</s:v>
      </s:c>
      <s:c r="L651" s="6" t="n">
        <s:f>IF(COUNT(C651:I651)&gt;0,AVERAGE(C651:I651),"")</s:f>
        <s:v>2047.0623266666662</s:v>
      </s:c>
      <s:c r="M651" s="10" t="n">
        <s:f>COUNT(C651:I651)</s:f>
        <s:v>6</s:v>
      </s:c>
      <s:c r="N651" s="11" t="n">
        <s:f>IF(AND(COUNT('Потребление (МВт·ч)'!C651:I651)=7,SUM('Потребление (МВт·ч)'!C651:I651)&gt;0),SUMIF(C651:I651,"&lt;&gt;",'Потребление (МВт·ч)'!C651:I651)/SUM('Потребление (МВт·ч)'!C651:I651),"")</s:f>
        <s:v>0.9573769602257312</s:v>
      </s:c>
    </s:row>
    <s:row r="652">
      <s:c r="A652" s="5" t="n">
        <s:v>46292</s:v>
      </s:c>
      <s:c r="B652" s="2" t="n">
        <s:v>23</s:v>
      </s:c>
      <s:c r="C652" s="6" t="n">
        <s:v>1625.83179</s:v>
      </s:c>
      <s:c r="D652" s="6" t="n">
        <s:v>2246.15234</s:v>
      </s:c>
      <s:c r="E652" s="6" t="n">
        <s:v>2056.29858</s:v>
      </s:c>
      <s:c r="F652" s="6" t="n">
        <s:v>2179.87524</s:v>
      </s:c>
      <s:c r="G652" s="6" t="n">
        <s:v>1898.74841</s:v>
      </s:c>
      <s:c r="H652" s="6" t="n">
        <s:v>1987.49219</s:v>
      </s:c>
      <s:c r="I652" s="6" t="n"/>
      <s:c r="J652" s="6" t="str">
        <s:f>IF(AND(COUNT(C652:I652)=7,COUNT('Потребление (МВт·ч)'!C652:I652)=7,SUM('Потребление (МВт·ч)'!C652:I652)&gt;0),SUMPRODUCT(C652:I652,'Потребление (МВт·ч)'!C652:I652)/SUM('Потребление (МВт·ч)'!C652:I652),"")</s:f>
      </s:c>
      <s:c r="K652" s="6" t="n">
        <s:f>IF(SUMIF(C652:I652,"&lt;&gt;",'Потребление (МВт·ч)'!C652:I652)&gt;0,SUMPRODUCT(C652:I652,'Потребление (МВт·ч)'!C652:I652)/SUMIF(C652:I652,"&lt;&gt;",'Потребление (МВт·ч)'!C652:I652),"")</s:f>
        <s:v>2022.0603514596437</s:v>
      </s:c>
      <s:c r="L652" s="6" t="n">
        <s:f>IF(COUNT(C652:I652)&gt;0,AVERAGE(C652:I652),"")</s:f>
        <s:v>1999.0664249999998</s:v>
      </s:c>
      <s:c r="M652" s="10" t="n">
        <s:f>COUNT(C652:I652)</s:f>
        <s:v>6</s:v>
      </s:c>
      <s:c r="N652" s="11" t="n">
        <s:f>IF(AND(COUNT('Потребление (МВт·ч)'!C652:I652)=7,SUM('Потребление (МВт·ч)'!C652:I652)&gt;0),SUMIF(C652:I652,"&lt;&gt;",'Потребление (МВт·ч)'!C652:I652)/SUM('Потребление (МВт·ч)'!C652:I652),"")</s:f>
        <s:v>0.9542002494276195</s:v>
      </s:c>
    </s:row>
    <s:row r="653">
      <s:c r="A653" s="5" t="n">
        <s:v>46293</s:v>
      </s:c>
      <s:c r="B653" s="2" t="n">
        <s:v>0</s:v>
      </s:c>
      <s:c r="C653" s="6" t="n">
        <s:v>341.443817</s:v>
      </s:c>
      <s:c r="D653" s="6" t="n">
        <s:v>1951.49731</s:v>
      </s:c>
      <s:c r="E653" s="6" t="n">
        <s:v>1849.59009</s:v>
      </s:c>
      <s:c r="F653" s="6" t="n">
        <s:v>2009.38257</s:v>
      </s:c>
      <s:c r="G653" s="6" t="n">
        <s:v>1798.92761</s:v>
      </s:c>
      <s:c r="H653" s="6" t="n">
        <s:v>1437.01343</s:v>
      </s:c>
      <s:c r="I653" s="6" t="n"/>
      <s:c r="J653" s="6" t="str">
        <s:f>IF(AND(COUNT(C653:I653)=7,COUNT('Потребление (МВт·ч)'!C653:I653)=7,SUM('Потребление (МВт·ч)'!C653:I653)&gt;0),SUMPRODUCT(C653:I653,'Потребление (МВт·ч)'!C653:I653)/SUM('Потребление (МВт·ч)'!C653:I653),"")</s:f>
      </s:c>
      <s:c r="K653" s="6" t="n">
        <s:f>IF(SUMIF(C653:I653,"&lt;&gt;",'Потребление (МВт·ч)'!C653:I653)&gt;0,SUMPRODUCT(C653:I653,'Потребление (МВт·ч)'!C653:I653)/SUMIF(C653:I653,"&lt;&gt;",'Потребление (МВт·ч)'!C653:I653),"")</s:f>
        <s:v>1639.727132171933</s:v>
      </s:c>
      <s:c r="L653" s="6" t="n">
        <s:f>IF(COUNT(C653:I653)&gt;0,AVERAGE(C653:I653),"")</s:f>
        <s:v>1564.6424711666666</s:v>
      </s:c>
      <s:c r="M653" s="10" t="n">
        <s:f>COUNT(C653:I653)</s:f>
        <s:v>6</s:v>
      </s:c>
      <s:c r="N653" s="11" t="n">
        <s:f>IF(AND(COUNT('Потребление (МВт·ч)'!C653:I653)=7,SUM('Потребление (МВт·ч)'!C653:I653)&gt;0),SUMIF(C653:I653,"&lt;&gt;",'Потребление (МВт·ч)'!C653:I653)/SUM('Потребление (МВт·ч)'!C653:I653),"")</s:f>
        <s:v>0.9514463981849121</s:v>
      </s:c>
    </s:row>
    <s:row r="654">
      <s:c r="A654" s="5" t="n">
        <s:v>46293</s:v>
      </s:c>
      <s:c r="B654" s="2" t="n">
        <s:v>1</s:v>
      </s:c>
      <s:c r="C654" s="6" t="n">
        <s:v>332.0783</s:v>
      </s:c>
      <s:c r="D654" s="6" t="n">
        <s:v>1852.70581</s:v>
      </s:c>
      <s:c r="E654" s="6" t="n">
        <s:v>1717.191</s:v>
      </s:c>
      <s:c r="F654" s="6" t="n">
        <s:v>1931.75366</s:v>
      </s:c>
      <s:c r="G654" s="6" t="n">
        <s:v>1773.06665</s:v>
      </s:c>
      <s:c r="H654" s="6" t="n">
        <s:v>1434.97107</s:v>
      </s:c>
      <s:c r="I654" s="6" t="n"/>
      <s:c r="J654" s="6" t="str">
        <s:f>IF(AND(COUNT(C654:I654)=7,COUNT('Потребление (МВт·ч)'!C654:I654)=7,SUM('Потребление (МВт·ч)'!C654:I654)&gt;0),SUMPRODUCT(C654:I654,'Потребление (МВт·ч)'!C654:I654)/SUM('Потребление (МВт·ч)'!C654:I654),"")</s:f>
      </s:c>
      <s:c r="K654" s="6" t="n">
        <s:f>IF(SUMIF(C654:I654,"&lt;&gt;",'Потребление (МВт·ч)'!C654:I654)&gt;0,SUMPRODUCT(C654:I654,'Потребление (МВт·ч)'!C654:I654)/SUMIF(C654:I654,"&lt;&gt;",'Потребление (МВт·ч)'!C654:I654),"")</s:f>
        <s:v>1586.3305285304098</s:v>
      </s:c>
      <s:c r="L654" s="6" t="n">
        <s:f>IF(COUNT(C654:I654)&gt;0,AVERAGE(C654:I654),"")</s:f>
        <s:v>1506.9610816666666</s:v>
      </s:c>
      <s:c r="M654" s="10" t="n">
        <s:f>COUNT(C654:I654)</s:f>
        <s:v>6</s:v>
      </s:c>
      <s:c r="N654" s="11" t="n">
        <s:f>IF(AND(COUNT('Потребление (МВт·ч)'!C654:I654)=7,SUM('Потребление (МВт·ч)'!C654:I654)&gt;0),SUMIF(C654:I654,"&lt;&gt;",'Потребление (МВт·ч)'!C654:I654)/SUM('Потребление (МВт·ч)'!C654:I654),"")</s:f>
        <s:v>0.9490354573336773</s:v>
      </s:c>
    </s:row>
    <s:row r="655">
      <s:c r="A655" s="5" t="n">
        <s:v>46293</s:v>
      </s:c>
      <s:c r="B655" s="2" t="n">
        <s:v>2</s:v>
      </s:c>
      <s:c r="C655" s="6" t="n">
        <s:v>1329.83813</s:v>
      </s:c>
      <s:c r="D655" s="6" t="n">
        <s:v>1926.41272</s:v>
      </s:c>
      <s:c r="E655" s="6" t="n">
        <s:v>1616.309</s:v>
      </s:c>
      <s:c r="F655" s="6" t="n">
        <s:v>1934.16956</s:v>
      </s:c>
      <s:c r="G655" s="6" t="n">
        <s:v>1778.50977</s:v>
      </s:c>
      <s:c r="H655" s="6" t="n">
        <s:v>1299.398</s:v>
      </s:c>
      <s:c r="I655" s="6" t="n"/>
      <s:c r="J655" s="6" t="str">
        <s:f>IF(AND(COUNT(C655:I655)=7,COUNT('Потребление (МВт·ч)'!C655:I655)=7,SUM('Потребление (МВт·ч)'!C655:I655)&gt;0),SUMPRODUCT(C655:I655,'Потребление (МВт·ч)'!C655:I655)/SUM('Потребление (МВт·ч)'!C655:I655),"")</s:f>
      </s:c>
      <s:c r="K655" s="6" t="n">
        <s:f>IF(SUMIF(C655:I655,"&lt;&gt;",'Потребление (МВт·ч)'!C655:I655)&gt;0,SUMPRODUCT(C655:I655,'Потребление (МВт·ч)'!C655:I655)/SUMIF(C655:I655,"&lt;&gt;",'Потребление (МВт·ч)'!C655:I655),"")</s:f>
        <s:v>1652.9854788529126</s:v>
      </s:c>
      <s:c r="L655" s="6" t="n">
        <s:f>IF(COUNT(C655:I655)&gt;0,AVERAGE(C655:I655),"")</s:f>
        <s:v>1647.4395299999999</s:v>
      </s:c>
      <s:c r="M655" s="10" t="n">
        <s:f>COUNT(C655:I655)</s:f>
        <s:v>6</s:v>
      </s:c>
      <s:c r="N655" s="11" t="n">
        <s:f>IF(AND(COUNT('Потребление (МВт·ч)'!C655:I655)=7,SUM('Потребление (МВт·ч)'!C655:I655)&gt;0),SUMIF(C655:I655,"&lt;&gt;",'Потребление (МВт·ч)'!C655:I655)/SUM('Потребление (МВт·ч)'!C655:I655),"")</s:f>
        <s:v>0.94921860182832</s:v>
      </s:c>
    </s:row>
    <s:row r="656">
      <s:c r="A656" s="5" t="n">
        <s:v>46293</s:v>
      </s:c>
      <s:c r="B656" s="2" t="n">
        <s:v>3</s:v>
      </s:c>
      <s:c r="C656" s="6" t="n">
        <s:v>315.993958</s:v>
      </s:c>
      <s:c r="D656" s="6" t="n">
        <s:v>1822.53918</s:v>
      </s:c>
      <s:c r="E656" s="6" t="n">
        <s:v>1433.46326</s:v>
      </s:c>
      <s:c r="F656" s="6" t="n">
        <s:v>1926.4126</s:v>
      </s:c>
      <s:c r="G656" s="6" t="n">
        <s:v>1788.32</s:v>
      </s:c>
      <s:c r="H656" s="6" t="n">
        <s:v>1150.46326</s:v>
      </s:c>
      <s:c r="I656" s="6" t="n"/>
      <s:c r="J656" s="6" t="str">
        <s:f>IF(AND(COUNT(C656:I656)=7,COUNT('Потребление (МВт·ч)'!C656:I656)=7,SUM('Потребление (МВт·ч)'!C656:I656)&gt;0),SUMPRODUCT(C656:I656,'Потребление (МВт·ч)'!C656:I656)/SUM('Потребление (МВт·ч)'!C656:I656),"")</s:f>
      </s:c>
      <s:c r="K656" s="6" t="n">
        <s:f>IF(SUMIF(C656:I656,"&lt;&gt;",'Потребление (МВт·ч)'!C656:I656)&gt;0,SUMPRODUCT(C656:I656,'Потребление (МВт·ч)'!C656:I656)/SUMIF(C656:I656,"&lt;&gt;",'Потребление (МВт·ч)'!C656:I656),"")</s:f>
        <s:v>1486.2300330664032</s:v>
      </s:c>
      <s:c r="L656" s="6" t="n">
        <s:f>IF(COUNT(C656:I656)&gt;0,AVERAGE(C656:I656),"")</s:f>
        <s:v>1406.1987096666664</s:v>
      </s:c>
      <s:c r="M656" s="10" t="n">
        <s:f>COUNT(C656:I656)</s:f>
        <s:v>6</s:v>
      </s:c>
      <s:c r="N656" s="11" t="n">
        <s:f>IF(AND(COUNT('Потребление (МВт·ч)'!C656:I656)=7,SUM('Потребление (МВт·ч)'!C656:I656)&gt;0),SUMIF(C656:I656,"&lt;&gt;",'Потребление (МВт·ч)'!C656:I656)/SUM('Потребление (МВт·ч)'!C656:I656),"")</s:f>
        <s:v>0.9480800738215853</s:v>
      </s:c>
    </s:row>
    <s:row r="657">
      <s:c r="A657" s="5" t="n">
        <s:v>46293</s:v>
      </s:c>
      <s:c r="B657" s="2" t="n">
        <s:v>4</s:v>
      </s:c>
      <s:c r="C657" s="6" t="n">
        <s:v>281.1242</s:v>
      </s:c>
      <s:c r="D657" s="6" t="n">
        <s:v>1920.17932</s:v>
      </s:c>
      <s:c r="E657" s="6" t="n">
        <s:v>1791.34668</s:v>
      </s:c>
      <s:c r="F657" s="6" t="n">
        <s:v>2042.54773</s:v>
      </s:c>
      <s:c r="G657" s="6" t="n">
        <s:v>1898.2948</s:v>
      </s:c>
      <s:c r="H657" s="6" t="n">
        <s:v>1673.91309</s:v>
      </s:c>
      <s:c r="I657" s="6" t="n"/>
      <s:c r="J657" s="6" t="str">
        <s:f>IF(AND(COUNT(C657:I657)=7,COUNT('Потребление (МВт·ч)'!C657:I657)=7,SUM('Потребление (МВт·ч)'!C657:I657)&gt;0),SUMPRODUCT(C657:I657,'Потребление (МВт·ч)'!C657:I657)/SUM('Потребление (МВт·ч)'!C657:I657),"")</s:f>
      </s:c>
      <s:c r="K657" s="6" t="n">
        <s:f>IF(SUMIF(C657:I657,"&lt;&gt;",'Потребление (МВт·ч)'!C657:I657)&gt;0,SUMPRODUCT(C657:I657,'Потребление (МВт·ч)'!C657:I657)/SUMIF(C657:I657,"&lt;&gt;",'Потребление (МВт·ч)'!C657:I657),"")</s:f>
        <s:v>1708.0658219437064</s:v>
      </s:c>
      <s:c r="L657" s="6" t="n">
        <s:f>IF(COUNT(C657:I657)&gt;0,AVERAGE(C657:I657),"")</s:f>
        <s:v>1601.2343033333334</s:v>
      </s:c>
      <s:c r="M657" s="10" t="n">
        <s:f>COUNT(C657:I657)</s:f>
        <s:v>6</s:v>
      </s:c>
      <s:c r="N657" s="11" t="n">
        <s:f>IF(AND(COUNT('Потребление (МВт·ч)'!C657:I657)=7,SUM('Потребление (МВт·ч)'!C657:I657)&gt;0),SUMIF(C657:I657,"&lt;&gt;",'Потребление (МВт·ч)'!C657:I657)/SUM('Потребление (МВт·ч)'!C657:I657),"")</s:f>
        <s:v>0.9502390845686803</s:v>
      </s:c>
    </s:row>
    <s:row r="658">
      <s:c r="A658" s="5" t="n">
        <s:v>46293</s:v>
      </s:c>
      <s:c r="B658" s="2" t="n">
        <s:v>5</s:v>
      </s:c>
      <s:c r="C658" s="6" t="n">
        <s:v>519.6429000000001</s:v>
      </s:c>
      <s:c r="D658" s="6" t="n">
        <s:v>2176.81958</s:v>
      </s:c>
      <s:c r="E658" s="6" t="n">
        <s:v>1632.29041</s:v>
      </s:c>
      <s:c r="F658" s="6" t="n">
        <s:v>2227.16455</s:v>
      </s:c>
      <s:c r="G658" s="6" t="n">
        <s:v>1982.66931</s:v>
      </s:c>
      <s:c r="H658" s="6" t="n">
        <s:v>1745.94666</s:v>
      </s:c>
      <s:c r="I658" s="6" t="n"/>
      <s:c r="J658" s="6" t="str">
        <s:f>IF(AND(COUNT(C658:I658)=7,COUNT('Потребление (МВт·ч)'!C658:I658)=7,SUM('Потребление (МВт·ч)'!C658:I658)&gt;0),SUMPRODUCT(C658:I658,'Потребление (МВт·ч)'!C658:I658)/SUM('Потребление (МВт·ч)'!C658:I658),"")</s:f>
      </s:c>
      <s:c r="K658" s="6" t="n">
        <s:f>IF(SUMIF(C658:I658,"&lt;&gt;",'Потребление (МВт·ч)'!C658:I658)&gt;0,SUMPRODUCT(C658:I658,'Потребление (МВт·ч)'!C658:I658)/SUMIF(C658:I658,"&lt;&gt;",'Потребление (МВт·ч)'!C658:I658),"")</s:f>
        <s:v>1833.606566883502</s:v>
      </s:c>
      <s:c r="L658" s="6" t="n">
        <s:f>IF(COUNT(C658:I658)&gt;0,AVERAGE(C658:I658),"")</s:f>
        <s:v>1714.0889016666663</s:v>
      </s:c>
      <s:c r="M658" s="10" t="n">
        <s:f>COUNT(C658:I658)</s:f>
        <s:v>6</s:v>
      </s:c>
      <s:c r="N658" s="11" t="n">
        <s:f>IF(AND(COUNT('Потребление (МВт·ч)'!C658:I658)=7,SUM('Потребление (МВт·ч)'!C658:I658)&gt;0),SUMIF(C658:I658,"&lt;&gt;",'Потребление (МВт·ч)'!C658:I658)/SUM('Потребление (МВт·ч)'!C658:I658),"")</s:f>
        <s:v>0.9533608291408153</s:v>
      </s:c>
    </s:row>
    <s:row r="659">
      <s:c r="A659" s="5" t="n">
        <s:v>46293</s:v>
      </s:c>
      <s:c r="B659" s="2" t="n">
        <s:v>6</s:v>
      </s:c>
      <s:c r="C659" s="6" t="n">
        <s:v>490.285217</s:v>
      </s:c>
      <s:c r="D659" s="6" t="n">
        <s:v>2379.3772</s:v>
      </s:c>
      <s:c r="E659" s="6" t="n">
        <s:v>1819.15417</s:v>
      </s:c>
      <s:c r="F659" s="6" t="n">
        <s:v>2443.0708</s:v>
      </s:c>
      <s:c r="G659" s="6" t="n">
        <s:v>2176.70728</s:v>
      </s:c>
      <s:c r="H659" s="6" t="n">
        <s:v>1867.53455</s:v>
      </s:c>
      <s:c r="I659" s="6" t="n"/>
      <s:c r="J659" s="6" t="str">
        <s:f>IF(AND(COUNT(C659:I659)=7,COUNT('Потребление (МВт·ч)'!C659:I659)=7,SUM('Потребление (МВт·ч)'!C659:I659)&gt;0),SUMPRODUCT(C659:I659,'Потребление (МВт·ч)'!C659:I659)/SUM('Потребление (МВт·ч)'!C659:I659),"")</s:f>
      </s:c>
      <s:c r="K659" s="6" t="n">
        <s:f>IF(SUMIF(C659:I659,"&lt;&gt;",'Потребление (МВт·ч)'!C659:I659)&gt;0,SUMPRODUCT(C659:I659,'Потребление (МВт·ч)'!C659:I659)/SUMIF(C659:I659,"&lt;&gt;",'Потребление (МВт·ч)'!C659:I659),"")</s:f>
        <s:v>1997.5277274261132</s:v>
      </s:c>
      <s:c r="L659" s="6" t="n">
        <s:f>IF(COUNT(C659:I659)&gt;0,AVERAGE(C659:I659),"")</s:f>
        <s:v>1862.6882028333337</s:v>
      </s:c>
      <s:c r="M659" s="10" t="n">
        <s:f>COUNT(C659:I659)</s:f>
        <s:v>6</s:v>
      </s:c>
      <s:c r="N659" s="11" t="n">
        <s:f>IF(AND(COUNT('Потребление (МВт·ч)'!C659:I659)=7,SUM('Потребление (МВт·ч)'!C659:I659)&gt;0),SUMIF(C659:I659,"&lt;&gt;",'Потребление (МВт·ч)'!C659:I659)/SUM('Потребление (МВт·ч)'!C659:I659),"")</s:f>
        <s:v>0.9561744793898364</s:v>
      </s:c>
    </s:row>
    <s:row r="660">
      <s:c r="A660" s="5" t="n">
        <s:v>46293</s:v>
      </s:c>
      <s:c r="B660" s="2" t="n">
        <s:v>7</s:v>
      </s:c>
      <s:c r="C660" s="6" t="n">
        <s:v>1584.15356</s:v>
      </s:c>
      <s:c r="D660" s="6" t="n">
        <s:v>2804.8584</s:v>
      </s:c>
      <s:c r="E660" s="6" t="n">
        <s:v>22.8999043</s:v>
      </s:c>
      <s:c r="F660" s="6" t="n">
        <s:v>2722.71143</s:v>
      </s:c>
      <s:c r="G660" s="6" t="n">
        <s:v>2361.63525</s:v>
      </s:c>
      <s:c r="H660" s="6" t="n">
        <s:v>1478.93359</s:v>
      </s:c>
      <s:c r="I660" s="6" t="n"/>
      <s:c r="J660" s="6" t="str">
        <s:f>IF(AND(COUNT(C660:I660)=7,COUNT('Потребление (МВт·ч)'!C660:I660)=7,SUM('Потребление (МВт·ч)'!C660:I660)&gt;0),SUMPRODUCT(C660:I660,'Потребление (МВт·ч)'!C660:I660)/SUM('Потребление (МВт·ч)'!C660:I660),"")</s:f>
      </s:c>
      <s:c r="K660" s="6" t="n">
        <s:f>IF(SUMIF(C660:I660,"&lt;&gt;",'Потребление (МВт·ч)'!C660:I660)&gt;0,SUMPRODUCT(C660:I660,'Потребление (МВт·ч)'!C660:I660)/SUMIF(C660:I660,"&lt;&gt;",'Потребление (МВт·ч)'!C660:I660),"")</s:f>
        <s:v>2018.533831934175</s:v>
      </s:c>
      <s:c r="L660" s="6" t="n">
        <s:f>IF(COUNT(C660:I660)&gt;0,AVERAGE(C660:I660),"")</s:f>
        <s:v>1829.19868905</s:v>
      </s:c>
      <s:c r="M660" s="10" t="n">
        <s:f>COUNT(C660:I660)</s:f>
        <s:v>6</s:v>
      </s:c>
      <s:c r="N660" s="11" t="n">
        <s:f>IF(AND(COUNT('Потребление (МВт·ч)'!C660:I660)=7,SUM('Потребление (МВт·ч)'!C660:I660)&gt;0),SUMIF(C660:I660,"&lt;&gt;",'Потребление (МВт·ч)'!C660:I660)/SUM('Потребление (МВт·ч)'!C660:I660),"")</s:f>
        <s:v>0.9578296223622728</s:v>
      </s:c>
    </s:row>
    <s:row r="661">
      <s:c r="A661" s="5" t="n">
        <s:v>46293</s:v>
      </s:c>
      <s:c r="B661" s="2" t="n">
        <s:v>8</s:v>
      </s:c>
      <s:c r="C661" s="6" t="n">
        <s:v>2196.84033</s:v>
      </s:c>
      <s:c r="D661" s="6" t="n">
        <s:v>3033.68066</s:v>
      </s:c>
      <s:c r="E661" s="6" t="n">
        <s:v>24.4854145</s:v>
      </s:c>
      <s:c r="F661" s="6" t="n">
        <s:v>2822.27612</s:v>
      </s:c>
      <s:c r="G661" s="6" t="n">
        <s:v>2405.56616</s:v>
      </s:c>
      <s:c r="H661" s="6" t="n">
        <s:v>1318.31653</s:v>
      </s:c>
      <s:c r="I661" s="6" t="n"/>
      <s:c r="J661" s="6" t="str">
        <s:f>IF(AND(COUNT(C661:I661)=7,COUNT('Потребление (МВт·ч)'!C661:I661)=7,SUM('Потребление (МВт·ч)'!C661:I661)&gt;0),SUMPRODUCT(C661:I661,'Потребление (МВт·ч)'!C661:I661)/SUM('Потребление (МВт·ч)'!C661:I661),"")</s:f>
      </s:c>
      <s:c r="K661" s="6" t="n">
        <s:f>IF(SUMIF(C661:I661,"&lt;&gt;",'Потребление (МВт·ч)'!C661:I661)&gt;0,SUMPRODUCT(C661:I661,'Потребление (МВт·ч)'!C661:I661)/SUMIF(C661:I661,"&lt;&gt;",'Потребление (МВт·ч)'!C661:I661),"")</s:f>
        <s:v>2119.004737313715</s:v>
      </s:c>
      <s:c r="L661" s="6" t="n">
        <s:f>IF(COUNT(C661:I661)&gt;0,AVERAGE(C661:I661),"")</s:f>
        <s:v>1966.8608690833335</s:v>
      </s:c>
      <s:c r="M661" s="10" t="n">
        <s:f>COUNT(C661:I661)</s:f>
        <s:v>6</s:v>
      </s:c>
      <s:c r="N661" s="11" t="n">
        <s:f>IF(AND(COUNT('Потребление (МВт·ч)'!C661:I661)=7,SUM('Потребление (МВт·ч)'!C661:I661)&gt;0),SUMIF(C661:I661,"&lt;&gt;",'Потребление (МВт·ч)'!C661:I661)/SUM('Потребление (МВт·ч)'!C661:I661),"")</s:f>
        <s:v>0.9585472721301496</s:v>
      </s:c>
    </s:row>
    <s:row r="662">
      <s:c r="A662" s="5" t="n">
        <s:v>46293</s:v>
      </s:c>
      <s:c r="B662" s="2" t="n">
        <s:v>9</s:v>
      </s:c>
      <s:c r="C662" s="6" t="n">
        <s:v>2322.08765</s:v>
      </s:c>
      <s:c r="D662" s="6" t="n">
        <s:v>3131.87622</s:v>
      </s:c>
      <s:c r="E662" s="6" t="n">
        <s:v>23.6716957</s:v>
      </s:c>
      <s:c r="F662" s="6" t="n">
        <s:v>2858.302</s:v>
      </s:c>
      <s:c r="G662" s="6" t="n">
        <s:v>2317.31982</s:v>
      </s:c>
      <s:c r="H662" s="6" t="n">
        <s:v>1304.93762</s:v>
      </s:c>
      <s:c r="I662" s="6" t="n"/>
      <s:c r="J662" s="6" t="str">
        <s:f>IF(AND(COUNT(C662:I662)=7,COUNT('Потребление (МВт·ч)'!C662:I662)=7,SUM('Потребление (МВт·ч)'!C662:I662)&gt;0),SUMPRODUCT(C662:I662,'Потребление (МВт·ч)'!C662:I662)/SUM('Потребление (МВт·ч)'!C662:I662),"")</s:f>
      </s:c>
      <s:c r="K662" s="6" t="n">
        <s:f>IF(SUMIF(C662:I662,"&lt;&gt;",'Потребление (МВт·ч)'!C662:I662)&gt;0,SUMPRODUCT(C662:I662,'Потребление (МВт·ч)'!C662:I662)/SUMIF(C662:I662,"&lt;&gt;",'Потребление (МВт·ч)'!C662:I662),"")</s:f>
        <s:v>2134.6090388951493</s:v>
      </s:c>
      <s:c r="L662" s="6" t="n">
        <s:f>IF(COUNT(C662:I662)&gt;0,AVERAGE(C662:I662),"")</s:f>
        <s:v>1993.0325009500002</s:v>
      </s:c>
      <s:c r="M662" s="10" t="n">
        <s:f>COUNT(C662:I662)</s:f>
        <s:v>6</s:v>
      </s:c>
      <s:c r="N662" s="11" t="n">
        <s:f>IF(AND(COUNT('Потребление (МВт·ч)'!C662:I662)=7,SUM('Потребление (МВт·ч)'!C662:I662)&gt;0),SUMIF(C662:I662,"&lt;&gt;",'Потребление (МВт·ч)'!C662:I662)/SUM('Потребление (МВт·ч)'!C662:I662),"")</s:f>
        <s:v>0.9583837483283449</s:v>
      </s:c>
    </s:row>
    <s:row r="663">
      <s:c r="A663" s="5" t="n">
        <s:v>46293</s:v>
      </s:c>
      <s:c r="B663" s="2" t="n">
        <s:v>10</s:v>
      </s:c>
      <s:c r="C663" s="6" t="n">
        <s:v>2443.81714</s:v>
      </s:c>
      <s:c r="D663" s="6" t="n">
        <s:v>3325.93042</s:v>
      </s:c>
      <s:c r="E663" s="6" t="n">
        <s:v>24.6472511</s:v>
      </s:c>
      <s:c r="F663" s="6" t="n">
        <s:v>2953.088</s:v>
      </s:c>
      <s:c r="G663" s="6" t="n">
        <s:v>2346.43066</s:v>
      </s:c>
      <s:c r="H663" s="6" t="n">
        <s:v>1145.67822</s:v>
      </s:c>
      <s:c r="I663" s="6" t="n"/>
      <s:c r="J663" s="6" t="str">
        <s:f>IF(AND(COUNT(C663:I663)=7,COUNT('Потребление (МВт·ч)'!C663:I663)=7,SUM('Потребление (МВт·ч)'!C663:I663)&gt;0),SUMPRODUCT(C663:I663,'Потребление (МВт·ч)'!C663:I663)/SUM('Потребление (МВт·ч)'!C663:I663),"")</s:f>
      </s:c>
      <s:c r="K663" s="6" t="n">
        <s:f>IF(SUMIF(C663:I663,"&lt;&gt;",'Потребление (МВт·ч)'!C663:I663)&gt;0,SUMPRODUCT(C663:I663,'Потребление (МВт·ч)'!C663:I663)/SUMIF(C663:I663,"&lt;&gt;",'Потребление (МВт·ч)'!C663:I663),"")</s:f>
        <s:v>2174.909663184782</s:v>
      </s:c>
      <s:c r="L663" s="6" t="n">
        <s:f>IF(COUNT(C663:I663)&gt;0,AVERAGE(C663:I663),"")</s:f>
        <s:v>2039.9319485166668</s:v>
      </s:c>
      <s:c r="M663" s="10" t="n">
        <s:f>COUNT(C663:I663)</s:f>
        <s:v>6</s:v>
      </s:c>
      <s:c r="N663" s="11" t="n">
        <s:f>IF(AND(COUNT('Потребление (МВт·ч)'!C663:I663)=7,SUM('Потребление (МВт·ч)'!C663:I663)&gt;0),SUMIF(C663:I663,"&lt;&gt;",'Потребление (МВт·ч)'!C663:I663)/SUM('Потребление (МВт·ч)'!C663:I663),"")</s:f>
        <s:v>0.9579838626171872</s:v>
      </s:c>
    </s:row>
    <s:row r="664">
      <s:c r="A664" s="5" t="n">
        <s:v>46293</s:v>
      </s:c>
      <s:c r="B664" s="2" t="n">
        <s:v>11</s:v>
      </s:c>
      <s:c r="C664" s="6" t="n">
        <s:v>2826.003</s:v>
      </s:c>
      <s:c r="D664" s="6" t="n">
        <s:v>3318.30518</s:v>
      </s:c>
      <s:c r="E664" s="6" t="n">
        <s:v>24.00201</s:v>
      </s:c>
      <s:c r="F664" s="6" t="n">
        <s:v>2928.383</s:v>
      </s:c>
      <s:c r="G664" s="6" t="n">
        <s:v>2310.15625</s:v>
      </s:c>
      <s:c r="H664" s="6" t="n">
        <s:v>1578.22314</s:v>
      </s:c>
      <s:c r="I664" s="6" t="n"/>
      <s:c r="J664" s="6" t="str">
        <s:f>IF(AND(COUNT(C664:I664)=7,COUNT('Потребление (МВт·ч)'!C664:I664)=7,SUM('Потребление (МВт·ч)'!C664:I664)&gt;0),SUMPRODUCT(C664:I664,'Потребление (МВт·ч)'!C664:I664)/SUM('Потребление (МВт·ч)'!C664:I664),"")</s:f>
      </s:c>
      <s:c r="K664" s="6" t="n">
        <s:f>IF(SUMIF(C664:I664,"&lt;&gt;",'Потребление (МВт·ч)'!C664:I664)&gt;0,SUMPRODUCT(C664:I664,'Потребление (МВт·ч)'!C664:I664)/SUMIF(C664:I664,"&lt;&gt;",'Потребление (МВт·ч)'!C664:I664),"")</s:f>
        <s:v>2298.492539752181</s:v>
      </s:c>
      <s:c r="L664" s="6" t="n">
        <s:f>IF(COUNT(C664:I664)&gt;0,AVERAGE(C664:I664),"")</s:f>
        <s:v>2164.1787633333333</s:v>
      </s:c>
      <s:c r="M664" s="10" t="n">
        <s:f>COUNT(C664:I664)</s:f>
        <s:v>6</s:v>
      </s:c>
      <s:c r="N664" s="11" t="n">
        <s:f>IF(AND(COUNT('Потребление (МВт·ч)'!C664:I664)=7,SUM('Потребление (МВт·ч)'!C664:I664)&gt;0),SUMIF(C664:I664,"&lt;&gt;",'Потребление (МВт·ч)'!C664:I664)/SUM('Потребление (МВт·ч)'!C664:I664),"")</s:f>
        <s:v>0.9570716995660649</s:v>
      </s:c>
    </s:row>
    <s:row r="665">
      <s:c r="A665" s="5" t="n">
        <s:v>46293</s:v>
      </s:c>
      <s:c r="B665" s="2" t="n">
        <s:v>12</s:v>
      </s:c>
      <s:c r="C665" s="6" t="n">
        <s:v>2714.09937</s:v>
      </s:c>
      <s:c r="D665" s="6" t="n">
        <s:v>3147.04639</s:v>
      </s:c>
      <s:c r="E665" s="6" t="n">
        <s:v>23.17234</s:v>
      </s:c>
      <s:c r="F665" s="6" t="n">
        <s:v>2846.85669</s:v>
      </s:c>
      <s:c r="G665" s="6" t="n">
        <s:v>2290.769</s:v>
      </s:c>
      <s:c r="H665" s="6" t="n">
        <s:v>1760.306</s:v>
      </s:c>
      <s:c r="I665" s="6" t="n"/>
      <s:c r="J665" s="6" t="str">
        <s:f>IF(AND(COUNT(C665:I665)=7,COUNT('Потребление (МВт·ч)'!C665:I665)=7,SUM('Потребление (МВт·ч)'!C665:I665)&gt;0),SUMPRODUCT(C665:I665,'Потребление (МВт·ч)'!C665:I665)/SUM('Потребление (МВт·ч)'!C665:I665),"")</s:f>
      </s:c>
      <s:c r="K665" s="6" t="n">
        <s:f>IF(SUMIF(C665:I665,"&lt;&gt;",'Потребление (МВт·ч)'!C665:I665)&gt;0,SUMPRODUCT(C665:I665,'Потребление (МВт·ч)'!C665:I665)/SUMIF(C665:I665,"&lt;&gt;",'Потребление (МВт·ч)'!C665:I665),"")</s:f>
        <s:v>2268.5866802918517</s:v>
      </s:c>
      <s:c r="L665" s="6" t="n">
        <s:f>IF(COUNT(C665:I665)&gt;0,AVERAGE(C665:I665),"")</s:f>
        <s:v>2130.374965</s:v>
      </s:c>
      <s:c r="M665" s="10" t="n">
        <s:f>COUNT(C665:I665)</s:f>
        <s:v>6</s:v>
      </s:c>
      <s:c r="N665" s="11" t="n">
        <s:f>IF(AND(COUNT('Потребление (МВт·ч)'!C665:I665)=7,SUM('Потребление (МВт·ч)'!C665:I665)&gt;0),SUMIF(C665:I665,"&lt;&gt;",'Потребление (МВт·ч)'!C665:I665)/SUM('Потребление (МВт·ч)'!C665:I665),"")</s:f>
        <s:v>0.9558222265147125</s:v>
      </s:c>
    </s:row>
    <s:row r="666">
      <s:c r="A666" s="5" t="n">
        <s:v>46293</s:v>
      </s:c>
      <s:c r="B666" s="2" t="n">
        <s:v>13</s:v>
      </s:c>
      <s:c r="C666" s="6" t="n">
        <s:v>2738.581</s:v>
      </s:c>
      <s:c r="D666" s="6" t="n">
        <s:v>3181.25562</s:v>
      </s:c>
      <s:c r="E666" s="6" t="n">
        <s:v>24.02418</s:v>
      </s:c>
      <s:c r="F666" s="6" t="n">
        <s:v>2889.92285</s:v>
      </s:c>
      <s:c r="G666" s="6" t="n">
        <s:v>2358.75879</s:v>
      </s:c>
      <s:c r="H666" s="6" t="n">
        <s:v>1777.243</s:v>
      </s:c>
      <s:c r="I666" s="6" t="n"/>
      <s:c r="J666" s="6" t="str">
        <s:f>IF(AND(COUNT(C666:I666)=7,COUNT('Потребление (МВт·ч)'!C666:I666)=7,SUM('Потребление (МВт·ч)'!C666:I666)&gt;0),SUMPRODUCT(C666:I666,'Потребление (МВт·ч)'!C666:I666)/SUM('Потребление (МВт·ч)'!C666:I666),"")</s:f>
      </s:c>
      <s:c r="K666" s="6" t="n">
        <s:f>IF(SUMIF(C666:I666,"&lt;&gt;",'Потребление (МВт·ч)'!C666:I666)&gt;0,SUMPRODUCT(C666:I666,'Потребление (МВт·ч)'!C666:I666)/SUMIF(C666:I666,"&lt;&gt;",'Потребление (МВт·ч)'!C666:I666),"")</s:f>
        <s:v>2301.8719183598996</s:v>
      </s:c>
      <s:c r="L666" s="6" t="n">
        <s:f>IF(COUNT(C666:I666)&gt;0,AVERAGE(C666:I666),"")</s:f>
        <s:v>2161.6309066666668</s:v>
      </s:c>
      <s:c r="M666" s="10" t="n">
        <s:f>COUNT(C666:I666)</s:f>
        <s:v>6</s:v>
      </s:c>
      <s:c r="N666" s="11" t="n">
        <s:f>IF(AND(COUNT('Потребление (МВт·ч)'!C666:I666)=7,SUM('Потребление (МВт·ч)'!C666:I666)&gt;0),SUMIF(C666:I666,"&lt;&gt;",'Потребление (МВт·ч)'!C666:I666)/SUM('Потребление (МВт·ч)'!C666:I666),"")</s:f>
        <s:v>0.9557797738017836</s:v>
      </s:c>
    </s:row>
    <s:row r="667">
      <s:c r="A667" s="5" t="n">
        <s:v>46293</s:v>
      </s:c>
      <s:c r="B667" s="2" t="n">
        <s:v>14</s:v>
      </s:c>
      <s:c r="C667" s="6" t="n">
        <s:v>2635.54565</s:v>
      </s:c>
      <s:c r="D667" s="6" t="n">
        <s:v>3053.35474</s:v>
      </s:c>
      <s:c r="E667" s="6" t="n">
        <s:v>27.3278046</s:v>
      </s:c>
      <s:c r="F667" s="6" t="n">
        <s:v>2852.7207</s:v>
      </s:c>
      <s:c r="G667" s="6" t="n">
        <s:v>2389.42261</s:v>
      </s:c>
      <s:c r="H667" s="6" t="n">
        <s:v>1327.52051</s:v>
      </s:c>
      <s:c r="I667" s="6" t="n"/>
      <s:c r="J667" s="6" t="str">
        <s:f>IF(AND(COUNT(C667:I667)=7,COUNT('Потребление (МВт·ч)'!C667:I667)=7,SUM('Потребление (МВт·ч)'!C667:I667)&gt;0),SUMPRODUCT(C667:I667,'Потребление (МВт·ч)'!C667:I667)/SUM('Потребление (МВт·ч)'!C667:I667),"")</s:f>
      </s:c>
      <s:c r="K667" s="6" t="n">
        <s:f>IF(SUMIF(C667:I667,"&lt;&gt;",'Потребление (МВт·ч)'!C667:I667)&gt;0,SUMPRODUCT(C667:I667,'Потребление (МВт·ч)'!C667:I667)/SUMIF(C667:I667,"&lt;&gt;",'Потребление (МВт·ч)'!C667:I667),"")</s:f>
        <s:v>2160.5563185986334</s:v>
      </s:c>
      <s:c r="L667" s="6" t="n">
        <s:f>IF(COUNT(C667:I667)&gt;0,AVERAGE(C667:I667),"")</s:f>
        <s:v>2047.6486691</s:v>
      </s:c>
      <s:c r="M667" s="10" t="n">
        <s:f>COUNT(C667:I667)</s:f>
        <s:v>6</s:v>
      </s:c>
      <s:c r="N667" s="11" t="n">
        <s:f>IF(AND(COUNT('Потребление (МВт·ч)'!C667:I667)=7,SUM('Потребление (МВт·ч)'!C667:I667)&gt;0),SUMIF(C667:I667,"&lt;&gt;",'Потребление (МВт·ч)'!C667:I667)/SUM('Потребление (МВт·ч)'!C667:I667),"")</s:f>
        <s:v>0.9575044770340254</s:v>
      </s:c>
    </s:row>
    <s:row r="668">
      <s:c r="A668" s="5" t="n">
        <s:v>46293</s:v>
      </s:c>
      <s:c r="B668" s="2" t="n">
        <s:v>15</s:v>
      </s:c>
      <s:c r="C668" s="6" t="n">
        <s:v>2259.36377</s:v>
      </s:c>
      <s:c r="D668" s="6" t="n">
        <s:v>3011.24561</s:v>
      </s:c>
      <s:c r="E668" s="6" t="n">
        <s:v>26.9384327</s:v>
      </s:c>
      <s:c r="F668" s="6" t="n">
        <s:v>2835.484</s:v>
      </s:c>
      <s:c r="G668" s="6" t="n">
        <s:v>2417.364</s:v>
      </s:c>
      <s:c r="H668" s="6" t="n">
        <s:v>1838.14136</s:v>
      </s:c>
      <s:c r="I668" s="6" t="n"/>
      <s:c r="J668" s="6" t="str">
        <s:f>IF(AND(COUNT(C668:I668)=7,COUNT('Потребление (МВт·ч)'!C668:I668)=7,SUM('Потребление (МВт·ч)'!C668:I668)&gt;0),SUMPRODUCT(C668:I668,'Потребление (МВт·ч)'!C668:I668)/SUM('Потребление (МВт·ч)'!C668:I668),"")</s:f>
      </s:c>
      <s:c r="K668" s="6" t="n">
        <s:f>IF(SUMIF(C668:I668,"&lt;&gt;",'Потребление (МВт·ч)'!C668:I668)&gt;0,SUMPRODUCT(C668:I668,'Потребление (МВт·ч)'!C668:I668)/SUMIF(C668:I668,"&lt;&gt;",'Потребление (МВт·ч)'!C668:I668),"")</s:f>
        <s:v>2227.417819339224</s:v>
      </s:c>
      <s:c r="L668" s="6" t="n">
        <s:f>IF(COUNT(C668:I668)&gt;0,AVERAGE(C668:I668),"")</s:f>
        <s:v>2064.7561954499997</s:v>
      </s:c>
      <s:c r="M668" s="10" t="n">
        <s:f>COUNT(C668:I668)</s:f>
        <s:v>6</s:v>
      </s:c>
      <s:c r="N668" s="11" t="n">
        <s:f>IF(AND(COUNT('Потребление (МВт·ч)'!C668:I668)=7,SUM('Потребление (МВт·ч)'!C668:I668)&gt;0),SUMIF(C668:I668,"&lt;&gt;",'Потребление (МВт·ч)'!C668:I668)/SUM('Потребление (МВт·ч)'!C668:I668),"")</s:f>
        <s:v>0.9587311537596039</s:v>
      </s:c>
    </s:row>
    <s:row r="669">
      <s:c r="A669" s="5" t="n">
        <s:v>46293</s:v>
      </s:c>
      <s:c r="B669" s="2" t="n">
        <s:v>16</s:v>
      </s:c>
      <s:c r="C669" s="6" t="n">
        <s:v>2152.39868</s:v>
      </s:c>
      <s:c r="D669" s="6" t="n">
        <s:v>2970.37622</s:v>
      </s:c>
      <s:c r="E669" s="6" t="n">
        <s:v>33.727562</s:v>
      </s:c>
      <s:c r="F669" s="6" t="n">
        <s:v>2810.06763</s:v>
      </s:c>
      <s:c r="G669" s="6" t="n">
        <s:v>2441.945</s:v>
      </s:c>
      <s:c r="H669" s="6" t="n">
        <s:v>1613.28833</s:v>
      </s:c>
      <s:c r="I669" s="6" t="n"/>
      <s:c r="J669" s="6" t="str">
        <s:f>IF(AND(COUNT(C669:I669)=7,COUNT('Потребление (МВт·ч)'!C669:I669)=7,SUM('Потребление (МВт·ч)'!C669:I669)&gt;0),SUMPRODUCT(C669:I669,'Потребление (МВт·ч)'!C669:I669)/SUM('Потребление (МВт·ч)'!C669:I669),"")</s:f>
      </s:c>
      <s:c r="K669" s="6" t="n">
        <s:f>IF(SUMIF(C669:I669,"&lt;&gt;",'Потребление (МВт·ч)'!C669:I669)&gt;0,SUMPRODUCT(C669:I669,'Потребление (МВт·ч)'!C669:I669)/SUMIF(C669:I669,"&lt;&gt;",'Потребление (МВт·ч)'!C669:I669),"")</s:f>
        <s:v>2163.026977039634</s:v>
      </s:c>
      <s:c r="L669" s="6" t="n">
        <s:f>IF(COUNT(C669:I669)&gt;0,AVERAGE(C669:I669),"")</s:f>
        <s:v>2003.6339036666666</s:v>
      </s:c>
      <s:c r="M669" s="10" t="n">
        <s:f>COUNT(C669:I669)</s:f>
        <s:v>6</s:v>
      </s:c>
      <s:c r="N669" s="11" t="n">
        <s:f>IF(AND(COUNT('Потребление (МВт·ч)'!C669:I669)=7,SUM('Потребление (МВт·ч)'!C669:I669)&gt;0),SUMIF(C669:I669,"&lt;&gt;",'Потребление (МВт·ч)'!C669:I669)/SUM('Потребление (МВт·ч)'!C669:I669),"")</s:f>
        <s:v>0.9592560146655635</s:v>
      </s:c>
    </s:row>
    <s:row r="670">
      <s:c r="A670" s="5" t="n">
        <s:v>46293</s:v>
      </s:c>
      <s:c r="B670" s="2" t="n">
        <s:v>17</s:v>
      </s:c>
      <s:c r="C670" s="6" t="n">
        <s:v>2544.30469</s:v>
      </s:c>
      <s:c r="D670" s="6" t="n">
        <s:v>2960.72778</s:v>
      </s:c>
      <s:c r="E670" s="6" t="n">
        <s:v>24.6187954</s:v>
      </s:c>
      <s:c r="F670" s="6" t="n">
        <s:v>2788.948</s:v>
      </s:c>
      <s:c r="G670" s="6" t="n">
        <s:v>2383.96045</s:v>
      </s:c>
      <s:c r="H670" s="6" t="n">
        <s:v>907.5861</s:v>
      </s:c>
      <s:c r="I670" s="6" t="n"/>
      <s:c r="J670" s="6" t="str">
        <s:f>IF(AND(COUNT(C670:I670)=7,COUNT('Потребление (МВт·ч)'!C670:I670)=7,SUM('Потребление (МВт·ч)'!C670:I670)&gt;0),SUMPRODUCT(C670:I670,'Потребление (МВт·ч)'!C670:I670)/SUM('Потребление (МВт·ч)'!C670:I670),"")</s:f>
      </s:c>
      <s:c r="K670" s="6" t="n">
        <s:f>IF(SUMIF(C670:I670,"&lt;&gt;",'Потребление (МВт·ч)'!C670:I670)&gt;0,SUMPRODUCT(C670:I670,'Потребление (МВт·ч)'!C670:I670)/SUMIF(C670:I670,"&lt;&gt;",'Потребление (МВт·ч)'!C670:I670),"")</s:f>
        <s:v>2021.8694860783849</s:v>
      </s:c>
      <s:c r="L670" s="6" t="n">
        <s:f>IF(COUNT(C670:I670)&gt;0,AVERAGE(C670:I670),"")</s:f>
        <s:v>1935.0243025666668</s:v>
      </s:c>
      <s:c r="M670" s="10" t="n">
        <s:f>COUNT(C670:I670)</s:f>
        <s:v>6</s:v>
      </s:c>
      <s:c r="N670" s="11" t="n">
        <s:f>IF(AND(COUNT('Потребление (МВт·ч)'!C670:I670)=7,SUM('Потребление (МВт·ч)'!C670:I670)&gt;0),SUMIF(C670:I670,"&lt;&gt;",'Потребление (МВт·ч)'!C670:I670)/SUM('Потребление (МВт·ч)'!C670:I670),"")</s:f>
        <s:v>0.9596554083974075</s:v>
      </s:c>
    </s:row>
    <s:row r="671">
      <s:c r="A671" s="5" t="n">
        <s:v>46293</s:v>
      </s:c>
      <s:c r="B671" s="2" t="n">
        <s:v>18</s:v>
      </s:c>
      <s:c r="C671" s="6" t="n">
        <s:v>2660.884</s:v>
      </s:c>
      <s:c r="D671" s="6" t="n">
        <s:v>3090.51733</s:v>
      </s:c>
      <s:c r="E671" s="6" t="n">
        <s:v>1663.41</s:v>
      </s:c>
      <s:c r="F671" s="6" t="n">
        <s:v>2869.7373</s:v>
      </s:c>
      <s:c r="G671" s="6" t="n">
        <s:v>2429.54468</s:v>
      </s:c>
      <s:c r="H671" s="6" t="n">
        <s:v>849.3680419999999</s:v>
      </s:c>
      <s:c r="I671" s="6" t="n"/>
      <s:c r="J671" s="6" t="str">
        <s:f>IF(AND(COUNT(C671:I671)=7,COUNT('Потребление (МВт·ч)'!C671:I671)=7,SUM('Потребление (МВт·ч)'!C671:I671)&gt;0),SUMPRODUCT(C671:I671,'Потребление (МВт·ч)'!C671:I671)/SUM('Потребление (МВт·ч)'!C671:I671),"")</s:f>
      </s:c>
      <s:c r="K671" s="6" t="n">
        <s:f>IF(SUMIF(C671:I671,"&lt;&gt;",'Потребление (МВт·ч)'!C671:I671)&gt;0,SUMPRODUCT(C671:I671,'Потребление (МВт·ч)'!C671:I671)/SUMIF(C671:I671,"&lt;&gt;",'Потребление (МВт·ч)'!C671:I671),"")</s:f>
        <s:v>2262.1273953165874</s:v>
      </s:c>
      <s:c r="L671" s="6" t="n">
        <s:f>IF(COUNT(C671:I671)&gt;0,AVERAGE(C671:I671),"")</s:f>
        <s:v>2260.576892</s:v>
      </s:c>
      <s:c r="M671" s="10" t="n">
        <s:f>COUNT(C671:I671)</s:f>
        <s:v>6</s:v>
      </s:c>
      <s:c r="N671" s="11" t="n">
        <s:f>IF(AND(COUNT('Потребление (МВт·ч)'!C671:I671)=7,SUM('Потребление (МВт·ч)'!C671:I671)&gt;0),SUMIF(C671:I671,"&lt;&gt;",'Потребление (МВт·ч)'!C671:I671)/SUM('Потребление (МВт·ч)'!C671:I671),"")</s:f>
        <s:v>0.9627389730848199</s:v>
      </s:c>
    </s:row>
    <s:row r="672">
      <s:c r="A672" s="5" t="n">
        <s:v>46293</s:v>
      </s:c>
      <s:c r="B672" s="2" t="n">
        <s:v>19</s:v>
      </s:c>
      <s:c r="C672" s="6" t="n">
        <s:v>2626.48877</s:v>
      </s:c>
      <s:c r="D672" s="6" t="n">
        <s:v>3048.477</s:v>
      </s:c>
      <s:c r="E672" s="6" t="n">
        <s:v>33.74682</s:v>
      </s:c>
      <s:c r="F672" s="6" t="n">
        <s:v>2792.22534</s:v>
      </s:c>
      <s:c r="G672" s="6" t="n">
        <s:v>2251.49561</s:v>
      </s:c>
      <s:c r="H672" s="6" t="n">
        <s:v>673.7587</s:v>
      </s:c>
      <s:c r="I672" s="6" t="n"/>
      <s:c r="J672" s="6" t="str">
        <s:f>IF(AND(COUNT(C672:I672)=7,COUNT('Потребление (МВт·ч)'!C672:I672)=7,SUM('Потребление (МВт·ч)'!C672:I672)&gt;0),SUMPRODUCT(C672:I672,'Потребление (МВт·ч)'!C672:I672)/SUM('Потребление (МВт·ч)'!C672:I672),"")</s:f>
      </s:c>
      <s:c r="K672" s="6" t="n">
        <s:f>IF(SUMIF(C672:I672,"&lt;&gt;",'Потребление (МВт·ч)'!C672:I672)&gt;0,SUMPRODUCT(C672:I672,'Потребление (МВт·ч)'!C672:I672)/SUMIF(C672:I672,"&lt;&gt;",'Потребление (МВт·ч)'!C672:I672),"")</s:f>
        <s:v>1994.9023364027878</s:v>
      </s:c>
      <s:c r="L672" s="6" t="n">
        <s:f>IF(COUNT(C672:I672)&gt;0,AVERAGE(C672:I672),"")</s:f>
        <s:v>1904.3653733333333</s:v>
      </s:c>
      <s:c r="M672" s="10" t="n">
        <s:f>COUNT(C672:I672)</s:f>
        <s:v>6</s:v>
      </s:c>
      <s:c r="N672" s="11" t="n">
        <s:f>IF(AND(COUNT('Потребление (МВт·ч)'!C672:I672)=7,SUM('Потребление (МВт·ч)'!C672:I672)&gt;0),SUMIF(C672:I672,"&lt;&gt;",'Потребление (МВт·ч)'!C672:I672)/SUM('Потребление (МВт·ч)'!C672:I672),"")</s:f>
        <s:v>0.9619447740090039</s:v>
      </s:c>
    </s:row>
    <s:row r="673">
      <s:c r="A673" s="5" t="n">
        <s:v>46293</s:v>
      </s:c>
      <s:c r="B673" s="2" t="n">
        <s:v>20</s:v>
      </s:c>
      <s:c r="C673" s="6" t="n">
        <s:v>2637.20435</s:v>
      </s:c>
      <s:c r="D673" s="6" t="n">
        <s:v>3082.50562</s:v>
      </s:c>
      <s:c r="E673" s="6" t="n">
        <s:v>28.03725</s:v>
      </s:c>
      <s:c r="F673" s="6" t="n">
        <s:v>2663.548</s:v>
      </s:c>
      <s:c r="G673" s="6" t="n">
        <s:v>2038.91174</s:v>
      </s:c>
      <s:c r="H673" s="6" t="n">
        <s:v>716.0549999999999</s:v>
      </s:c>
      <s:c r="I673" s="6" t="n"/>
      <s:c r="J673" s="6" t="str">
        <s:f>IF(AND(COUNT(C673:I673)=7,COUNT('Потребление (МВт·ч)'!C673:I673)=7,SUM('Потребление (МВт·ч)'!C673:I673)&gt;0),SUMPRODUCT(C673:I673,'Потребление (МВт·ч)'!C673:I673)/SUM('Потребление (МВт·ч)'!C673:I673),"")</s:f>
      </s:c>
      <s:c r="K673" s="6" t="n">
        <s:f>IF(SUMIF(C673:I673,"&lt;&gt;",'Потребление (МВт·ч)'!C673:I673)&gt;0,SUMPRODUCT(C673:I673,'Потребление (МВт·ч)'!C673:I673)/SUMIF(C673:I673,"&lt;&gt;",'Потребление (МВт·ч)'!C673:I673),"")</s:f>
        <s:v>1955.0243917609032</s:v>
      </s:c>
      <s:c r="L673" s="6" t="n">
        <s:f>IF(COUNT(C673:I673)&gt;0,AVERAGE(C673:I673),"")</s:f>
        <s:v>1861.04366</s:v>
      </s:c>
      <s:c r="M673" s="10" t="n">
        <s:f>COUNT(C673:I673)</s:f>
        <s:v>6</s:v>
      </s:c>
      <s:c r="N673" s="11" t="n">
        <s:f>IF(AND(COUNT('Потребление (МВт·ч)'!C673:I673)=7,SUM('Потребление (МВт·ч)'!C673:I673)&gt;0),SUMIF(C673:I673,"&lt;&gt;",'Потребление (МВт·ч)'!C673:I673)/SUM('Потребление (МВт·ч)'!C673:I673),"")</s:f>
        <s:v>0.9614462230409851</s:v>
      </s:c>
    </s:row>
    <s:row r="674">
      <s:c r="A674" s="5" t="n">
        <s:v>46293</s:v>
      </s:c>
      <s:c r="B674" s="2" t="n">
        <s:v>21</s:v>
      </s:c>
      <s:c r="C674" s="6" t="n">
        <s:v>2376.4353</s:v>
      </s:c>
      <s:c r="D674" s="6" t="n">
        <s:v>2752.74219</s:v>
      </s:c>
      <s:c r="E674" s="6" t="n">
        <s:v>115.117935</s:v>
      </s:c>
      <s:c r="F674" s="6" t="n">
        <s:v>2487.726</s:v>
      </s:c>
      <s:c r="G674" s="6" t="n">
        <s:v>1902.28015</s:v>
      </s:c>
      <s:c r="H674" s="6" t="n">
        <s:v>529.9239</s:v>
      </s:c>
      <s:c r="I674" s="6" t="n"/>
      <s:c r="J674" s="6" t="str">
        <s:f>IF(AND(COUNT(C674:I674)=7,COUNT('Потребление (МВт·ч)'!C674:I674)=7,SUM('Потребление (МВт·ч)'!C674:I674)&gt;0),SUMPRODUCT(C674:I674,'Потребление (МВт·ч)'!C674:I674)/SUM('Потребление (МВт·ч)'!C674:I674),"")</s:f>
      </s:c>
      <s:c r="K674" s="6" t="n">
        <s:f>IF(SUMIF(C674:I674,"&lt;&gt;",'Потребление (МВт·ч)'!C674:I674)&gt;0,SUMPRODUCT(C674:I674,'Потребление (МВт·ч)'!C674:I674)/SUMIF(C674:I674,"&lt;&gt;",'Потребление (МВт·ч)'!C674:I674),"")</s:f>
        <s:v>1754.8117568094424</s:v>
      </s:c>
      <s:c r="L674" s="6" t="n">
        <s:f>IF(COUNT(C674:I674)&gt;0,AVERAGE(C674:I674),"")</s:f>
        <s:v>1694.0375791666668</s:v>
      </s:c>
      <s:c r="M674" s="10" t="n">
        <s:f>COUNT(C674:I674)</s:f>
        <s:v>6</s:v>
      </s:c>
      <s:c r="N674" s="11" t="n">
        <s:f>IF(AND(COUNT('Потребление (МВт·ч)'!C674:I674)=7,SUM('Потребление (МВт·ч)'!C674:I674)&gt;0),SUMIF(C674:I674,"&lt;&gt;",'Потребление (МВт·ч)'!C674:I674)/SUM('Потребление (МВт·ч)'!C674:I674),"")</s:f>
        <s:v>0.9594116184777857</s:v>
      </s:c>
    </s:row>
    <s:row r="675">
      <s:c r="A675" s="5" t="n">
        <s:v>46293</s:v>
      </s:c>
      <s:c r="B675" s="2" t="n">
        <s:v>22</s:v>
      </s:c>
      <s:c r="C675" s="6" t="n">
        <s:v>1999.9884</s:v>
      </s:c>
      <s:c r="D675" s="6" t="n">
        <s:v>2314.75342</s:v>
      </s:c>
      <s:c r="E675" s="6" t="n">
        <s:v>1873.568</s:v>
      </s:c>
      <s:c r="F675" s="6" t="n">
        <s:v>2183.46313</s:v>
      </s:c>
      <s:c r="G675" s="6" t="n">
        <s:v>1832.5885</s:v>
      </s:c>
      <s:c r="H675" s="6" t="n">
        <s:v>375.922943</s:v>
      </s:c>
      <s:c r="I675" s="6" t="n"/>
      <s:c r="J675" s="6" t="str">
        <s:f>IF(AND(COUNT(C675:I675)=7,COUNT('Потребление (МВт·ч)'!C675:I675)=7,SUM('Потребление (МВт·ч)'!C675:I675)&gt;0),SUMPRODUCT(C675:I675,'Потребление (МВт·ч)'!C675:I675)/SUM('Потребление (МВт·ч)'!C675:I675),"")</s:f>
      </s:c>
      <s:c r="K675" s="6" t="n">
        <s:f>IF(SUMIF(C675:I675,"&lt;&gt;",'Потребление (МВт·ч)'!C675:I675)&gt;0,SUMPRODUCT(C675:I675,'Потребление (МВт·ч)'!C675:I675)/SUMIF(C675:I675,"&lt;&gt;",'Потребление (МВт·ч)'!C675:I675),"")</s:f>
        <s:v>1692.0360031155458</s:v>
      </s:c>
      <s:c r="L675" s="6" t="n">
        <s:f>IF(COUNT(C675:I675)&gt;0,AVERAGE(C675:I675),"")</s:f>
        <s:v>1763.3807321666666</s:v>
      </s:c>
      <s:c r="M675" s="10" t="n">
        <s:f>COUNT(C675:I675)</s:f>
        <s:v>6</s:v>
      </s:c>
      <s:c r="N675" s="11" t="n">
        <s:f>IF(AND(COUNT('Потребление (МВт·ч)'!C675:I675)=7,SUM('Потребление (МВт·ч)'!C675:I675)&gt;0),SUMIF(C675:I675,"&lt;&gt;",'Потребление (МВт·ч)'!C675:I675)/SUM('Потребление (МВт·ч)'!C675:I675),"")</s:f>
        <s:v>0.9576062291434928</s:v>
      </s:c>
    </s:row>
    <s:row r="676">
      <s:c r="A676" s="5" t="n">
        <s:v>46293</s:v>
      </s:c>
      <s:c r="B676" s="2" t="n">
        <s:v>23</s:v>
      </s:c>
      <s:c r="C676" s="6" t="n">
        <s:v>1646.76953</s:v>
      </s:c>
      <s:c r="D676" s="6" t="n">
        <s:v>2164.89038</s:v>
      </s:c>
      <s:c r="E676" s="6" t="n">
        <s:v>16.4437141</s:v>
      </s:c>
      <s:c r="F676" s="6" t="n">
        <s:v>2058.69531</s:v>
      </s:c>
      <s:c r="G676" s="6" t="n">
        <s:v>1829.347</s:v>
      </s:c>
      <s:c r="H676" s="6" t="n">
        <s:v>376.473877</s:v>
      </s:c>
      <s:c r="I676" s="6" t="n"/>
      <s:c r="J676" s="6" t="str">
        <s:f>IF(AND(COUNT(C676:I676)=7,COUNT('Потребление (МВт·ч)'!C676:I676)=7,SUM('Потребление (МВт·ч)'!C676:I676)&gt;0),SUMPRODUCT(C676:I676,'Потребление (МВт·ч)'!C676:I676)/SUM('Потребление (МВт·ч)'!C676:I676),"")</s:f>
      </s:c>
      <s:c r="K676" s="6" t="n">
        <s:f>IF(SUMIF(C676:I676,"&lt;&gt;",'Потребление (МВт·ч)'!C676:I676)&gt;0,SUMPRODUCT(C676:I676,'Потребление (МВт·ч)'!C676:I676)/SUMIF(C676:I676,"&lt;&gt;",'Потребление (МВт·ч)'!C676:I676),"")</s:f>
        <s:v>1415.934691806456</s:v>
      </s:c>
      <s:c r="L676" s="6" t="n">
        <s:f>IF(COUNT(C676:I676)&gt;0,AVERAGE(C676:I676),"")</s:f>
        <s:v>1348.7699685166665</s:v>
      </s:c>
      <s:c r="M676" s="10" t="n">
        <s:f>COUNT(C676:I676)</s:f>
        <s:v>6</s:v>
      </s:c>
      <s:c r="N676" s="11" t="n">
        <s:f>IF(AND(COUNT('Потребление (МВт·ч)'!C676:I676)=7,SUM('Потребление (МВт·ч)'!C676:I676)&gt;0),SUMIF(C676:I676,"&lt;&gt;",'Потребление (МВт·ч)'!C676:I676)/SUM('Потребление (МВт·ч)'!C676:I676),"")</s:f>
        <s:v>0.9534247330094858</s:v>
      </s:c>
    </s:row>
    <s:row r="677">
      <s:c r="A677" s="5" t="n">
        <s:v>46294</s:v>
      </s:c>
      <s:c r="B677" s="2" t="n">
        <s:v>0</s:v>
      </s:c>
      <s:c r="C677" s="6" t="n">
        <s:v>1582.57837</s:v>
      </s:c>
      <s:c r="D677" s="6" t="n">
        <s:v>2145.36841</s:v>
      </s:c>
      <s:c r="E677" s="6" t="n">
        <s:v>15.9091024</s:v>
      </s:c>
      <s:c r="F677" s="6" t="n">
        <s:v>2087.25854</s:v>
      </s:c>
      <s:c r="G677" s="6" t="n">
        <s:v>1847.08948</s:v>
      </s:c>
      <s:c r="H677" s="6" t="n">
        <s:v>1492.39661</s:v>
      </s:c>
      <s:c r="I677" s="6" t="n"/>
      <s:c r="J677" s="6" t="str">
        <s:f>IF(AND(COUNT(C677:I677)=7,COUNT('Потребление (МВт·ч)'!C677:I677)=7,SUM('Потребление (МВт·ч)'!C677:I677)&gt;0),SUMPRODUCT(C677:I677,'Потребление (МВт·ч)'!C677:I677)/SUM('Потребление (МВт·ч)'!C677:I677),"")</s:f>
      </s:c>
      <s:c r="K677" s="6" t="n">
        <s:f>IF(SUMIF(C677:I677,"&lt;&gt;",'Потребление (МВт·ч)'!C677:I677)&gt;0,SUMPRODUCT(C677:I677,'Потребление (МВт·ч)'!C677:I677)/SUMIF(C677:I677,"&lt;&gt;",'Потребление (МВт·ч)'!C677:I677),"")</s:f>
        <s:v>1662.4588901179834</s:v>
      </s:c>
      <s:c r="L677" s="6" t="n">
        <s:f>IF(COUNT(C677:I677)&gt;0,AVERAGE(C677:I677),"")</s:f>
        <s:v>1528.4334187333334</s:v>
      </s:c>
      <s:c r="M677" s="10" t="n">
        <s:f>COUNT(C677:I677)</s:f>
        <s:v>6</s:v>
      </s:c>
      <s:c r="N677" s="11" t="n">
        <s:f>IF(AND(COUNT('Потребление (МВт·ч)'!C677:I677)=7,SUM('Потребление (МВт·ч)'!C677:I677)&gt;0),SUMIF(C677:I677,"&lt;&gt;",'Потребление (МВт·ч)'!C677:I677)/SUM('Потребление (МВт·ч)'!C677:I677),"")</s:f>
        <s:v>0.9512602376821327</s:v>
      </s:c>
    </s:row>
    <s:row r="678">
      <s:c r="A678" s="5" t="n">
        <s:v>46294</s:v>
      </s:c>
      <s:c r="B678" s="2" t="n">
        <s:v>1</s:v>
      </s:c>
      <s:c r="C678" s="6" t="n">
        <s:v>1477.74207</s:v>
      </s:c>
      <s:c r="D678" s="6" t="n">
        <s:v>1989.93433</s:v>
      </s:c>
      <s:c r="E678" s="6" t="n">
        <s:v>14.5325317</s:v>
      </s:c>
      <s:c r="F678" s="6" t="n">
        <s:v>1956.162</s:v>
      </s:c>
      <s:c r="G678" s="6" t="n">
        <s:v>1777.056</s:v>
      </s:c>
      <s:c r="H678" s="6" t="n">
        <s:v>1522.08826</s:v>
      </s:c>
      <s:c r="I678" s="6" t="n"/>
      <s:c r="J678" s="6" t="str">
        <s:f>IF(AND(COUNT(C678:I678)=7,COUNT('Потребление (МВт·ч)'!C678:I678)=7,SUM('Потребление (МВт·ч)'!C678:I678)&gt;0),SUMPRODUCT(C678:I678,'Потребление (МВт·ч)'!C678:I678)/SUM('Потребление (МВт·ч)'!C678:I678),"")</s:f>
      </s:c>
      <s:c r="K678" s="6" t="n">
        <s:f>IF(SUMIF(C678:I678,"&lt;&gt;",'Потребление (МВт·ч)'!C678:I678)&gt;0,SUMPRODUCT(C678:I678,'Потребление (МВт·ч)'!C678:I678)/SUMIF(C678:I678,"&lt;&gt;",'Потребление (МВт·ч)'!C678:I678),"")</s:f>
        <s:v>1595.110659332848</s:v>
      </s:c>
      <s:c r="L678" s="6" t="n">
        <s:f>IF(COUNT(C678:I678)&gt;0,AVERAGE(C678:I678),"")</s:f>
        <s:v>1456.25253195</s:v>
      </s:c>
      <s:c r="M678" s="10" t="n">
        <s:f>COUNT(C678:I678)</s:f>
        <s:v>6</s:v>
      </s:c>
      <s:c r="N678" s="11" t="n">
        <s:f>IF(AND(COUNT('Потребление (МВт·ч)'!C678:I678)=7,SUM('Потребление (МВт·ч)'!C678:I678)&gt;0),SUMIF(C678:I678,"&lt;&gt;",'Потребление (МВт·ч)'!C678:I678)/SUM('Потребление (МВт·ч)'!C678:I678),"")</s:f>
        <s:v>0.9499262793121906</s:v>
      </s:c>
    </s:row>
    <s:row r="679">
      <s:c r="A679" s="5" t="n">
        <s:v>46294</s:v>
      </s:c>
      <s:c r="B679" s="2" t="n">
        <s:v>2</s:v>
      </s:c>
      <s:c r="C679" s="6" t="n">
        <s:v>1492.70911</s:v>
      </s:c>
      <s:c r="D679" s="6" t="n">
        <s:v>1999.06421</s:v>
      </s:c>
      <s:c r="E679" s="6" t="n">
        <s:v>13.8055735</s:v>
      </s:c>
      <s:c r="F679" s="6" t="n">
        <s:v>1982.97144</s:v>
      </s:c>
      <s:c r="G679" s="6" t="n">
        <s:v>1827.881</s:v>
      </s:c>
      <s:c r="H679" s="6" t="n">
        <s:v>1584.09363</s:v>
      </s:c>
      <s:c r="I679" s="6" t="n"/>
      <s:c r="J679" s="6" t="str">
        <s:f>IF(AND(COUNT(C679:I679)=7,COUNT('Потребление (МВт·ч)'!C679:I679)=7,SUM('Потребление (МВт·ч)'!C679:I679)&gt;0),SUMPRODUCT(C679:I679,'Потребление (МВт·ч)'!C679:I679)/SUM('Потребление (МВт·ч)'!C679:I679),"")</s:f>
      </s:c>
      <s:c r="K679" s="6" t="n">
        <s:f>IF(SUMIF(C679:I679,"&lt;&gt;",'Потребление (МВт·ч)'!C679:I679)&gt;0,SUMPRODUCT(C679:I679,'Потребление (МВт·ч)'!C679:I679)/SUMIF(C679:I679,"&lt;&gt;",'Потребление (МВт·ч)'!C679:I679),"")</s:f>
        <s:v>1629.606919511708</s:v>
      </s:c>
      <s:c r="L679" s="6" t="n">
        <s:f>IF(COUNT(C679:I679)&gt;0,AVERAGE(C679:I679),"")</s:f>
        <s:v>1483.42082725</s:v>
      </s:c>
      <s:c r="M679" s="10" t="n">
        <s:f>COUNT(C679:I679)</s:f>
        <s:v>6</s:v>
      </s:c>
      <s:c r="N679" s="11" t="n">
        <s:f>IF(AND(COUNT('Потребление (МВт·ч)'!C679:I679)=7,SUM('Потребление (МВт·ч)'!C679:I679)&gt;0),SUMIF(C679:I679,"&lt;&gt;",'Потребление (МВт·ч)'!C679:I679)/SUM('Потребление (МВт·ч)'!C679:I679),"")</s:f>
        <s:v>0.9495879559234855</s:v>
      </s:c>
    </s:row>
    <s:row r="680">
      <s:c r="A680" s="5" t="n">
        <s:v>46294</s:v>
      </s:c>
      <s:c r="B680" s="2" t="n">
        <s:v>3</s:v>
      </s:c>
      <s:c r="C680" s="6" t="n">
        <s:v>1432.72119</s:v>
      </s:c>
      <s:c r="D680" s="6" t="n">
        <s:v>2064.1416</s:v>
      </s:c>
      <s:c r="E680" s="6" t="n">
        <s:v>14.3457851</s:v>
      </s:c>
      <s:c r="F680" s="6" t="n">
        <s:v>2057.05273</s:v>
      </s:c>
      <s:c r="G680" s="6" t="n">
        <s:v>1905.58679</s:v>
      </s:c>
      <s:c r="H680" s="6" t="n">
        <s:v>1794.019</s:v>
      </s:c>
      <s:c r="I680" s="6" t="n"/>
      <s:c r="J680" s="6" t="str">
        <s:f>IF(AND(COUNT(C680:I680)=7,COUNT('Потребление (МВт·ч)'!C680:I680)=7,SUM('Потребление (МВт·ч)'!C680:I680)&gt;0),SUMPRODUCT(C680:I680,'Потребление (МВт·ч)'!C680:I680)/SUM('Потребление (МВт·ч)'!C680:I680),"")</s:f>
      </s:c>
      <s:c r="K680" s="6" t="n">
        <s:f>IF(SUMIF(C680:I680,"&lt;&gt;",'Потребление (МВт·ч)'!C680:I680)&gt;0,SUMPRODUCT(C680:I680,'Потребление (МВт·ч)'!C680:I680)/SUMIF(C680:I680,"&lt;&gt;",'Потребление (МВт·ч)'!C680:I680),"")</s:f>
        <s:v>1717.0143509350546</s:v>
      </s:c>
      <s:c r="L680" s="6" t="n">
        <s:f>IF(COUNT(C680:I680)&gt;0,AVERAGE(C680:I680),"")</s:f>
        <s:v>1544.64451585</s:v>
      </s:c>
      <s:c r="M680" s="10" t="n">
        <s:f>COUNT(C680:I680)</s:f>
        <s:v>6</s:v>
      </s:c>
      <s:c r="N680" s="11" t="n">
        <s:f>IF(AND(COUNT('Потребление (МВт·ч)'!C680:I680)=7,SUM('Потребление (МВт·ч)'!C680:I680)&gt;0),SUMIF(C680:I680,"&lt;&gt;",'Потребление (МВт·ч)'!C680:I680)/SUM('Потребление (МВт·ч)'!C680:I680),"")</s:f>
        <s:v>0.950066386265935</s:v>
      </s:c>
    </s:row>
    <s:row r="681">
      <s:c r="A681" s="5" t="n">
        <s:v>46294</s:v>
      </s:c>
      <s:c r="B681" s="2" t="n">
        <s:v>4</s:v>
      </s:c>
      <s:c r="C681" s="6" t="n">
        <s:v>1631.138</s:v>
      </s:c>
      <s:c r="D681" s="6" t="n">
        <s:v>2223.38623</s:v>
      </s:c>
      <s:c r="E681" s="6" t="n">
        <s:v>1279.2771</s:v>
      </s:c>
      <s:c r="F681" s="6" t="n">
        <s:v>2201.85156</s:v>
      </s:c>
      <s:c r="G681" s="6" t="n">
        <s:v>2001.965</s:v>
      </s:c>
      <s:c r="H681" s="6" t="n">
        <s:v>1682.83215</s:v>
      </s:c>
      <s:c r="I681" s="6" t="n"/>
      <s:c r="J681" s="6" t="str">
        <s:f>IF(AND(COUNT(C681:I681)=7,COUNT('Потребление (МВт·ч)'!C681:I681)=7,SUM('Потребление (МВт·ч)'!C681:I681)&gt;0),SUMPRODUCT(C681:I681,'Потребление (МВт·ч)'!C681:I681)/SUM('Потребление (МВт·ч)'!C681:I681),"")</s:f>
      </s:c>
      <s:c r="K681" s="6" t="n">
        <s:f>IF(SUMIF(C681:I681,"&lt;&gt;",'Потребление (МВт·ч)'!C681:I681)&gt;0,SUMPRODUCT(C681:I681,'Потребление (МВт·ч)'!C681:I681)/SUMIF(C681:I681,"&lt;&gt;",'Потребление (МВт·ч)'!C681:I681),"")</s:f>
        <s:v>1896.9847568333792</s:v>
      </s:c>
      <s:c r="L681" s="6" t="n">
        <s:f>IF(COUNT(C681:I681)&gt;0,AVERAGE(C681:I681),"")</s:f>
        <s:v>1836.7416733333332</s:v>
      </s:c>
      <s:c r="M681" s="10" t="n">
        <s:f>COUNT(C681:I681)</s:f>
        <s:v>6</s:v>
      </s:c>
      <s:c r="N681" s="11" t="n">
        <s:f>IF(AND(COUNT('Потребление (МВт·ч)'!C681:I681)=7,SUM('Потребление (МВт·ч)'!C681:I681)&gt;0),SUMIF(C681:I681,"&lt;&gt;",'Потребление (МВт·ч)'!C681:I681)/SUM('Потребление (МВт·ч)'!C681:I681),"")</s:f>
        <s:v>0.952030694536627</s:v>
      </s:c>
    </s:row>
    <s:row r="682">
      <s:c r="A682" s="5" t="n">
        <s:v>46294</s:v>
      </s:c>
      <s:c r="B682" s="2" t="n">
        <s:v>5</s:v>
      </s:c>
      <s:c r="C682" s="6" t="n">
        <s:v>1749.57178</s:v>
      </s:c>
      <s:c r="D682" s="6" t="n">
        <s:v>2498.89917</s:v>
      </s:c>
      <s:c r="E682" s="6" t="n">
        <s:v>1261.2085</s:v>
      </s:c>
      <s:c r="F682" s="6" t="n">
        <s:v>2462.87134</s:v>
      </s:c>
      <s:c r="G682" s="6" t="n">
        <s:v>2202.68481</s:v>
      </s:c>
      <s:c r="H682" s="6" t="n">
        <s:v>2010.09741</s:v>
      </s:c>
      <s:c r="I682" s="6" t="n"/>
      <s:c r="J682" s="6" t="str">
        <s:f>IF(AND(COUNT(C682:I682)=7,COUNT('Потребление (МВт·ч)'!C682:I682)=7,SUM('Потребление (МВт·ч)'!C682:I682)&gt;0),SUMPRODUCT(C682:I682,'Потребление (МВт·ч)'!C682:I682)/SUM('Потребление (МВт·ч)'!C682:I682),"")</s:f>
      </s:c>
      <s:c r="K682" s="6" t="n">
        <s:f>IF(SUMIF(C682:I682,"&lt;&gt;",'Потребление (МВт·ч)'!C682:I682)&gt;0,SUMPRODUCT(C682:I682,'Потребление (МВт·ч)'!C682:I682)/SUMIF(C682:I682,"&lt;&gt;",'Потребление (МВт·ч)'!C682:I682),"")</s:f>
        <s:v>2129.417475003322</s:v>
      </s:c>
      <s:c r="L682" s="6" t="n">
        <s:f>IF(COUNT(C682:I682)&gt;0,AVERAGE(C682:I682),"")</s:f>
        <s:v>2030.888835</s:v>
      </s:c>
      <s:c r="M682" s="10" t="n">
        <s:f>COUNT(C682:I682)</s:f>
        <s:v>6</s:v>
      </s:c>
      <s:c r="N682" s="11" t="n">
        <s:f>IF(AND(COUNT('Потребление (МВт·ч)'!C682:I682)=7,SUM('Потребление (МВт·ч)'!C682:I682)&gt;0),SUMIF(C682:I682,"&lt;&gt;",'Потребление (МВт·ч)'!C682:I682)/SUM('Потребление (МВт·ч)'!C682:I682),"")</s:f>
        <s:v>0.9542164855869975</s:v>
      </s:c>
    </s:row>
    <s:row r="683">
      <s:c r="A683" s="5" t="n">
        <s:v>46294</s:v>
      </s:c>
      <s:c r="B683" s="2" t="n">
        <s:v>6</s:v>
      </s:c>
      <s:c r="C683" s="6" t="n">
        <s:v>2298.305</s:v>
      </s:c>
      <s:c r="D683" s="6" t="n">
        <s:v>2682.42554</s:v>
      </s:c>
      <s:c r="E683" s="6" t="n">
        <s:v>2049.31665</s:v>
      </s:c>
      <s:c r="F683" s="6" t="n">
        <s:v>2631.55</s:v>
      </s:c>
      <s:c r="G683" s="6" t="n">
        <s:v>2332.684</s:v>
      </s:c>
      <s:c r="H683" s="6" t="n">
        <s:v>2110.432</s:v>
      </s:c>
      <s:c r="I683" s="6" t="n"/>
      <s:c r="J683" s="6" t="str">
        <s:f>IF(AND(COUNT(C683:I683)=7,COUNT('Потребление (МВт·ч)'!C683:I683)=7,SUM('Потребление (МВт·ч)'!C683:I683)&gt;0),SUMPRODUCT(C683:I683,'Потребление (МВт·ч)'!C683:I683)/SUM('Потребление (МВт·ч)'!C683:I683),"")</s:f>
      </s:c>
      <s:c r="K683" s="6" t="n">
        <s:f>IF(SUMIF(C683:I683,"&lt;&gt;",'Потребление (МВт·ч)'!C683:I683)&gt;0,SUMPRODUCT(C683:I683,'Потребление (МВт·ч)'!C683:I683)/SUMIF(C683:I683,"&lt;&gt;",'Потребление (МВт·ч)'!C683:I683),"")</s:f>
        <s:v>2368.396467215974</s:v>
      </s:c>
      <s:c r="L683" s="6" t="n">
        <s:f>IF(COUNT(C683:I683)&gt;0,AVERAGE(C683:I683),"")</s:f>
        <s:v>2350.785531666667</s:v>
      </s:c>
      <s:c r="M683" s="10" t="n">
        <s:f>COUNT(C683:I683)</s:f>
        <s:v>6</s:v>
      </s:c>
      <s:c r="N683" s="11" t="n">
        <s:f>IF(AND(COUNT('Потребление (МВт·ч)'!C683:I683)=7,SUM('Потребление (МВт·ч)'!C683:I683)&gt;0),SUMIF(C683:I683,"&lt;&gt;",'Потребление (МВт·ч)'!C683:I683)/SUM('Потребление (МВт·ч)'!C683:I683),"")</s:f>
        <s:v>0.95546692409308</s:v>
      </s:c>
    </s:row>
    <s:row r="684">
      <s:c r="A684" s="5" t="n">
        <s:v>46294</s:v>
      </s:c>
      <s:c r="B684" s="2" t="n">
        <s:v>7</s:v>
      </s:c>
      <s:c r="C684" s="6" t="n">
        <s:v>2489.53</s:v>
      </s:c>
      <s:c r="D684" s="6" t="n">
        <s:v>2869.103</s:v>
      </s:c>
      <s:c r="E684" s="6" t="n">
        <s:v>2103.89941</s:v>
      </s:c>
      <s:c r="F684" s="6" t="n">
        <s:v>2728.6543</s:v>
      </s:c>
      <s:c r="G684" s="6" t="n">
        <s:v>2337.49976</s:v>
      </s:c>
      <s:c r="H684" s="6" t="n">
        <s:v>2033.072</s:v>
      </s:c>
      <s:c r="I684" s="6" t="n"/>
      <s:c r="J684" s="6" t="str">
        <s:f>IF(AND(COUNT(C684:I684)=7,COUNT('Потребление (МВт·ч)'!C684:I684)=7,SUM('Потребление (МВт·ч)'!C684:I684)&gt;0),SUMPRODUCT(C684:I684,'Потребление (МВт·ч)'!C684:I684)/SUM('Потребление (МВт·ч)'!C684:I684),"")</s:f>
      </s:c>
      <s:c r="K684" s="6" t="n">
        <s:f>IF(SUMIF(C684:I684,"&lt;&gt;",'Потребление (МВт·ч)'!C684:I684)&gt;0,SUMPRODUCT(C684:I684,'Потребление (МВт·ч)'!C684:I684)/SUMIF(C684:I684,"&lt;&gt;",'Потребление (МВт·ч)'!C684:I684),"")</s:f>
        <s:v>2438.1940148876893</s:v>
      </s:c>
      <s:c r="L684" s="6" t="n">
        <s:f>IF(COUNT(C684:I684)&gt;0,AVERAGE(C684:I684),"")</s:f>
        <s:v>2426.959745</s:v>
      </s:c>
      <s:c r="M684" s="10" t="n">
        <s:f>COUNT(C684:I684)</s:f>
        <s:v>6</s:v>
      </s:c>
      <s:c r="N684" s="11" t="n">
        <s:f>IF(AND(COUNT('Потребление (МВт·ч)'!C684:I684)=7,SUM('Потребление (МВт·ч)'!C684:I684)&gt;0),SUMIF(C684:I684,"&lt;&gt;",'Потребление (МВт·ч)'!C684:I684)/SUM('Потребление (МВт·ч)'!C684:I684),"")</s:f>
        <s:v>0.9566539861607583</s:v>
      </s:c>
    </s:row>
    <s:row r="685">
      <s:c r="A685" s="5" t="n">
        <s:v>46294</s:v>
      </s:c>
      <s:c r="B685" s="2" t="n">
        <s:v>8</s:v>
      </s:c>
      <s:c r="C685" s="6" t="n">
        <s:v>2710.73535</s:v>
      </s:c>
      <s:c r="D685" s="6" t="n">
        <s:v>3124.81934</s:v>
      </s:c>
      <s:c r="E685" s="6" t="n">
        <s:v>2749.09424</s:v>
      </s:c>
      <s:c r="F685" s="6" t="n">
        <s:v>2860.67676</s:v>
      </s:c>
      <s:c r="G685" s="6" t="n">
        <s:v>2374.65527</s:v>
      </s:c>
      <s:c r="H685" s="6" t="n">
        <s:v>1947.589</s:v>
      </s:c>
      <s:c r="I685" s="6" t="n"/>
      <s:c r="J685" s="6" t="str">
        <s:f>IF(AND(COUNT(C685:I685)=7,COUNT('Потребление (МВт·ч)'!C685:I685)=7,SUM('Потребление (МВт·ч)'!C685:I685)&gt;0),SUMPRODUCT(C685:I685,'Потребление (МВт·ч)'!C685:I685)/SUM('Потребление (МВт·ч)'!C685:I685),"")</s:f>
      </s:c>
      <s:c r="K685" s="6" t="n">
        <s:f>IF(SUMIF(C685:I685,"&lt;&gt;",'Потребление (МВт·ч)'!C685:I685)&gt;0,SUMPRODUCT(C685:I685,'Потребление (МВт·ч)'!C685:I685)/SUMIF(C685:I685,"&lt;&gt;",'Потребление (МВт·ч)'!C685:I685),"")</s:f>
        <s:v>2595.3193729553414</s:v>
      </s:c>
      <s:c r="L685" s="6" t="n">
        <s:f>IF(COUNT(C685:I685)&gt;0,AVERAGE(C685:I685),"")</s:f>
        <s:v>2627.9283266666666</s:v>
      </s:c>
      <s:c r="M685" s="10" t="n">
        <s:f>COUNT(C685:I685)</s:f>
        <s:v>6</s:v>
      </s:c>
      <s:c r="N685" s="11" t="n">
        <s:f>IF(AND(COUNT('Потребление (МВт·ч)'!C685:I685)=7,SUM('Потребление (МВт·ч)'!C685:I685)&gt;0),SUMIF(C685:I685,"&lt;&gt;",'Потребление (МВт·ч)'!C685:I685)/SUM('Потребление (МВт·ч)'!C685:I685),"")</s:f>
        <s:v>0.9583492761941202</s:v>
      </s:c>
    </s:row>
    <s:row r="686">
      <s:c r="A686" s="5" t="n">
        <s:v>46294</s:v>
      </s:c>
      <s:c r="B686" s="2" t="n">
        <s:v>9</s:v>
      </s:c>
      <s:c r="C686" s="6" t="n">
        <s:v>2494.2793</s:v>
      </s:c>
      <s:c r="D686" s="6" t="n">
        <s:v>3379.08154</s:v>
      </s:c>
      <s:c r="E686" s="6" t="n">
        <s:v>2785.54639</s:v>
      </s:c>
      <s:c r="F686" s="6" t="n">
        <s:v>3012.475</s:v>
      </s:c>
      <s:c r="G686" s="6" t="n">
        <s:v>2371.117</s:v>
      </s:c>
      <s:c r="H686" s="6" t="n">
        <s:v>1954.499</s:v>
      </s:c>
      <s:c r="I686" s="6" t="n"/>
      <s:c r="J686" s="6" t="str">
        <s:f>IF(AND(COUNT(C686:I686)=7,COUNT('Потребление (МВт·ч)'!C686:I686)=7,SUM('Потребление (МВт·ч)'!C686:I686)&gt;0),SUMPRODUCT(C686:I686,'Потребление (МВт·ч)'!C686:I686)/SUM('Потребление (МВт·ч)'!C686:I686),"")</s:f>
      </s:c>
      <s:c r="K686" s="6" t="n">
        <s:f>IF(SUMIF(C686:I686,"&lt;&gt;",'Потребление (МВт·ч)'!C686:I686)&gt;0,SUMPRODUCT(C686:I686,'Потребление (МВт·ч)'!C686:I686)/SUMIF(C686:I686,"&lt;&gt;",'Потребление (МВт·ч)'!C686:I686),"")</s:f>
        <s:v>2665.726950961661</s:v>
      </s:c>
      <s:c r="L686" s="6" t="n">
        <s:f>IF(COUNT(C686:I686)&gt;0,AVERAGE(C686:I686),"")</s:f>
        <s:v>2666.1663716666667</s:v>
      </s:c>
      <s:c r="M686" s="10" t="n">
        <s:f>COUNT(C686:I686)</s:f>
        <s:v>6</s:v>
      </s:c>
      <s:c r="N686" s="11" t="n">
        <s:f>IF(AND(COUNT('Потребление (МВт·ч)'!C686:I686)=7,SUM('Потребление (МВт·ч)'!C686:I686)&gt;0),SUMIF(C686:I686,"&lt;&gt;",'Потребление (МВт·ч)'!C686:I686)/SUM('Потребление (МВт·ч)'!C686:I686),"")</s:f>
        <s:v>0.9584174564341307</s:v>
      </s:c>
    </s:row>
    <s:row r="687">
      <s:c r="A687" s="5" t="n">
        <s:v>46294</s:v>
      </s:c>
      <s:c r="B687" s="2" t="n">
        <s:v>10</s:v>
      </s:c>
      <s:c r="C687" s="6" t="n">
        <s:v>2460.6936</s:v>
      </s:c>
      <s:c r="D687" s="6" t="n">
        <s:v>3418.01733</s:v>
      </s:c>
      <s:c r="E687" s="6" t="n">
        <s:v>2786.986</s:v>
      </s:c>
      <s:c r="F687" s="6" t="n">
        <s:v>3025.15112</s:v>
      </s:c>
      <s:c r="G687" s="6" t="n">
        <s:v>2356.93213</s:v>
      </s:c>
      <s:c r="H687" s="6" t="n">
        <s:v>1960.348</s:v>
      </s:c>
      <s:c r="I687" s="6" t="n"/>
      <s:c r="J687" s="6" t="str">
        <s:f>IF(AND(COUNT(C687:I687)=7,COUNT('Потребление (МВт·ч)'!C687:I687)=7,SUM('Потребление (МВт·ч)'!C687:I687)&gt;0),SUMPRODUCT(C687:I687,'Потребление (МВт·ч)'!C687:I687)/SUM('Потребление (МВт·ч)'!C687:I687),"")</s:f>
      </s:c>
      <s:c r="K687" s="6" t="n">
        <s:f>IF(SUMIF(C687:I687,"&lt;&gt;",'Потребление (МВт·ч)'!C687:I687)&gt;0,SUMPRODUCT(C687:I687,'Потребление (МВт·ч)'!C687:I687)/SUMIF(C687:I687,"&lt;&gt;",'Потребление (МВт·ч)'!C687:I687),"")</s:f>
        <s:v>2671.948147440766</s:v>
      </s:c>
      <s:c r="L687" s="6" t="n">
        <s:f>IF(COUNT(C687:I687)&gt;0,AVERAGE(C687:I687),"")</s:f>
        <s:v>2668.0213633333337</s:v>
      </s:c>
      <s:c r="M687" s="10" t="n">
        <s:f>COUNT(C687:I687)</s:f>
        <s:v>6</s:v>
      </s:c>
      <s:c r="N687" s="11" t="n">
        <s:f>IF(AND(COUNT('Потребление (МВт·ч)'!C687:I687)=7,SUM('Потребление (МВт·ч)'!C687:I687)&gt;0),SUMIF(C687:I687,"&lt;&gt;",'Потребление (МВт·ч)'!C687:I687)/SUM('Потребление (МВт·ч)'!C687:I687),"")</s:f>
        <s:v>0.9570920409070698</s:v>
      </s:c>
    </s:row>
    <s:row r="688">
      <s:c r="A688" s="5" t="n">
        <s:v>46294</s:v>
      </s:c>
      <s:c r="B688" s="2" t="n">
        <s:v>11</s:v>
      </s:c>
      <s:c r="C688" s="6" t="n">
        <s:v>2402.04</s:v>
      </s:c>
      <s:c r="D688" s="6" t="n">
        <s:v>3335.33667</s:v>
      </s:c>
      <s:c r="E688" s="6" t="n">
        <s:v>2734.44458</s:v>
      </s:c>
      <s:c r="F688" s="6" t="n">
        <s:v>2975.7002</s:v>
      </s:c>
      <s:c r="G688" s="6" t="n">
        <s:v>2343.54468</s:v>
      </s:c>
      <s:c r="H688" s="6" t="n">
        <s:v>1574.0332</s:v>
      </s:c>
      <s:c r="I688" s="6" t="n"/>
      <s:c r="J688" s="6" t="str">
        <s:f>IF(AND(COUNT(C688:I688)=7,COUNT('Потребление (МВт·ч)'!C688:I688)=7,SUM('Потребление (МВт·ч)'!C688:I688)&gt;0),SUMPRODUCT(C688:I688,'Потребление (МВт·ч)'!C688:I688)/SUM('Потребление (МВт·ч)'!C688:I688),"")</s:f>
      </s:c>
      <s:c r="K688" s="6" t="n">
        <s:f>IF(SUMIF(C688:I688,"&lt;&gt;",'Потребление (МВт·ч)'!C688:I688)&gt;0,SUMPRODUCT(C688:I688,'Потребление (МВт·ч)'!C688:I688)/SUMIF(C688:I688,"&lt;&gt;",'Потребление (МВт·ч)'!C688:I688),"")</s:f>
        <s:v>2549.008451672284</s:v>
      </s:c>
      <s:c r="L688" s="6" t="n">
        <s:f>IF(COUNT(C688:I688)&gt;0,AVERAGE(C688:I688),"")</s:f>
        <s:v>2560.849888333333</s:v>
      </s:c>
      <s:c r="M688" s="10" t="n">
        <s:f>COUNT(C688:I688)</s:f>
        <s:v>6</s:v>
      </s:c>
      <s:c r="N688" s="11" t="n">
        <s:f>IF(AND(COUNT('Потребление (МВт·ч)'!C688:I688)=7,SUM('Потребление (МВт·ч)'!C688:I688)&gt;0),SUMIF(C688:I688,"&lt;&gt;",'Потребление (МВт·ч)'!C688:I688)/SUM('Потребление (МВт·ч)'!C688:I688),"")</s:f>
        <s:v>0.9549865488086088</s:v>
      </s:c>
    </s:row>
    <s:row r="689">
      <s:c r="A689" s="5" t="n">
        <s:v>46294</s:v>
      </s:c>
      <s:c r="B689" s="2" t="n">
        <s:v>12</s:v>
      </s:c>
      <s:c r="C689" s="6" t="n">
        <s:v>2165.501</s:v>
      </s:c>
      <s:c r="D689" s="6" t="n">
        <s:v>2963.388</s:v>
      </s:c>
      <s:c r="E689" s="6" t="n">
        <s:v>2428.48462</s:v>
      </s:c>
      <s:c r="F689" s="6" t="n">
        <s:v>2768.84668</s:v>
      </s:c>
      <s:c r="G689" s="6" t="n">
        <s:v>2292.31885</s:v>
      </s:c>
      <s:c r="H689" s="6" t="n">
        <s:v>1664.33337</s:v>
      </s:c>
      <s:c r="I689" s="6" t="n"/>
      <s:c r="J689" s="6" t="str">
        <s:f>IF(AND(COUNT(C689:I689)=7,COUNT('Потребление (МВт·ч)'!C689:I689)=7,SUM('Потребление (МВт·ч)'!C689:I689)&gt;0),SUMPRODUCT(C689:I689,'Потребление (МВт·ч)'!C689:I689)/SUM('Потребление (МВт·ч)'!C689:I689),"")</s:f>
      </s:c>
      <s:c r="K689" s="6" t="n">
        <s:f>IF(SUMIF(C689:I689,"&lt;&gt;",'Потребление (МВт·ч)'!C689:I689)&gt;0,SUMPRODUCT(C689:I689,'Потребление (МВт·ч)'!C689:I689)/SUMIF(C689:I689,"&lt;&gt;",'Потребление (МВт·ч)'!C689:I689),"")</s:f>
        <s:v>2384.337895139574</s:v>
      </s:c>
      <s:c r="L689" s="6" t="n">
        <s:f>IF(COUNT(C689:I689)&gt;0,AVERAGE(C689:I689),"")</s:f>
        <s:v>2380.4787533333333</s:v>
      </s:c>
      <s:c r="M689" s="10" t="n">
        <s:f>COUNT(C689:I689)</s:f>
        <s:v>6</s:v>
      </s:c>
      <s:c r="N689" s="11" t="n">
        <s:f>IF(AND(COUNT('Потребление (МВт·ч)'!C689:I689)=7,SUM('Потребление (МВт·ч)'!C689:I689)&gt;0),SUMIF(C689:I689,"&lt;&gt;",'Потребление (МВт·ч)'!C689:I689)/SUM('Потребление (МВт·ч)'!C689:I689),"")</s:f>
        <s:v>0.954224020723888</s:v>
      </s:c>
    </s:row>
    <s:row r="690">
      <s:c r="A690" s="5" t="n">
        <s:v>46294</s:v>
      </s:c>
      <s:c r="B690" s="2" t="n">
        <s:v>13</s:v>
      </s:c>
      <s:c r="C690" s="6" t="n">
        <s:v>2633.467</s:v>
      </s:c>
      <s:c r="D690" s="6" t="n">
        <s:v>3099.199</s:v>
      </s:c>
      <s:c r="E690" s="6" t="n">
        <s:v>2238.369</s:v>
      </s:c>
      <s:c r="F690" s="6" t="n">
        <s:v>2842.65259</s:v>
      </s:c>
      <s:c r="G690" s="6" t="n">
        <s:v>2308.89185</s:v>
      </s:c>
      <s:c r="H690" s="6" t="n">
        <s:v>1699.38647</s:v>
      </s:c>
      <s:c r="I690" s="6" t="n"/>
      <s:c r="J690" s="6" t="str">
        <s:f>IF(AND(COUNT(C690:I690)=7,COUNT('Потребление (МВт·ч)'!C690:I690)=7,SUM('Потребление (МВт·ч)'!C690:I690)&gt;0),SUMPRODUCT(C690:I690,'Потребление (МВт·ч)'!C690:I690)/SUM('Потребление (МВт·ч)'!C690:I690),"")</s:f>
      </s:c>
      <s:c r="K690" s="6" t="n">
        <s:f>IF(SUMIF(C690:I690,"&lt;&gt;",'Потребление (МВт·ч)'!C690:I690)&gt;0,SUMPRODUCT(C690:I690,'Потребление (МВт·ч)'!C690:I690)/SUMIF(C690:I690,"&lt;&gt;",'Потребление (МВт·ч)'!C690:I690),"")</s:f>
        <s:v>2459.7776850242553</s:v>
      </s:c>
      <s:c r="L690" s="6" t="n">
        <s:f>IF(COUNT(C690:I690)&gt;0,AVERAGE(C690:I690),"")</s:f>
        <s:v>2470.3276516666665</s:v>
      </s:c>
      <s:c r="M690" s="10" t="n">
        <s:f>COUNT(C690:I690)</s:f>
        <s:v>6</s:v>
      </s:c>
      <s:c r="N690" s="11" t="n">
        <s:f>IF(AND(COUNT('Потребление (МВт·ч)'!C690:I690)=7,SUM('Потребление (МВт·ч)'!C690:I690)&gt;0),SUMIF(C690:I690,"&lt;&gt;",'Потребление (МВт·ч)'!C690:I690)/SUM('Потребление (МВт·ч)'!C690:I690),"")</s:f>
        <s:v>0.9543513485468899</s:v>
      </s:c>
    </s:row>
    <s:row r="691">
      <s:c r="A691" s="5" t="n">
        <s:v>46294</s:v>
      </s:c>
      <s:c r="B691" s="2" t="n">
        <s:v>14</s:v>
      </s:c>
      <s:c r="C691" s="6" t="n">
        <s:v>2468.48584</s:v>
      </s:c>
      <s:c r="D691" s="6" t="n">
        <s:v>2900.88647</s:v>
      </s:c>
      <s:c r="E691" s="6" t="n">
        <s:v>2300.354</s:v>
      </s:c>
      <s:c r="F691" s="6" t="n">
        <s:v>2727.85156</s:v>
      </s:c>
      <s:c r="G691" s="6" t="n">
        <s:v>2286.496</s:v>
      </s:c>
      <s:c r="H691" s="6" t="n">
        <s:v>1776.41443</s:v>
      </s:c>
      <s:c r="I691" s="6" t="n"/>
      <s:c r="J691" s="6" t="str">
        <s:f>IF(AND(COUNT(C691:I691)=7,COUNT('Потребление (МВт·ч)'!C691:I691)=7,SUM('Потребление (МВт·ч)'!C691:I691)&gt;0),SUMPRODUCT(C691:I691,'Потребление (МВт·ч)'!C691:I691)/SUM('Потребление (МВт·ч)'!C691:I691),"")</s:f>
      </s:c>
      <s:c r="K691" s="6" t="n">
        <s:f>IF(SUMIF(C691:I691,"&lt;&gt;",'Потребление (МВт·ч)'!C691:I691)&gt;0,SUMPRODUCT(C691:I691,'Потребление (МВт·ч)'!C691:I691)/SUMIF(C691:I691,"&lt;&gt;",'Потребление (МВт·ч)'!C691:I691),"")</s:f>
        <s:v>2396.552169079906</s:v>
      </s:c>
      <s:c r="L691" s="6" t="n">
        <s:f>IF(COUNT(C691:I691)&gt;0,AVERAGE(C691:I691),"")</s:f>
        <s:v>2410.0813833333336</s:v>
      </s:c>
      <s:c r="M691" s="10" t="n">
        <s:f>COUNT(C691:I691)</s:f>
        <s:v>6</s:v>
      </s:c>
      <s:c r="N691" s="11" t="n">
        <s:f>IF(AND(COUNT('Потребление (МВт·ч)'!C691:I691)=7,SUM('Потребление (МВт·ч)'!C691:I691)&gt;0),SUMIF(C691:I691,"&lt;&gt;",'Потребление (МВт·ч)'!C691:I691)/SUM('Потребление (МВт·ч)'!C691:I691),"")</s:f>
        <s:v>0.9550716185880793</s:v>
      </s:c>
    </s:row>
    <s:row r="692">
      <s:c r="A692" s="5" t="n">
        <s:v>46294</s:v>
      </s:c>
      <s:c r="B692" s="2" t="n">
        <s:v>15</s:v>
      </s:c>
      <s:c r="C692" s="6" t="n">
        <s:v>2528.869</s:v>
      </s:c>
      <s:c r="D692" s="6" t="n">
        <s:v>2958.34448</s:v>
      </s:c>
      <s:c r="E692" s="6" t="n">
        <s:v>2387.94214</s:v>
      </s:c>
      <s:c r="F692" s="6" t="n">
        <s:v>2792.835</s:v>
      </s:c>
      <s:c r="G692" s="6" t="n">
        <s:v>2386.33887</s:v>
      </s:c>
      <s:c r="H692" s="6" t="n">
        <s:v>2025.80493</s:v>
      </s:c>
      <s:c r="I692" s="6" t="n"/>
      <s:c r="J692" s="6" t="str">
        <s:f>IF(AND(COUNT(C692:I692)=7,COUNT('Потребление (МВт·ч)'!C692:I692)=7,SUM('Потребление (МВт·ч)'!C692:I692)&gt;0),SUMPRODUCT(C692:I692,'Потребление (МВт·ч)'!C692:I692)/SUM('Потребление (МВт·ч)'!C692:I692),"")</s:f>
      </s:c>
      <s:c r="K692" s="6" t="n">
        <s:f>IF(SUMIF(C692:I692,"&lt;&gt;",'Потребление (МВт·ч)'!C692:I692)&gt;0,SUMPRODUCT(C692:I692,'Потребление (МВт·ч)'!C692:I692)/SUMIF(C692:I692,"&lt;&gt;",'Потребление (МВт·ч)'!C692:I692),"")</s:f>
        <s:v>2509.8254913327505</s:v>
      </s:c>
      <s:c r="L692" s="6" t="n">
        <s:f>IF(COUNT(C692:I692)&gt;0,AVERAGE(C692:I692),"")</s:f>
        <s:v>2513.355736666667</s:v>
      </s:c>
      <s:c r="M692" s="10" t="n">
        <s:f>COUNT(C692:I692)</s:f>
        <s:v>6</s:v>
      </s:c>
      <s:c r="N692" s="11" t="n">
        <s:f>IF(AND(COUNT('Потребление (МВт·ч)'!C692:I692)=7,SUM('Потребление (МВт·ч)'!C692:I692)&gt;0),SUMIF(C692:I692,"&lt;&gt;",'Потребление (МВт·ч)'!C692:I692)/SUM('Потребление (МВт·ч)'!C692:I692),"")</s:f>
        <s:v>0.9567434117940347</s:v>
      </s:c>
    </s:row>
    <s:row r="693">
      <s:c r="A693" s="5" t="n">
        <s:v>46294</s:v>
      </s:c>
      <s:c r="B693" s="2" t="n">
        <s:v>16</s:v>
      </s:c>
      <s:c r="C693" s="6" t="n">
        <s:v>2474.462</s:v>
      </s:c>
      <s:c r="D693" s="6" t="n">
        <s:v>2890.07568</s:v>
      </s:c>
      <s:c r="E693" s="6" t="n">
        <s:v>2618.38354</s:v>
      </s:c>
      <s:c r="F693" s="6" t="n">
        <s:v>2774.724</s:v>
      </s:c>
      <s:c r="G693" s="6" t="n">
        <s:v>2431.16382</s:v>
      </s:c>
      <s:c r="H693" s="6" t="n">
        <s:v>1989.25928</s:v>
      </s:c>
      <s:c r="I693" s="6" t="n"/>
      <s:c r="J693" s="6" t="str">
        <s:f>IF(AND(COUNT(C693:I693)=7,COUNT('Потребление (МВт·ч)'!C693:I693)=7,SUM('Потребление (МВт·ч)'!C693:I693)&gt;0),SUMPRODUCT(C693:I693,'Потребление (МВт·ч)'!C693:I693)/SUM('Потребление (МВт·ч)'!C693:I693),"")</s:f>
      </s:c>
      <s:c r="K693" s="6" t="n">
        <s:f>IF(SUMIF(C693:I693,"&lt;&gt;",'Потребление (МВт·ч)'!C693:I693)&gt;0,SUMPRODUCT(C693:I693,'Потребление (МВт·ч)'!C693:I693)/SUMIF(C693:I693,"&lt;&gt;",'Потребление (МВт·ч)'!C693:I693),"")</s:f>
        <s:v>2511.093279636177</s:v>
      </s:c>
      <s:c r="L693" s="6" t="n">
        <s:f>IF(COUNT(C693:I693)&gt;0,AVERAGE(C693:I693),"")</s:f>
        <s:v>2529.678053333333</s:v>
      </s:c>
      <s:c r="M693" s="10" t="n">
        <s:f>COUNT(C693:I693)</s:f>
        <s:v>6</s:v>
      </s:c>
      <s:c r="N693" s="11" t="n">
        <s:f>IF(AND(COUNT('Потребление (МВт·ч)'!C693:I693)=7,SUM('Потребление (МВт·ч)'!C693:I693)&gt;0),SUMIF(C693:I693,"&lt;&gt;",'Потребление (МВт·ч)'!C693:I693)/SUM('Потребление (МВт·ч)'!C693:I693),"")</s:f>
        <s:v>0.9577853390928031</s:v>
      </s:c>
    </s:row>
    <s:row r="694">
      <s:c r="A694" s="5" t="n">
        <s:v>46294</s:v>
      </s:c>
      <s:c r="B694" s="2" t="n">
        <s:v>17</s:v>
      </s:c>
      <s:c r="C694" s="6" t="n">
        <s:v>2531.93262</s:v>
      </s:c>
      <s:c r="D694" s="6" t="n">
        <s:v>2918.833</s:v>
      </s:c>
      <s:c r="E694" s="6" t="n">
        <s:v>2875.57422</s:v>
      </s:c>
      <s:c r="F694" s="6" t="n">
        <s:v>2765.44751</s:v>
      </s:c>
      <s:c r="G694" s="6" t="n">
        <s:v>2295.44727</s:v>
      </s:c>
      <s:c r="H694" s="6" t="n">
        <s:v>1606.4043</s:v>
      </s:c>
      <s:c r="I694" s="6" t="n"/>
      <s:c r="J694" s="6" t="str">
        <s:f>IF(AND(COUNT(C694:I694)=7,COUNT('Потребление (МВт·ч)'!C694:I694)=7,SUM('Потребление (МВт·ч)'!C694:I694)&gt;0),SUMPRODUCT(C694:I694,'Потребление (МВт·ч)'!C694:I694)/SUM('Потребление (МВт·ч)'!C694:I694),"")</s:f>
      </s:c>
      <s:c r="K694" s="6" t="n">
        <s:f>IF(SUMIF(C694:I694,"&lt;&gt;",'Потребление (МВт·ч)'!C694:I694)&gt;0,SUMPRODUCT(C694:I694,'Потребление (МВт·ч)'!C694:I694)/SUMIF(C694:I694,"&lt;&gt;",'Потребление (МВт·ч)'!C694:I694),"")</s:f>
        <s:v>2436.72868193955</s:v>
      </s:c>
      <s:c r="L694" s="6" t="n">
        <s:f>IF(COUNT(C694:I694)&gt;0,AVERAGE(C694:I694),"")</s:f>
        <s:v>2498.93982</s:v>
      </s:c>
      <s:c r="M694" s="10" t="n">
        <s:f>COUNT(C694:I694)</s:f>
        <s:v>6</s:v>
      </s:c>
      <s:c r="N694" s="11" t="n">
        <s:f>IF(AND(COUNT('Потребление (МВт·ч)'!C694:I694)=7,SUM('Потребление (МВт·ч)'!C694:I694)&gt;0),SUMIF(C694:I694,"&lt;&gt;",'Потребление (МВт·ч)'!C694:I694)/SUM('Потребление (МВт·ч)'!C694:I694),"")</s:f>
        <s:v>0.9596819352671072</s:v>
      </s:c>
    </s:row>
    <s:row r="695">
      <s:c r="A695" s="5" t="n">
        <s:v>46294</s:v>
      </s:c>
      <s:c r="B695" s="2" t="n">
        <s:v>18</s:v>
      </s:c>
      <s:c r="C695" s="6" t="n">
        <s:v>2690.79761</s:v>
      </s:c>
      <s:c r="D695" s="6" t="n">
        <s:v>3086.34741</s:v>
      </s:c>
      <s:c r="E695" s="6" t="n">
        <s:v>3015.449</s:v>
      </s:c>
      <s:c r="F695" s="6" t="n">
        <s:v>2845.765</s:v>
      </s:c>
      <s:c r="G695" s="6" t="n">
        <s:v>2313.72949</s:v>
      </s:c>
      <s:c r="H695" s="6" t="n">
        <s:v>811.6044000000001</s:v>
      </s:c>
      <s:c r="I695" s="6" t="n"/>
      <s:c r="J695" s="6" t="str">
        <s:f>IF(AND(COUNT(C695:I695)=7,COUNT('Потребление (МВт·ч)'!C695:I695)=7,SUM('Потребление (МВт·ч)'!C695:I695)&gt;0),SUMPRODUCT(C695:I695,'Потребление (МВт·ч)'!C695:I695)/SUM('Потребление (МВт·ч)'!C695:I695),"")</s:f>
      </s:c>
      <s:c r="K695" s="6" t="n">
        <s:f>IF(SUMIF(C695:I695,"&lt;&gt;",'Потребление (МВт·ч)'!C695:I695)&gt;0,SUMPRODUCT(C695:I695,'Потребление (МВт·ч)'!C695:I695)/SUMIF(C695:I695,"&lt;&gt;",'Потребление (МВт·ч)'!C695:I695),"")</s:f>
        <s:v>2374.033648254895</s:v>
      </s:c>
      <s:c r="L695" s="6" t="n">
        <s:f>IF(COUNT(C695:I695)&gt;0,AVERAGE(C695:I695),"")</s:f>
        <s:v>2460.615485</s:v>
      </s:c>
      <s:c r="M695" s="10" t="n">
        <s:f>COUNT(C695:I695)</s:f>
        <s:v>6</s:v>
      </s:c>
      <s:c r="N695" s="11" t="n">
        <s:f>IF(AND(COUNT('Потребление (МВт·ч)'!C695:I695)=7,SUM('Потребление (МВт·ч)'!C695:I695)&gt;0),SUMIF(C695:I695,"&lt;&gt;",'Потребление (МВт·ч)'!C695:I695)/SUM('Потребление (МВт·ч)'!C695:I695),"")</s:f>
        <s:v>0.9608018416410224</s:v>
      </s:c>
    </s:row>
    <s:row r="696">
      <s:c r="A696" s="5" t="n">
        <s:v>46294</s:v>
      </s:c>
      <s:c r="B696" s="2" t="n">
        <s:v>19</s:v>
      </s:c>
      <s:c r="C696" s="6" t="n">
        <s:v>2621.365</s:v>
      </s:c>
      <s:c r="D696" s="6" t="n">
        <s:v>2978.66772</s:v>
      </s:c>
      <s:c r="E696" s="6" t="n">
        <s:v>3036.00513</s:v>
      </s:c>
      <s:c r="F696" s="6" t="n">
        <s:v>2764.10156</s:v>
      </s:c>
      <s:c r="G696" s="6" t="n">
        <s:v>2253.38257</s:v>
      </s:c>
      <s:c r="H696" s="6" t="n">
        <s:v>766.5804440000001</s:v>
      </s:c>
      <s:c r="I696" s="6" t="n"/>
      <s:c r="J696" s="6" t="str">
        <s:f>IF(AND(COUNT(C696:I696)=7,COUNT('Потребление (МВт·ч)'!C696:I696)=7,SUM('Потребление (МВт·ч)'!C696:I696)&gt;0),SUMPRODUCT(C696:I696,'Потребление (МВт·ч)'!C696:I696)/SUM('Потребление (МВт·ч)'!C696:I696),"")</s:f>
      </s:c>
      <s:c r="K696" s="6" t="n">
        <s:f>IF(SUMIF(C696:I696,"&lt;&gt;",'Потребление (МВт·ч)'!C696:I696)&gt;0,SUMPRODUCT(C696:I696,'Потребление (МВт·ч)'!C696:I696)/SUMIF(C696:I696,"&lt;&gt;",'Потребление (МВт·ч)'!C696:I696),"")</s:f>
        <s:v>2311.23465008695</s:v>
      </s:c>
      <s:c r="L696" s="6" t="n">
        <s:f>IF(COUNT(C696:I696)&gt;0,AVERAGE(C696:I696),"")</s:f>
        <s:v>2403.350404</s:v>
      </s:c>
      <s:c r="M696" s="10" t="n">
        <s:f>COUNT(C696:I696)</s:f>
        <s:v>6</s:v>
      </s:c>
      <s:c r="N696" s="11" t="n">
        <s:f>IF(AND(COUNT('Потребление (МВт·ч)'!C696:I696)=7,SUM('Потребление (МВт·ч)'!C696:I696)&gt;0),SUMIF(C696:I696,"&lt;&gt;",'Потребление (МВт·ч)'!C696:I696)/SUM('Потребление (МВт·ч)'!C696:I696),"")</s:f>
        <s:v>0.961365707327694</s:v>
      </s:c>
    </s:row>
    <s:row r="697">
      <s:c r="A697" s="5" t="n">
        <s:v>46294</s:v>
      </s:c>
      <s:c r="B697" s="2" t="n">
        <s:v>20</s:v>
      </s:c>
      <s:c r="C697" s="6" t="n">
        <s:v>2670.785</s:v>
      </s:c>
      <s:c r="D697" s="6" t="n">
        <s:v>3054.58667</s:v>
      </s:c>
      <s:c r="E697" s="6" t="n">
        <s:v>3016.99683</s:v>
      </s:c>
      <s:c r="F697" s="6" t="n">
        <s:v>2804.92969</s:v>
      </s:c>
      <s:c r="G697" s="6" t="n">
        <s:v>2036.508</s:v>
      </s:c>
      <s:c r="H697" s="6" t="n">
        <s:v>482.741974</s:v>
      </s:c>
      <s:c r="I697" s="6" t="n"/>
      <s:c r="J697" s="6" t="str">
        <s:f>IF(AND(COUNT(C697:I697)=7,COUNT('Потребление (МВт·ч)'!C697:I697)=7,SUM('Потребление (МВт·ч)'!C697:I697)&gt;0),SUMPRODUCT(C697:I697,'Потребление (МВт·ч)'!C697:I697)/SUM('Потребление (МВт·ч)'!C697:I697),"")</s:f>
      </s:c>
      <s:c r="K697" s="6" t="n">
        <s:f>IF(SUMIF(C697:I697,"&lt;&gt;",'Потребление (МВт·ч)'!C697:I697)&gt;0,SUMPRODUCT(C697:I697,'Потребление (МВт·ч)'!C697:I697)/SUMIF(C697:I697,"&lt;&gt;",'Потребление (МВт·ч)'!C697:I697),"")</s:f>
        <s:v>2234.4952442237895</s:v>
      </s:c>
      <s:c r="L697" s="6" t="n">
        <s:f>IF(COUNT(C697:I697)&gt;0,AVERAGE(C697:I697),"")</s:f>
        <s:v>2344.4246940000003</s:v>
      </s:c>
      <s:c r="M697" s="10" t="n">
        <s:f>COUNT(C697:I697)</s:f>
        <s:v>6</s:v>
      </s:c>
      <s:c r="N697" s="11" t="n">
        <s:f>IF(AND(COUNT('Потребление (МВт·ч)'!C697:I697)=7,SUM('Потребление (МВт·ч)'!C697:I697)&gt;0),SUMIF(C697:I697,"&lt;&gt;",'Потребление (МВт·ч)'!C697:I697)/SUM('Потребление (МВт·ч)'!C697:I697),"")</s:f>
        <s:v>0.9600766869903647</s:v>
      </s:c>
    </s:row>
    <s:row r="698">
      <s:c r="A698" s="5" t="n">
        <s:v>46294</s:v>
      </s:c>
      <s:c r="B698" s="2" t="n">
        <s:v>21</s:v>
      </s:c>
      <s:c r="C698" s="6" t="n">
        <s:v>2368.30542</s:v>
      </s:c>
      <s:c r="D698" s="6" t="n">
        <s:v>2682.73853</s:v>
      </s:c>
      <s:c r="E698" s="6" t="n">
        <s:v>2612.22314</s:v>
      </s:c>
      <s:c r="F698" s="6" t="n">
        <s:v>2471.08618</s:v>
      </s:c>
      <s:c r="G698" s="6" t="n">
        <s:v>1685.36169</s:v>
      </s:c>
      <s:c r="H698" s="6" t="n">
        <s:v>849.5434</s:v>
      </s:c>
      <s:c r="I698" s="6" t="n"/>
      <s:c r="J698" s="6" t="str">
        <s:f>IF(AND(COUNT(C698:I698)=7,COUNT('Потребление (МВт·ч)'!C698:I698)=7,SUM('Потребление (МВт·ч)'!C698:I698)&gt;0),SUMPRODUCT(C698:I698,'Потребление (МВт·ч)'!C698:I698)/SUM('Потребление (МВт·ч)'!C698:I698),"")</s:f>
      </s:c>
      <s:c r="K698" s="6" t="n">
        <s:f>IF(SUMIF(C698:I698,"&lt;&gt;",'Потребление (МВт·ч)'!C698:I698)&gt;0,SUMPRODUCT(C698:I698,'Потребление (МВт·ч)'!C698:I698)/SUMIF(C698:I698,"&lt;&gt;",'Потребление (МВт·ч)'!C698:I698),"")</s:f>
        <s:v>2017.0037690317758</s:v>
      </s:c>
      <s:c r="L698" s="6" t="n">
        <s:f>IF(COUNT(C698:I698)&gt;0,AVERAGE(C698:I698),"")</s:f>
        <s:v>2111.54306</s:v>
      </s:c>
      <s:c r="M698" s="10" t="n">
        <s:f>COUNT(C698:I698)</s:f>
        <s:v>6</s:v>
      </s:c>
      <s:c r="N698" s="11" t="n">
        <s:f>IF(AND(COUNT('Потребление (МВт·ч)'!C698:I698)=7,SUM('Потребление (МВт·ч)'!C698:I698)&gt;0),SUMIF(C698:I698,"&lt;&gt;",'Потребление (МВт·ч)'!C698:I698)/SUM('Потребление (МВт·ч)'!C698:I698),"")</s:f>
        <s:v>0.9587901605148687</s:v>
      </s:c>
    </s:row>
    <s:row r="699">
      <s:c r="A699" s="5" t="n">
        <s:v>46294</s:v>
      </s:c>
      <s:c r="B699" s="2" t="n">
        <s:v>22</s:v>
      </s:c>
      <s:c r="C699" s="6" t="n">
        <s:v>1825.2395</s:v>
      </s:c>
      <s:c r="D699" s="6" t="n">
        <s:v>2107.19849</s:v>
      </s:c>
      <s:c r="E699" s="6" t="n">
        <s:v>2065.33838</s:v>
      </s:c>
      <s:c r="F699" s="6" t="n">
        <s:v>1989.39087</s:v>
      </s:c>
      <s:c r="G699" s="6" t="n">
        <s:v>1606.106</s:v>
      </s:c>
      <s:c r="H699" s="6" t="n">
        <s:v>808.8529</s:v>
      </s:c>
      <s:c r="I699" s="6" t="n"/>
      <s:c r="J699" s="6" t="str">
        <s:f>IF(AND(COUNT(C699:I699)=7,COUNT('Потребление (МВт·ч)'!C699:I699)=7,SUM('Потребление (МВт·ч)'!C699:I699)&gt;0),SUMPRODUCT(C699:I699,'Потребление (МВт·ч)'!C699:I699)/SUM('Потребление (МВт·ч)'!C699:I699),"")</s:f>
      </s:c>
      <s:c r="K699" s="6" t="n">
        <s:f>IF(SUMIF(C699:I699,"&lt;&gt;",'Потребление (МВт·ч)'!C699:I699)&gt;0,SUMPRODUCT(C699:I699,'Потребление (МВт·ч)'!C699:I699)/SUMIF(C699:I699,"&lt;&gt;",'Потребление (МВт·ч)'!C699:I699),"")</s:f>
        <s:v>1668.1539665834284</s:v>
      </s:c>
      <s:c r="L699" s="6" t="n">
        <s:f>IF(COUNT(C699:I699)&gt;0,AVERAGE(C699:I699),"")</s:f>
        <s:v>1733.68769</s:v>
      </s:c>
      <s:c r="M699" s="10" t="n">
        <s:f>COUNT(C699:I699)</s:f>
        <s:v>6</s:v>
      </s:c>
      <s:c r="N699" s="11" t="n">
        <s:f>IF(AND(COUNT('Потребление (МВт·ч)'!C699:I699)=7,SUM('Потребление (МВт·ч)'!C699:I699)&gt;0),SUMIF(C699:I699,"&lt;&gt;",'Потребление (МВт·ч)'!C699:I699)/SUM('Потребление (МВт·ч)'!C699:I699),"")</s:f>
        <s:v>0.9565576434827681</s:v>
      </s:c>
    </s:row>
    <s:row r="700">
      <s:c r="A700" s="5" t="n">
        <s:v>46294</s:v>
      </s:c>
      <s:c r="B700" s="2" t="n">
        <s:v>23</s:v>
      </s:c>
      <s:c r="C700" s="6" t="n">
        <s:v>1791.33459</s:v>
      </s:c>
      <s:c r="D700" s="6" t="n">
        <s:v>2071.29175</s:v>
      </s:c>
      <s:c r="E700" s="6" t="n">
        <s:v>2023.91162</s:v>
      </s:c>
      <s:c r="F700" s="6" t="n">
        <s:v>1989.166</s:v>
      </s:c>
      <s:c r="G700" s="6" t="n">
        <s:v>1603.0304</s:v>
      </s:c>
      <s:c r="H700" s="6" t="n">
        <s:v>455.588684</s:v>
      </s:c>
      <s:c r="I700" s="6" t="n"/>
      <s:c r="J700" s="6" t="str">
        <s:f>IF(AND(COUNT(C700:I700)=7,COUNT('Потребление (МВт·ч)'!C700:I700)=7,SUM('Потребление (МВт·ч)'!C700:I700)&gt;0),SUMPRODUCT(C700:I700,'Потребление (МВт·ч)'!C700:I700)/SUM('Потребление (МВт·ч)'!C700:I700),"")</s:f>
      </s:c>
      <s:c r="K700" s="6" t="n">
        <s:f>IF(SUMIF(C700:I700,"&lt;&gt;",'Потребление (МВт·ч)'!C700:I700)&gt;0,SUMPRODUCT(C700:I700,'Потребление (МВт·ч)'!C700:I700)/SUMIF(C700:I700,"&lt;&gt;",'Потребление (МВт·ч)'!C700:I700),"")</s:f>
        <s:v>1560.0784153966445</s:v>
      </s:c>
      <s:c r="L700" s="6" t="n">
        <s:f>IF(COUNT(C700:I700)&gt;0,AVERAGE(C700:I700),"")</s:f>
        <s:v>1655.7205073333334</s:v>
      </s:c>
      <s:c r="M700" s="10" t="n">
        <s:f>COUNT(C700:I700)</s:f>
        <s:v>6</s:v>
      </s:c>
      <s:c r="N700" s="11" t="n">
        <s:f>IF(AND(COUNT('Потребление (МВт·ч)'!C700:I700)=7,SUM('Потребление (МВт·ч)'!C700:I700)&gt;0),SUMIF(C700:I700,"&lt;&gt;",'Потребление (МВт·ч)'!C700:I700)/SUM('Потребление (МВт·ч)'!C700:I700),"")</s:f>
        <s:v>0.9522585450482773</s:v>
      </s:c>
    </s:row>
    <s:row r="701">
      <s:c r="A701" s="5" t="n">
        <s:v>46295</s:v>
      </s:c>
      <s:c r="B701" s="2" t="n">
        <s:v>0</s:v>
      </s:c>
      <s:c r="C701" s="6" t="n">
        <s:v>1758.06042</s:v>
      </s:c>
      <s:c r="D701" s="6" t="n">
        <s:v>2041.44629</s:v>
      </s:c>
      <s:c r="E701" s="6" t="n">
        <s:v>2053.54565</s:v>
      </s:c>
      <s:c r="F701" s="6" t="n">
        <s:v>1986.86218</s:v>
      </s:c>
      <s:c r="G701" s="6" t="n">
        <s:v>1609.74841</s:v>
      </s:c>
      <s:c r="H701" s="6" t="n">
        <s:v>1500.3197</s:v>
      </s:c>
      <s:c r="I701" s="6" t="n"/>
      <s:c r="J701" s="6" t="str">
        <s:f>IF(AND(COUNT(C701:I701)=7,COUNT('Потребление (МВт·ч)'!C701:I701)=7,SUM('Потребление (МВт·ч)'!C701:I701)&gt;0),SUMPRODUCT(C701:I701,'Потребление (МВт·ч)'!C701:I701)/SUM('Потребление (МВт·ч)'!C701:I701),"")</s:f>
      </s:c>
      <s:c r="K701" s="6" t="n">
        <s:f>IF(SUMIF(C701:I701,"&lt;&gt;",'Потребление (МВт·ч)'!C701:I701)&gt;0,SUMPRODUCT(C701:I701,'Потребление (МВт·ч)'!C701:I701)/SUMIF(C701:I701,"&lt;&gt;",'Потребление (МВт·ч)'!C701:I701),"")</s:f>
        <s:v>1785.1965187095705</s:v>
      </s:c>
      <s:c r="L701" s="6" t="n">
        <s:f>IF(COUNT(C701:I701)&gt;0,AVERAGE(C701:I701),"")</s:f>
        <s:v>1824.9971083333332</s:v>
      </s:c>
      <s:c r="M701" s="10" t="n">
        <s:f>COUNT(C701:I701)</s:f>
        <s:v>6</s:v>
      </s:c>
      <s:c r="N701" s="11" t="n">
        <s:f>IF(AND(COUNT('Потребление (МВт·ч)'!C701:I701)=7,SUM('Потребление (МВт·ч)'!C701:I701)&gt;0),SUMIF(C701:I701,"&lt;&gt;",'Потребление (МВт·ч)'!C701:I701)/SUM('Потребление (МВт·ч)'!C701:I701),"")</s:f>
        <s:v>0.9493436178891937</s:v>
      </s:c>
    </s:row>
    <s:row r="702">
      <s:c r="A702" s="5" t="n">
        <s:v>46295</s:v>
      </s:c>
      <s:c r="B702" s="2" t="n">
        <s:v>1</s:v>
      </s:c>
      <s:c r="C702" s="6" t="n">
        <s:v>1726.80737</s:v>
      </s:c>
      <s:c r="D702" s="6" t="n">
        <s:v>1997.14392</s:v>
      </s:c>
      <s:c r="E702" s="6" t="n">
        <s:v>2035.729</s:v>
      </s:c>
      <s:c r="F702" s="6" t="n">
        <s:v>1958.21533</s:v>
      </s:c>
      <s:c r="G702" s="6" t="n">
        <s:v>1747.27209</s:v>
      </s:c>
      <s:c r="H702" s="6" t="n">
        <s:v>1548.25134</s:v>
      </s:c>
      <s:c r="I702" s="6" t="n"/>
      <s:c r="J702" s="6" t="str">
        <s:f>IF(AND(COUNT(C702:I702)=7,COUNT('Потребление (МВт·ч)'!C702:I702)=7,SUM('Потребление (МВт·ч)'!C702:I702)&gt;0),SUMPRODUCT(C702:I702,'Потребление (МВт·ч)'!C702:I702)/SUM('Потребление (МВт·ч)'!C702:I702),"")</s:f>
      </s:c>
      <s:c r="K702" s="6" t="n">
        <s:f>IF(SUMIF(C702:I702,"&lt;&gt;",'Потребление (МВт·ч)'!C702:I702)&gt;0,SUMPRODUCT(C702:I702,'Потребление (МВт·ч)'!C702:I702)/SUMIF(C702:I702,"&lt;&gt;",'Потребление (МВт·ч)'!C702:I702),"")</s:f>
        <s:v>1806.307076188411</s:v>
      </s:c>
      <s:c r="L702" s="6" t="n">
        <s:f>IF(COUNT(C702:I702)&gt;0,AVERAGE(C702:I702),"")</s:f>
        <s:v>1835.5698416666667</s:v>
      </s:c>
      <s:c r="M702" s="10" t="n">
        <s:f>COUNT(C702:I702)</s:f>
        <s:v>6</s:v>
      </s:c>
      <s:c r="N702" s="11" t="n">
        <s:f>IF(AND(COUNT('Потребление (МВт·ч)'!C702:I702)=7,SUM('Потребление (МВт·ч)'!C702:I702)&gt;0),SUMIF(C702:I702,"&lt;&gt;",'Потребление (МВт·ч)'!C702:I702)/SUM('Потребление (МВт·ч)'!C702:I702),"")</s:f>
        <s:v>0.9485892832159679</s:v>
      </s:c>
    </s:row>
    <s:row r="703">
      <s:c r="A703" s="5" t="n">
        <s:v>46295</s:v>
      </s:c>
      <s:c r="B703" s="2" t="n">
        <s:v>2</s:v>
      </s:c>
      <s:c r="C703" s="6" t="n">
        <s:v>1733.05713</s:v>
      </s:c>
      <s:c r="D703" s="6" t="n">
        <s:v>1980.81445</s:v>
      </s:c>
      <s:c r="E703" s="6" t="n">
        <s:v>1996.62451</s:v>
      </s:c>
      <s:c r="F703" s="6" t="n">
        <s:v>1958.05627</s:v>
      </s:c>
      <s:c r="G703" s="6" t="n">
        <s:v>1778.204</s:v>
      </s:c>
      <s:c r="H703" s="6" t="n">
        <s:v>1636.7063</s:v>
      </s:c>
      <s:c r="I703" s="6" t="n"/>
      <s:c r="J703" s="6" t="str">
        <s:f>IF(AND(COUNT(C703:I703)=7,COUNT('Потребление (МВт·ч)'!C703:I703)=7,SUM('Потребление (МВт·ч)'!C703:I703)&gt;0),SUMPRODUCT(C703:I703,'Потребление (МВт·ч)'!C703:I703)/SUM('Потребление (МВт·ч)'!C703:I703),"")</s:f>
      </s:c>
      <s:c r="K703" s="6" t="n">
        <s:f>IF(SUMIF(C703:I703,"&lt;&gt;",'Потребление (МВт·ч)'!C703:I703)&gt;0,SUMPRODUCT(C703:I703,'Потребление (МВт·ч)'!C703:I703)/SUMIF(C703:I703,"&lt;&gt;",'Потребление (МВт·ч)'!C703:I703),"")</s:f>
        <s:v>1825.904497111753</s:v>
      </s:c>
      <s:c r="L703" s="6" t="n">
        <s:f>IF(COUNT(C703:I703)&gt;0,AVERAGE(C703:I703),"")</s:f>
        <s:v>1847.243776666667</s:v>
      </s:c>
      <s:c r="M703" s="10" t="n">
        <s:f>COUNT(C703:I703)</s:f>
        <s:v>6</s:v>
      </s:c>
      <s:c r="N703" s="11" t="n">
        <s:f>IF(AND(COUNT('Потребление (МВт·ч)'!C703:I703)=7,SUM('Потребление (МВт·ч)'!C703:I703)&gt;0),SUMIF(C703:I703,"&lt;&gt;",'Потребление (МВт·ч)'!C703:I703)/SUM('Потребление (МВт·ч)'!C703:I703),"")</s:f>
        <s:v>0.9489706141122647</s:v>
      </s:c>
    </s:row>
    <s:row r="704">
      <s:c r="A704" s="5" t="n">
        <s:v>46295</s:v>
      </s:c>
      <s:c r="B704" s="2" t="n">
        <s:v>3</s:v>
      </s:c>
      <s:c r="C704" s="6" t="n">
        <s:v>1729.65186</s:v>
      </s:c>
      <s:c r="D704" s="6" t="n">
        <s:v>1989.40894</s:v>
      </s:c>
      <s:c r="E704" s="6" t="n">
        <s:v>2001.07739</s:v>
      </s:c>
      <s:c r="F704" s="6" t="n">
        <s:v>1974.1521</s:v>
      </s:c>
      <s:c r="G704" s="6" t="n">
        <s:v>1805.76111</s:v>
      </s:c>
      <s:c r="H704" s="6" t="n">
        <s:v>1740.55371</s:v>
      </s:c>
      <s:c r="I704" s="6" t="n"/>
      <s:c r="J704" s="6" t="str">
        <s:f>IF(AND(COUNT(C704:I704)=7,COUNT('Потребление (МВт·ч)'!C704:I704)=7,SUM('Потребление (МВт·ч)'!C704:I704)&gt;0),SUMPRODUCT(C704:I704,'Потребление (МВт·ч)'!C704:I704)/SUM('Потребление (МВт·ч)'!C704:I704),"")</s:f>
      </s:c>
      <s:c r="K704" s="6" t="n">
        <s:f>IF(SUMIF(C704:I704,"&lt;&gt;",'Потребление (МВт·ч)'!C704:I704)&gt;0,SUMPRODUCT(C704:I704,'Потребление (МВт·ч)'!C704:I704)/SUMIF(C704:I704,"&lt;&gt;",'Потребление (МВт·ч)'!C704:I704),"")</s:f>
        <s:v>1860.9694594514117</s:v>
      </s:c>
      <s:c r="L704" s="6" t="n">
        <s:f>IF(COUNT(C704:I704)&gt;0,AVERAGE(C704:I704),"")</s:f>
        <s:v>1873.434185</s:v>
      </s:c>
      <s:c r="M704" s="10" t="n">
        <s:f>COUNT(C704:I704)</s:f>
        <s:v>6</s:v>
      </s:c>
      <s:c r="N704" s="11" t="n">
        <s:f>IF(AND(COUNT('Потребление (МВт·ч)'!C704:I704)=7,SUM('Потребление (МВт·ч)'!C704:I704)&gt;0),SUMIF(C704:I704,"&lt;&gt;",'Потребление (МВт·ч)'!C704:I704)/SUM('Потребление (МВт·ч)'!C704:I704),"")</s:f>
        <s:v>0.9499025755155187</s:v>
      </s:c>
    </s:row>
    <s:row r="705">
      <s:c r="A705" s="5" t="n">
        <s:v>46295</s:v>
      </s:c>
      <s:c r="B705" s="2" t="n">
        <s:v>4</s:v>
      </s:c>
      <s:c r="C705" s="6" t="n">
        <s:v>1830.72229</s:v>
      </s:c>
      <s:c r="D705" s="6" t="n">
        <s:v>2133.07227</s:v>
      </s:c>
      <s:c r="E705" s="6" t="n">
        <s:v>2190.56128</s:v>
      </s:c>
      <s:c r="F705" s="6" t="n">
        <s:v>2124.50513</s:v>
      </s:c>
      <s:c r="G705" s="6" t="n">
        <s:v>1914.988</s:v>
      </s:c>
      <s:c r="H705" s="6" t="n">
        <s:v>1848.41406</s:v>
      </s:c>
      <s:c r="I705" s="6" t="n"/>
      <s:c r="J705" s="6" t="str">
        <s:f>IF(AND(COUNT(C705:I705)=7,COUNT('Потребление (МВт·ч)'!C705:I705)=7,SUM('Потребление (МВт·ч)'!C705:I705)&gt;0),SUMPRODUCT(C705:I705,'Потребление (МВт·ч)'!C705:I705)/SUM('Потребление (МВт·ч)'!C705:I705),"")</s:f>
      </s:c>
      <s:c r="K705" s="6" t="n">
        <s:f>IF(SUMIF(C705:I705,"&lt;&gt;",'Потребление (МВт·ч)'!C705:I705)&gt;0,SUMPRODUCT(C705:I705,'Потребление (МВт·ч)'!C705:I705)/SUMIF(C705:I705,"&lt;&gt;",'Потребление (МВт·ч)'!C705:I705),"")</s:f>
        <s:v>1988.8303776330204</s:v>
      </s:c>
      <s:c r="L705" s="6" t="n">
        <s:f>IF(COUNT(C705:I705)&gt;0,AVERAGE(C705:I705),"")</s:f>
        <s:v>2007.043838333333</s:v>
      </s:c>
      <s:c r="M705" s="10" t="n">
        <s:f>COUNT(C705:I705)</s:f>
        <s:v>6</s:v>
      </s:c>
      <s:c r="N705" s="11" t="n">
        <s:f>IF(AND(COUNT('Потребление (МВт·ч)'!C705:I705)=7,SUM('Потребление (МВт·ч)'!C705:I705)&gt;0),SUMIF(C705:I705,"&lt;&gt;",'Потребление (МВт·ч)'!C705:I705)/SUM('Потребление (МВт·ч)'!C705:I705),"")</s:f>
        <s:v>0.9511372371693421</s:v>
      </s:c>
    </s:row>
    <s:row r="706">
      <s:c r="A706" s="5" t="n">
        <s:v>46295</s:v>
      </s:c>
      <s:c r="B706" s="2" t="n">
        <s:v>5</s:v>
      </s:c>
      <s:c r="C706" s="6" t="n">
        <s:v>2079.83032</s:v>
      </s:c>
      <s:c r="D706" s="6" t="n">
        <s:v>2437.35376</s:v>
      </s:c>
      <s:c r="E706" s="6" t="n">
        <s:v>2512.81836</s:v>
      </s:c>
      <s:c r="F706" s="6" t="n">
        <s:v>2387.42017</s:v>
      </s:c>
      <s:c r="G706" s="6" t="n">
        <s:v>2073.69043</s:v>
      </s:c>
      <s:c r="H706" s="6" t="n">
        <s:v>1976.06934</s:v>
      </s:c>
      <s:c r="I706" s="6" t="n"/>
      <s:c r="J706" s="6" t="str">
        <s:f>IF(AND(COUNT(C706:I706)=7,COUNT('Потребление (МВт·ч)'!C706:I706)=7,SUM('Потребление (МВт·ч)'!C706:I706)&gt;0),SUMPRODUCT(C706:I706,'Потребление (МВт·ч)'!C706:I706)/SUM('Потребление (МВт·ч)'!C706:I706),"")</s:f>
      </s:c>
      <s:c r="K706" s="6" t="n">
        <s:f>IF(SUMIF(C706:I706,"&lt;&gt;",'Потребление (МВт·ч)'!C706:I706)&gt;0,SUMPRODUCT(C706:I706,'Потребление (МВт·ч)'!C706:I706)/SUMIF(C706:I706,"&lt;&gt;",'Потребление (МВт·ч)'!C706:I706),"")</s:f>
        <s:v>2211.7336530668954</s:v>
      </s:c>
      <s:c r="L706" s="6" t="n">
        <s:f>IF(COUNT(C706:I706)&gt;0,AVERAGE(C706:I706),"")</s:f>
        <s:v>2244.5303966666665</s:v>
      </s:c>
      <s:c r="M706" s="10" t="n">
        <s:f>COUNT(C706:I706)</s:f>
        <s:v>6</s:v>
      </s:c>
      <s:c r="N706" s="11" t="n">
        <s:f>IF(AND(COUNT('Потребление (МВт·ч)'!C706:I706)=7,SUM('Потребление (МВт·ч)'!C706:I706)&gt;0),SUMIF(C706:I706,"&lt;&gt;",'Потребление (МВт·ч)'!C706:I706)/SUM('Потребление (МВт·ч)'!C706:I706),"")</s:f>
        <s:v>0.9530886850152905</s:v>
      </s:c>
    </s:row>
    <s:row r="707">
      <s:c r="A707" s="5" t="n">
        <s:v>46295</s:v>
      </s:c>
      <s:c r="B707" s="2" t="n">
        <s:v>6</s:v>
      </s:c>
      <s:c r="C707" s="6" t="n">
        <s:v>2316.77</s:v>
      </s:c>
      <s:c r="D707" s="6" t="n">
        <s:v>2707.445</s:v>
      </s:c>
      <s:c r="E707" s="6" t="n">
        <s:v>2877.3916</s:v>
      </s:c>
      <s:c r="F707" s="6" t="n">
        <s:v>2650.7</s:v>
      </s:c>
      <s:c r="G707" s="6" t="n">
        <s:v>2102.46436</s:v>
      </s:c>
      <s:c r="H707" s="6" t="n">
        <s:v>1967.90808</s:v>
      </s:c>
      <s:c r="I707" s="6" t="n"/>
      <s:c r="J707" s="6" t="str">
        <s:f>IF(AND(COUNT(C707:I707)=7,COUNT('Потребление (МВт·ч)'!C707:I707)=7,SUM('Потребление (МВт·ч)'!C707:I707)&gt;0),SUMPRODUCT(C707:I707,'Потребление (МВт·ч)'!C707:I707)/SUM('Потребление (МВт·ч)'!C707:I707),"")</s:f>
      </s:c>
      <s:c r="K707" s="6" t="n">
        <s:f>IF(SUMIF(C707:I707,"&lt;&gt;",'Потребление (МВт·ч)'!C707:I707)&gt;0,SUMPRODUCT(C707:I707,'Потребление (МВт·ч)'!C707:I707)/SUMIF(C707:I707,"&lt;&gt;",'Потребление (МВт·ч)'!C707:I707),"")</s:f>
        <s:v>2371.4594284338586</s:v>
      </s:c>
      <s:c r="L707" s="6" t="n">
        <s:f>IF(COUNT(C707:I707)&gt;0,AVERAGE(C707:I707),"")</s:f>
        <s:v>2437.113173333333</s:v>
      </s:c>
      <s:c r="M707" s="10" t="n">
        <s:f>COUNT(C707:I707)</s:f>
        <s:v>6</s:v>
      </s:c>
      <s:c r="N707" s="11" t="n">
        <s:f>IF(AND(COUNT('Потребление (МВт·ч)'!C707:I707)=7,SUM('Потребление (МВт·ч)'!C707:I707)&gt;0),SUMIF(C707:I707,"&lt;&gt;",'Потребление (МВт·ч)'!C707:I707)/SUM('Потребление (МВт·ч)'!C707:I707),"")</s:f>
        <s:v>0.9546022736870555</s:v>
      </s:c>
    </s:row>
    <s:row r="708">
      <s:c r="A708" s="5" t="n">
        <s:v>46295</s:v>
      </s:c>
      <s:c r="B708" s="2" t="n">
        <s:v>7</s:v>
      </s:c>
      <s:c r="C708" s="6" t="n">
        <s:v>2524.26</s:v>
      </s:c>
      <s:c r="D708" s="6" t="n">
        <s:v>2943.89868</s:v>
      </s:c>
      <s:c r="E708" s="6" t="n">
        <s:v>2995.82056</s:v>
      </s:c>
      <s:c r="F708" s="6" t="n">
        <s:v>2799.26074</s:v>
      </s:c>
      <s:c r="G708" s="6" t="n">
        <s:v>2156.72852</s:v>
      </s:c>
      <s:c r="H708" s="6" t="n">
        <s:v>1811.94434</s:v>
      </s:c>
      <s:c r="I708" s="6" t="n"/>
      <s:c r="J708" s="6" t="str">
        <s:f>IF(AND(COUNT(C708:I708)=7,COUNT('Потребление (МВт·ч)'!C708:I708)=7,SUM('Потребление (МВт·ч)'!C708:I708)&gt;0),SUMPRODUCT(C708:I708,'Потребление (МВт·ч)'!C708:I708)/SUM('Потребление (МВт·ч)'!C708:I708),"")</s:f>
      </s:c>
      <s:c r="K708" s="6" t="n">
        <s:f>IF(SUMIF(C708:I708,"&lt;&gt;",'Потребление (МВт·ч)'!C708:I708)&gt;0,SUMPRODUCT(C708:I708,'Потребление (МВт·ч)'!C708:I708)/SUMIF(C708:I708,"&lt;&gt;",'Потребление (МВт·ч)'!C708:I708),"")</s:f>
        <s:v>2464.9878670760318</s:v>
      </s:c>
      <s:c r="L708" s="6" t="n">
        <s:f>IF(COUNT(C708:I708)&gt;0,AVERAGE(C708:I708),"")</s:f>
        <s:v>2538.65214</s:v>
      </s:c>
      <s:c r="M708" s="10" t="n">
        <s:f>COUNT(C708:I708)</s:f>
        <s:v>6</s:v>
      </s:c>
      <s:c r="N708" s="11" t="n">
        <s:f>IF(AND(COUNT('Потребление (МВт·ч)'!C708:I708)=7,SUM('Потребление (МВт·ч)'!C708:I708)&gt;0),SUMIF(C708:I708,"&lt;&gt;",'Потребление (МВт·ч)'!C708:I708)/SUM('Потребление (МВт·ч)'!C708:I708),"")</s:f>
        <s:v>0.956233660130719</s:v>
      </s:c>
    </s:row>
    <s:row r="709">
      <s:c r="A709" s="5" t="n">
        <s:v>46295</s:v>
      </s:c>
      <s:c r="B709" s="2" t="n">
        <s:v>8</s:v>
      </s:c>
      <s:c r="C709" s="6" t="n">
        <s:v>2657.8623</s:v>
      </s:c>
      <s:c r="D709" s="6" t="n">
        <s:v>3099.22534</s:v>
      </s:c>
      <s:c r="E709" s="6" t="n">
        <s:v>3013.77319</s:v>
      </s:c>
      <s:c r="F709" s="6" t="n">
        <s:v>2887.09253</s:v>
      </s:c>
      <s:c r="G709" s="6" t="n">
        <s:v>2183.69751</s:v>
      </s:c>
      <s:c r="H709" s="6" t="n">
        <s:v>1207.72729</s:v>
      </s:c>
      <s:c r="I709" s="6" t="n"/>
      <s:c r="J709" s="6" t="str">
        <s:f>IF(AND(COUNT(C709:I709)=7,COUNT('Потребление (МВт·ч)'!C709:I709)=7,SUM('Потребление (МВт·ч)'!C709:I709)&gt;0),SUMPRODUCT(C709:I709,'Потребление (МВт·ч)'!C709:I709)/SUM('Потребление (МВт·ч)'!C709:I709),"")</s:f>
      </s:c>
      <s:c r="K709" s="6" t="n">
        <s:f>IF(SUMIF(C709:I709,"&lt;&gt;",'Потребление (МВт·ч)'!C709:I709)&gt;0,SUMPRODUCT(C709:I709,'Потребление (МВт·ч)'!C709:I709)/SUMIF(C709:I709,"&lt;&gt;",'Потребление (МВт·ч)'!C709:I709),"")</s:f>
        <s:v>2410.492010324684</s:v>
      </s:c>
      <s:c r="L709" s="6" t="n">
        <s:f>IF(COUNT(C709:I709)&gt;0,AVERAGE(C709:I709),"")</s:f>
        <s:v>2508.229693333333</s:v>
      </s:c>
      <s:c r="M709" s="10" t="n">
        <s:f>COUNT(C709:I709)</s:f>
        <s:v>6</s:v>
      </s:c>
      <s:c r="N709" s="11" t="n">
        <s:f>IF(AND(COUNT('Потребление (МВт·ч)'!C709:I709)=7,SUM('Потребление (МВт·ч)'!C709:I709)&gt;0),SUMIF(C709:I709,"&lt;&gt;",'Потребление (МВт·ч)'!C709:I709)/SUM('Потребление (МВт·ч)'!C709:I709),"")</s:f>
        <s:v>0.9567985014802645</s:v>
      </s:c>
    </s:row>
    <s:row r="710">
      <s:c r="A710" s="5" t="n">
        <s:v>46295</s:v>
      </s:c>
      <s:c r="B710" s="2" t="n">
        <s:v>9</s:v>
      </s:c>
      <s:c r="C710" s="6" t="n">
        <s:v>2382.407</s:v>
      </s:c>
      <s:c r="D710" s="6" t="n">
        <s:v>3225.94</s:v>
      </s:c>
      <s:c r="E710" s="6" t="n">
        <s:v>3016.899</s:v>
      </s:c>
      <s:c r="F710" s="6" t="n">
        <s:v>2949.39258</s:v>
      </s:c>
      <s:c r="G710" s="6" t="n">
        <s:v>2186.15137</s:v>
      </s:c>
      <s:c r="H710" s="6" t="n">
        <s:v>1380.7821</s:v>
      </s:c>
      <s:c r="I710" s="6" t="n"/>
      <s:c r="J710" s="6" t="str">
        <s:f>IF(AND(COUNT(C710:I710)=7,COUNT('Потребление (МВт·ч)'!C710:I710)=7,SUM('Потребление (МВт·ч)'!C710:I710)&gt;0),SUMPRODUCT(C710:I710,'Потребление (МВт·ч)'!C710:I710)/SUM('Потребление (МВт·ч)'!C710:I710),"")</s:f>
      </s:c>
      <s:c r="K710" s="6" t="n">
        <s:f>IF(SUMIF(C710:I710,"&lt;&gt;",'Потребление (МВт·ч)'!C710:I710)&gt;0,SUMPRODUCT(C710:I710,'Потребление (МВт·ч)'!C710:I710)/SUMIF(C710:I710,"&lt;&gt;",'Потребление (МВт·ч)'!C710:I710),"")</s:f>
        <s:v>2469.776936882182</s:v>
      </s:c>
      <s:c r="L710" s="6" t="n">
        <s:f>IF(COUNT(C710:I710)&gt;0,AVERAGE(C710:I710),"")</s:f>
        <s:v>2523.5953416666666</s:v>
      </s:c>
      <s:c r="M710" s="10" t="n">
        <s:f>COUNT(C710:I710)</s:f>
        <s:v>6</s:v>
      </s:c>
      <s:c r="N710" s="11" t="n">
        <s:f>IF(AND(COUNT('Потребление (МВт·ч)'!C710:I710)=7,SUM('Потребление (МВт·ч)'!C710:I710)&gt;0),SUMIF(C710:I710,"&lt;&gt;",'Потребление (МВт·ч)'!C710:I710)/SUM('Потребление (МВт·ч)'!C710:I710),"")</s:f>
        <s:v>0.957836392939974</s:v>
      </s:c>
    </s:row>
    <s:row r="711">
      <s:c r="A711" s="5" t="n">
        <s:v>46295</s:v>
      </s:c>
      <s:c r="B711" s="2" t="n">
        <s:v>10</s:v>
      </s:c>
      <s:c r="C711" s="6" t="n">
        <s:v>2317.55566</s:v>
      </s:c>
      <s:c r="D711" s="6" t="n">
        <s:v>3130.19043</s:v>
      </s:c>
      <s:c r="E711" s="6" t="n">
        <s:v>3003.6416</s:v>
      </s:c>
      <s:c r="F711" s="6" t="n">
        <s:v>2880.09961</s:v>
      </s:c>
      <s:c r="G711" s="6" t="n">
        <s:v>2159.79565</s:v>
      </s:c>
      <s:c r="H711" s="6" t="n">
        <s:v>1486.48779</s:v>
      </s:c>
      <s:c r="I711" s="6" t="n"/>
      <s:c r="J711" s="6" t="str">
        <s:f>IF(AND(COUNT(C711:I711)=7,COUNT('Потребление (МВт·ч)'!C711:I711)=7,SUM('Потребление (МВт·ч)'!C711:I711)&gt;0),SUMPRODUCT(C711:I711,'Потребление (МВт·ч)'!C711:I711)/SUM('Потребление (МВт·ч)'!C711:I711),"")</s:f>
      </s:c>
      <s:c r="K711" s="6" t="n">
        <s:f>IF(SUMIF(C711:I711,"&lt;&gt;",'Потребление (МВт·ч)'!C711:I711)&gt;0,SUMPRODUCT(C711:I711,'Потребление (МВт·ч)'!C711:I711)/SUMIF(C711:I711,"&lt;&gt;",'Потребление (МВт·ч)'!C711:I711),"")</s:f>
        <s:v>2445.044736763559</s:v>
      </s:c>
      <s:c r="L711" s="6" t="n">
        <s:f>IF(COUNT(C711:I711)&gt;0,AVERAGE(C711:I711),"")</s:f>
        <s:v>2496.2951233333333</s:v>
      </s:c>
      <s:c r="M711" s="10" t="n">
        <s:f>COUNT(C711:I711)</s:f>
        <s:v>6</s:v>
      </s:c>
      <s:c r="N711" s="11" t="n">
        <s:f>IF(AND(COUNT('Потребление (МВт·ч)'!C711:I711)=7,SUM('Потребление (МВт·ч)'!C711:I711)&gt;0),SUMIF(C711:I711,"&lt;&gt;",'Потребление (МВт·ч)'!C711:I711)/SUM('Потребление (МВт·ч)'!C711:I711),"")</s:f>
        <s:v>0.9563952112809351</s:v>
      </s:c>
    </s:row>
    <s:row r="712">
      <s:c r="A712" s="5" t="n">
        <s:v>46295</s:v>
      </s:c>
      <s:c r="B712" s="2" t="n">
        <s:v>11</s:v>
      </s:c>
      <s:c r="C712" s="6" t="n">
        <s:v>2255.70972</s:v>
      </s:c>
      <s:c r="D712" s="6" t="n">
        <s:v>3051.4834</s:v>
      </s:c>
      <s:c r="E712" s="6" t="n">
        <s:v>2985.73926</s:v>
      </s:c>
      <s:c r="F712" s="6" t="n">
        <s:v>2841.05542</s:v>
      </s:c>
      <s:c r="G712" s="6" t="n">
        <s:v>2152.27979</s:v>
      </s:c>
      <s:c r="H712" s="6" t="n">
        <s:v>1595.45459</s:v>
      </s:c>
      <s:c r="I712" s="6" t="n"/>
      <s:c r="J712" s="6" t="str">
        <s:f>IF(AND(COUNT(C712:I712)=7,COUNT('Потребление (МВт·ч)'!C712:I712)=7,SUM('Потребление (МВт·ч)'!C712:I712)&gt;0),SUMPRODUCT(C712:I712,'Потребление (МВт·ч)'!C712:I712)/SUM('Потребление (МВт·ч)'!C712:I712),"")</s:f>
      </s:c>
      <s:c r="K712" s="6" t="n">
        <s:f>IF(SUMIF(C712:I712,"&lt;&gt;",'Потребление (МВт·ч)'!C712:I712)&gt;0,SUMPRODUCT(C712:I712,'Потребление (МВт·ч)'!C712:I712)/SUMIF(C712:I712,"&lt;&gt;",'Потребление (МВт·ч)'!C712:I712),"")</s:f>
        <s:v>2434.7773534201206</s:v>
      </s:c>
      <s:c r="L712" s="6" t="n">
        <s:f>IF(COUNT(C712:I712)&gt;0,AVERAGE(C712:I712),"")</s:f>
        <s:v>2480.28703</s:v>
      </s:c>
      <s:c r="M712" s="10" t="n">
        <s:f>COUNT(C712:I712)</s:f>
        <s:v>6</s:v>
      </s:c>
      <s:c r="N712" s="11" t="n">
        <s:f>IF(AND(COUNT('Потребление (МВт·ч)'!C712:I712)=7,SUM('Потребление (МВт·ч)'!C712:I712)&gt;0),SUMIF(C712:I712,"&lt;&gt;",'Потребление (МВт·ч)'!C712:I712)/SUM('Потребление (МВт·ч)'!C712:I712),"")</s:f>
        <s:v>0.9549029009829777</s:v>
      </s:c>
    </s:row>
    <s:row r="713">
      <s:c r="A713" s="5" t="n">
        <s:v>46295</s:v>
      </s:c>
      <s:c r="B713" s="2" t="n">
        <s:v>12</s:v>
      </s:c>
      <s:c r="C713" s="6" t="n">
        <s:v>2265.8208</s:v>
      </s:c>
      <s:c r="D713" s="6" t="n">
        <s:v>3060.694</s:v>
      </s:c>
      <s:c r="E713" s="6" t="n">
        <s:v>2984.08081</s:v>
      </s:c>
      <s:c r="F713" s="6" t="n">
        <s:v>2851.786</s:v>
      </s:c>
      <s:c r="G713" s="6" t="n">
        <s:v>2157.39136</s:v>
      </s:c>
      <s:c r="H713" s="6" t="n">
        <s:v>1541.88135</s:v>
      </s:c>
      <s:c r="I713" s="6" t="n"/>
      <s:c r="J713" s="6" t="str">
        <s:f>IF(AND(COUNT(C713:I713)=7,COUNT('Потребление (МВт·ч)'!C713:I713)=7,SUM('Потребление (МВт·ч)'!C713:I713)&gt;0),SUMPRODUCT(C713:I713,'Потребление (МВт·ч)'!C713:I713)/SUM('Потребление (МВт·ч)'!C713:I713),"")</s:f>
      </s:c>
      <s:c r="K713" s="6" t="n">
        <s:f>IF(SUMIF(C713:I713,"&lt;&gt;",'Потребление (МВт·ч)'!C713:I713)&gt;0,SUMPRODUCT(C713:I713,'Потребление (МВт·ч)'!C713:I713)/SUMIF(C713:I713,"&lt;&gt;",'Потребление (МВт·ч)'!C713:I713),"")</s:f>
        <s:v>2429.0654812290327</s:v>
      </s:c>
      <s:c r="L713" s="6" t="n">
        <s:f>IF(COUNT(C713:I713)&gt;0,AVERAGE(C713:I713),"")</s:f>
        <s:v>2476.9423866666666</s:v>
      </s:c>
      <s:c r="M713" s="10" t="n">
        <s:f>COUNT(C713:I713)</s:f>
        <s:v>6</s:v>
      </s:c>
      <s:c r="N713" s="11" t="n">
        <s:f>IF(AND(COUNT('Потребление (МВт·ч)'!C713:I713)=7,SUM('Потребление (МВт·ч)'!C713:I713)&gt;0),SUMIF(C713:I713,"&lt;&gt;",'Потребление (МВт·ч)'!C713:I713)/SUM('Потребление (МВт·ч)'!C713:I713),"")</s:f>
        <s:v>0.9536535913278095</s:v>
      </s:c>
    </s:row>
    <s:row r="714">
      <s:c r="A714" s="5" t="n">
        <s:v>46295</s:v>
      </s:c>
      <s:c r="B714" s="2" t="n">
        <s:v>13</s:v>
      </s:c>
      <s:c r="C714" s="6" t="n">
        <s:v>2228.28979</s:v>
      </s:c>
      <s:c r="D714" s="6" t="n">
        <s:v>3015.64526</s:v>
      </s:c>
      <s:c r="E714" s="6" t="n">
        <s:v>2968.31738</s:v>
      </s:c>
      <s:c r="F714" s="6" t="n">
        <s:v>2822.51245</s:v>
      </s:c>
      <s:c r="G714" s="6" t="n">
        <s:v>2144.02</s:v>
      </s:c>
      <s:c r="H714" s="6" t="n">
        <s:v>1443.9657</s:v>
      </s:c>
      <s:c r="I714" s="6" t="n"/>
      <s:c r="J714" s="6" t="str">
        <s:f>IF(AND(COUNT(C714:I714)=7,COUNT('Потребление (МВт·ч)'!C714:I714)=7,SUM('Потребление (МВт·ч)'!C714:I714)&gt;0),SUMPRODUCT(C714:I714,'Потребление (МВт·ч)'!C714:I714)/SUM('Потребление (МВт·ч)'!C714:I714),"")</s:f>
      </s:c>
      <s:c r="K714" s="6" t="n">
        <s:f>IF(SUMIF(C714:I714,"&lt;&gt;",'Потребление (МВт·ч)'!C714:I714)&gt;0,SUMPRODUCT(C714:I714,'Потребление (МВт·ч)'!C714:I714)/SUMIF(C714:I714,"&lt;&gt;",'Потребление (МВт·ч)'!C714:I714),"")</s:f>
        <s:v>2384.57436450139</s:v>
      </s:c>
      <s:c r="L714" s="6" t="n">
        <s:f>IF(COUNT(C714:I714)&gt;0,AVERAGE(C714:I714),"")</s:f>
        <s:v>2437.125096666667</s:v>
      </s:c>
      <s:c r="M714" s="10" t="n">
        <s:f>COUNT(C714:I714)</s:f>
        <s:v>6</s:v>
      </s:c>
      <s:c r="N714" s="11" t="n">
        <s:f>IF(AND(COUNT('Потребление (МВт·ч)'!C714:I714)=7,SUM('Потребление (МВт·ч)'!C714:I714)&gt;0),SUMIF(C714:I714,"&lt;&gt;",'Потребление (МВт·ч)'!C714:I714)/SUM('Потребление (МВт·ч)'!C714:I714),"")</s:f>
        <s:v>0.9543432432649069</s:v>
      </s:c>
    </s:row>
    <s:row r="715">
      <s:c r="A715" s="5" t="n">
        <s:v>46295</s:v>
      </s:c>
      <s:c r="B715" s="2" t="n">
        <s:v>14</s:v>
      </s:c>
      <s:c r="C715" s="6" t="n">
        <s:v>2202.438</s:v>
      </s:c>
      <s:c r="D715" s="6" t="n">
        <s:v>2961.895</s:v>
      </s:c>
      <s:c r="E715" s="6" t="n">
        <s:v>2944.35156</s:v>
      </s:c>
      <s:c r="F715" s="6" t="n">
        <s:v>2793.14258</s:v>
      </s:c>
      <s:c r="G715" s="6" t="n">
        <s:v>2146.408</s:v>
      </s:c>
      <s:c r="H715" s="6" t="n">
        <s:v>1733.31323</s:v>
      </s:c>
      <s:c r="I715" s="6" t="n"/>
      <s:c r="J715" s="6" t="str">
        <s:f>IF(AND(COUNT(C715:I715)=7,COUNT('Потребление (МВт·ч)'!C715:I715)=7,SUM('Потребление (МВт·ч)'!C715:I715)&gt;0),SUMPRODUCT(C715:I715,'Потребление (МВт·ч)'!C715:I715)/SUM('Потребление (МВт·ч)'!C715:I715),"")</s:f>
      </s:c>
      <s:c r="K715" s="6" t="n">
        <s:f>IF(SUMIF(C715:I715,"&lt;&gt;",'Потребление (МВт·ч)'!C715:I715)&gt;0,SUMPRODUCT(C715:I715,'Потребление (МВт·ч)'!C715:I715)/SUMIF(C715:I715,"&lt;&gt;",'Потребление (МВт·ч)'!C715:I715),"")</s:f>
        <s:v>2422.5498178883704</s:v>
      </s:c>
      <s:c r="L715" s="6" t="n">
        <s:f>IF(COUNT(C715:I715)&gt;0,AVERAGE(C715:I715),"")</s:f>
        <s:v>2463.591395</s:v>
      </s:c>
      <s:c r="M715" s="10" t="n">
        <s:f>COUNT(C715:I715)</s:f>
        <s:v>6</s:v>
      </s:c>
      <s:c r="N715" s="11" t="n">
        <s:f>IF(AND(COUNT('Потребление (МВт·ч)'!C715:I715)=7,SUM('Потребление (МВт·ч)'!C715:I715)&gt;0),SUMIF(C715:I715,"&lt;&gt;",'Потребление (МВт·ч)'!C715:I715)/SUM('Потребление (МВт·ч)'!C715:I715),"")</s:f>
        <s:v>0.9556685813304239</s:v>
      </s:c>
    </s:row>
    <s:row r="716">
      <s:c r="A716" s="5" t="n">
        <s:v>46295</s:v>
      </s:c>
      <s:c r="B716" s="2" t="n">
        <s:v>15</s:v>
      </s:c>
      <s:c r="C716" s="6" t="n">
        <s:v>2207.99268</s:v>
      </s:c>
      <s:c r="D716" s="6" t="n">
        <s:v>2957.2793</s:v>
      </s:c>
      <s:c r="E716" s="6" t="n">
        <s:v>2959.14917</s:v>
      </s:c>
      <s:c r="F716" s="6" t="n">
        <s:v>2792.663</s:v>
      </s:c>
      <s:c r="G716" s="6" t="n">
        <s:v>2157.67627</s:v>
      </s:c>
      <s:c r="H716" s="6" t="n">
        <s:v>1474.561</s:v>
      </s:c>
      <s:c r="I716" s="6" t="n"/>
      <s:c r="J716" s="6" t="str">
        <s:f>IF(AND(COUNT(C716:I716)=7,COUNT('Потребление (МВт·ч)'!C716:I716)=7,SUM('Потребление (МВт·ч)'!C716:I716)&gt;0),SUMPRODUCT(C716:I716,'Потребление (МВт·ч)'!C716:I716)/SUM('Потребление (МВт·ч)'!C716:I716),"")</s:f>
      </s:c>
      <s:c r="K716" s="6" t="n">
        <s:f>IF(SUMIF(C716:I716,"&lt;&gt;",'Потребление (МВт·ч)'!C716:I716)&gt;0,SUMPRODUCT(C716:I716,'Потребление (МВт·ч)'!C716:I716)/SUMIF(C716:I716,"&lt;&gt;",'Потребление (МВт·ч)'!C716:I716),"")</s:f>
        <s:v>2366.774501559141</s:v>
      </s:c>
      <s:c r="L716" s="6" t="n">
        <s:f>IF(COUNT(C716:I716)&gt;0,AVERAGE(C716:I716),"")</s:f>
        <s:v>2424.8869033333335</s:v>
      </s:c>
      <s:c r="M716" s="10" t="n">
        <s:f>COUNT(C716:I716)</s:f>
        <s:v>6</s:v>
      </s:c>
      <s:c r="N716" s="11" t="n">
        <s:f>IF(AND(COUNT('Потребление (МВт·ч)'!C716:I716)=7,SUM('Потребление (МВт·ч)'!C716:I716)&gt;0),SUMIF(C716:I716,"&lt;&gt;",'Потребление (МВт·ч)'!C716:I716)/SUM('Потребление (МВт·ч)'!C716:I716),"")</s:f>
        <s:v>0.9569655194549875</s:v>
      </s:c>
    </s:row>
    <s:row r="717">
      <s:c r="A717" s="5" t="n">
        <s:v>46295</s:v>
      </s:c>
      <s:c r="B717" s="2" t="n">
        <s:v>16</s:v>
      </s:c>
      <s:c r="C717" s="6" t="n">
        <s:v>2523.512</s:v>
      </s:c>
      <s:c r="D717" s="6" t="n">
        <s:v>2927.19336</s:v>
      </s:c>
      <s:c r="E717" s="6" t="n">
        <s:v>2975.37939</s:v>
      </s:c>
      <s:c r="F717" s="6" t="n">
        <s:v>2802.66724</s:v>
      </s:c>
      <s:c r="G717" s="6" t="n">
        <s:v>2380.92529</s:v>
      </s:c>
      <s:c r="H717" s="6" t="n">
        <s:v>1876.22546</s:v>
      </s:c>
      <s:c r="I717" s="6" t="n"/>
      <s:c r="J717" s="6" t="str">
        <s:f>IF(AND(COUNT(C717:I717)=7,COUNT('Потребление (МВт·ч)'!C717:I717)=7,SUM('Потребление (МВт·ч)'!C717:I717)&gt;0),SUMPRODUCT(C717:I717,'Потребление (МВт·ч)'!C717:I717)/SUM('Потребление (МВт·ч)'!C717:I717),"")</s:f>
      </s:c>
      <s:c r="K717" s="6" t="n">
        <s:f>IF(SUMIF(C717:I717,"&lt;&gt;",'Потребление (МВт·ч)'!C717:I717)&gt;0,SUMPRODUCT(C717:I717,'Потребление (МВт·ч)'!C717:I717)/SUMIF(C717:I717,"&lt;&gt;",'Потребление (МВт·ч)'!C717:I717),"")</s:f>
        <s:v>2528.8256343686717</s:v>
      </s:c>
      <s:c r="L717" s="6" t="n">
        <s:f>IF(COUNT(C717:I717)&gt;0,AVERAGE(C717:I717),"")</s:f>
        <s:v>2580.9837899999998</s:v>
      </s:c>
      <s:c r="M717" s="10" t="n">
        <s:f>COUNT(C717:I717)</s:f>
        <s:v>6</s:v>
      </s:c>
      <s:c r="N717" s="11" t="n">
        <s:f>IF(AND(COUNT('Потребление (МВт·ч)'!C717:I717)=7,SUM('Потребление (МВт·ч)'!C717:I717)&gt;0),SUMIF(C717:I717,"&lt;&gt;",'Потребление (МВт·ч)'!C717:I717)/SUM('Потребление (МВт·ч)'!C717:I717),"")</s:f>
        <s:v>0.9589421733265483</s:v>
      </s:c>
    </s:row>
    <s:row r="718">
      <s:c r="A718" s="5" t="n">
        <s:v>46295</s:v>
      </s:c>
      <s:c r="B718" s="2" t="n">
        <s:v>17</s:v>
      </s:c>
      <s:c r="C718" s="6" t="n">
        <s:v>2484.71362</s:v>
      </s:c>
      <s:c r="D718" s="6" t="n">
        <s:v>2893.649</s:v>
      </s:c>
      <s:c r="E718" s="6" t="n">
        <s:v>2996.46265</s:v>
      </s:c>
      <s:c r="F718" s="6" t="n">
        <s:v>2778.78735</s:v>
      </s:c>
      <s:c r="G718" s="6" t="n">
        <s:v>2218.12573</s:v>
      </s:c>
      <s:c r="H718" s="6" t="n">
        <s:v>1455.10925</s:v>
      </s:c>
      <s:c r="I718" s="6" t="n"/>
      <s:c r="J718" s="6" t="str">
        <s:f>IF(AND(COUNT(C718:I718)=7,COUNT('Потребление (МВт·ч)'!C718:I718)=7,SUM('Потребление (МВт·ч)'!C718:I718)&gt;0),SUMPRODUCT(C718:I718,'Потребление (МВт·ч)'!C718:I718)/SUM('Потребление (МВт·ч)'!C718:I718),"")</s:f>
      </s:c>
      <s:c r="K718" s="6" t="n">
        <s:f>IF(SUMIF(C718:I718,"&lt;&gt;",'Потребление (МВт·ч)'!C718:I718)&gt;0,SUMPRODUCT(C718:I718,'Потребление (МВт·ч)'!C718:I718)/SUMIF(C718:I718,"&lt;&gt;",'Потребление (МВт·ч)'!C718:I718),"")</s:f>
        <s:v>2392.967043559797</s:v>
      </s:c>
      <s:c r="L718" s="6" t="n">
        <s:f>IF(COUNT(C718:I718)&gt;0,AVERAGE(C718:I718),"")</s:f>
        <s:v>2471.1412666666665</s:v>
      </s:c>
      <s:c r="M718" s="10" t="n">
        <s:f>COUNT(C718:I718)</s:f>
        <s:v>6</s:v>
      </s:c>
      <s:c r="N718" s="11" t="n">
        <s:f>IF(AND(COUNT('Потребление (МВт·ч)'!C718:I718)=7,SUM('Потребление (МВт·ч)'!C718:I718)&gt;0),SUMIF(C718:I718,"&lt;&gt;",'Потребление (МВт·ч)'!C718:I718)/SUM('Потребление (МВт·ч)'!C718:I718),"")</s:f>
        <s:v>0.9616100604811326</s:v>
      </s:c>
    </s:row>
    <s:row r="719">
      <s:c r="A719" s="5" t="n">
        <s:v>46295</s:v>
      </s:c>
      <s:c r="B719" s="2" t="n">
        <s:v>18</s:v>
      </s:c>
      <s:c r="C719" s="6" t="n">
        <s:v>2619.57886</s:v>
      </s:c>
      <s:c r="D719" s="6" t="n">
        <s:v>3039.02441</s:v>
      </s:c>
      <s:c r="E719" s="6" t="n">
        <s:v>3031.23486</s:v>
      </s:c>
      <s:c r="F719" s="6" t="n">
        <s:v>2836.66748</s:v>
      </s:c>
      <s:c r="G719" s="6" t="n">
        <s:v>2208.46118</s:v>
      </s:c>
      <s:c r="H719" s="6" t="n">
        <s:v>1063.10535</s:v>
      </s:c>
      <s:c r="I719" s="6" t="n"/>
      <s:c r="J719" s="6" t="str">
        <s:f>IF(AND(COUNT(C719:I719)=7,COUNT('Потребление (МВт·ч)'!C719:I719)=7,SUM('Потребление (МВт·ч)'!C719:I719)&gt;0),SUMPRODUCT(C719:I719,'Потребление (МВт·ч)'!C719:I719)/SUM('Потребление (МВт·ч)'!C719:I719),"")</s:f>
      </s:c>
      <s:c r="K719" s="6" t="n">
        <s:f>IF(SUMIF(C719:I719,"&lt;&gt;",'Потребление (МВт·ч)'!C719:I719)&gt;0,SUMPRODUCT(C719:I719,'Потребление (МВт·ч)'!C719:I719)/SUMIF(C719:I719,"&lt;&gt;",'Потребление (МВт·ч)'!C719:I719),"")</s:f>
        <s:v>2385.694885856903</s:v>
      </s:c>
      <s:c r="L719" s="6" t="n">
        <s:f>IF(COUNT(C719:I719)&gt;0,AVERAGE(C719:I719),"")</s:f>
        <s:v>2466.3453566666667</s:v>
      </s:c>
      <s:c r="M719" s="10" t="n">
        <s:f>COUNT(C719:I719)</s:f>
        <s:v>6</s:v>
      </s:c>
      <s:c r="N719" s="11" t="n">
        <s:f>IF(AND(COUNT('Потребление (МВт·ч)'!C719:I719)=7,SUM('Потребление (МВт·ч)'!C719:I719)&gt;0),SUMIF(C719:I719,"&lt;&gt;",'Потребление (МВт·ч)'!C719:I719)/SUM('Потребление (МВт·ч)'!C719:I719),"")</s:f>
        <s:v>0.9619276227416881</s:v>
      </s:c>
    </s:row>
    <s:row r="720">
      <s:c r="A720" s="5" t="n">
        <s:v>46295</s:v>
      </s:c>
      <s:c r="B720" s="2" t="n">
        <s:v>19</s:v>
      </s:c>
      <s:c r="C720" s="6" t="n">
        <s:v>2575.863</s:v>
      </s:c>
      <s:c r="D720" s="6" t="n">
        <s:v>2963.6543</s:v>
      </s:c>
      <s:c r="E720" s="6" t="n">
        <s:v>3000.43066</s:v>
      </s:c>
      <s:c r="F720" s="6" t="n">
        <s:v>2769.38477</s:v>
      </s:c>
      <s:c r="G720" s="6" t="n">
        <s:v>2138.75317</s:v>
      </s:c>
      <s:c r="H720" s="6" t="n">
        <s:v>597.125732</s:v>
      </s:c>
      <s:c r="I720" s="6" t="n"/>
      <s:c r="J720" s="6" t="str">
        <s:f>IF(AND(COUNT(C720:I720)=7,COUNT('Потребление (МВт·ч)'!C720:I720)=7,SUM('Потребление (МВт·ч)'!C720:I720)&gt;0),SUMPRODUCT(C720:I720,'Потребление (МВт·ч)'!C720:I720)/SUM('Потребление (МВт·ч)'!C720:I720),"")</s:f>
      </s:c>
      <s:c r="K720" s="6" t="n">
        <s:f>IF(SUMIF(C720:I720,"&lt;&gt;",'Потребление (МВт·ч)'!C720:I720)&gt;0,SUMPRODUCT(C720:I720,'Потребление (МВт·ч)'!C720:I720)/SUMIF(C720:I720,"&lt;&gt;",'Потребление (МВт·ч)'!C720:I720),"")</s:f>
        <s:v>2243.181734931377</s:v>
      </s:c>
      <s:c r="L720" s="6" t="n">
        <s:f>IF(COUNT(C720:I720)&gt;0,AVERAGE(C720:I720),"")</s:f>
        <s:v>2340.8686053333336</s:v>
      </s:c>
      <s:c r="M720" s="10" t="n">
        <s:f>COUNT(C720:I720)</s:f>
        <s:v>6</s:v>
      </s:c>
      <s:c r="N720" s="11" t="n">
        <s:f>IF(AND(COUNT('Потребление (МВт·ч)'!C720:I720)=7,SUM('Потребление (МВт·ч)'!C720:I720)&gt;0),SUMIF(C720:I720,"&lt;&gt;",'Потребление (МВт·ч)'!C720:I720)/SUM('Потребление (МВт·ч)'!C720:I720),"")</s:f>
        <s:v>0.9616621680593493</s:v>
      </s:c>
    </s:row>
    <s:row r="721">
      <s:c r="A721" s="5" t="n">
        <s:v>46295</s:v>
      </s:c>
      <s:c r="B721" s="2" t="n">
        <s:v>20</s:v>
      </s:c>
      <s:c r="C721" s="6" t="n">
        <s:v>2561.567</s:v>
      </s:c>
      <s:c r="D721" s="6" t="n">
        <s:v>2932.59</s:v>
      </s:c>
      <s:c r="E721" s="6" t="n">
        <s:v>2906.693</s:v>
      </s:c>
      <s:c r="F721" s="6" t="n">
        <s:v>2713.82617</s:v>
      </s:c>
      <s:c r="G721" s="6" t="n">
        <s:v>1901.66541</s:v>
      </s:c>
      <s:c r="H721" s="6" t="n">
        <s:v>519.9063</s:v>
      </s:c>
      <s:c r="I721" s="6" t="n"/>
      <s:c r="J721" s="6" t="str">
        <s:f>IF(AND(COUNT(C721:I721)=7,COUNT('Потребление (МВт·ч)'!C721:I721)=7,SUM('Потребление (МВт·ч)'!C721:I721)&gt;0),SUMPRODUCT(C721:I721,'Потребление (МВт·ч)'!C721:I721)/SUM('Потребление (МВт·ч)'!C721:I721),"")</s:f>
      </s:c>
      <s:c r="K721" s="6" t="n">
        <s:f>IF(SUMIF(C721:I721,"&lt;&gt;",'Потребление (МВт·ч)'!C721:I721)&gt;0,SUMPRODUCT(C721:I721,'Потребление (МВт·ч)'!C721:I721)/SUMIF(C721:I721,"&lt;&gt;",'Потребление (МВт·ч)'!C721:I721),"")</s:f>
        <s:v>2149.147742491383</s:v>
      </s:c>
      <s:c r="L721" s="6" t="n">
        <s:f>IF(COUNT(C721:I721)&gt;0,AVERAGE(C721:I721),"")</s:f>
        <s:v>2256.0413133333336</s:v>
      </s:c>
      <s:c r="M721" s="10" t="n">
        <s:f>COUNT(C721:I721)</s:f>
        <s:v>6</s:v>
      </s:c>
      <s:c r="N721" s="11" t="n">
        <s:f>IF(AND(COUNT('Потребление (МВт·ч)'!C721:I721)=7,SUM('Потребление (МВт·ч)'!C721:I721)&gt;0),SUMIF(C721:I721,"&lt;&gt;",'Потребление (МВт·ч)'!C721:I721)/SUM('Потребление (МВт·ч)'!C721:I721),"")</s:f>
        <s:v>0.961356479878662</s:v>
      </s:c>
    </s:row>
    <s:row r="722">
      <s:c r="A722" s="5" t="n">
        <s:v>46295</s:v>
      </s:c>
      <s:c r="B722" s="2" t="n">
        <s:v>21</s:v>
      </s:c>
      <s:c r="C722" s="6" t="n">
        <s:v>2324.28955</s:v>
      </s:c>
      <s:c r="D722" s="6" t="n">
        <s:v>2675.664</s:v>
      </s:c>
      <s:c r="E722" s="6" t="n">
        <s:v>2714.71216</s:v>
      </s:c>
      <s:c r="F722" s="6" t="n">
        <s:v>2492.20386</s:v>
      </s:c>
      <s:c r="G722" s="6" t="n">
        <s:v>1728.81335</s:v>
      </s:c>
      <s:c r="H722" s="6" t="n">
        <s:v>913.2008</s:v>
      </s:c>
      <s:c r="I722" s="6" t="n"/>
      <s:c r="J722" s="6" t="str">
        <s:f>IF(AND(COUNT(C722:I722)=7,COUNT('Потребление (МВт·ч)'!C722:I722)=7,SUM('Потребление (МВт·ч)'!C722:I722)&gt;0),SUMPRODUCT(C722:I722,'Потребление (МВт·ч)'!C722:I722)/SUM('Потребление (МВт·ч)'!C722:I722),"")</s:f>
      </s:c>
      <s:c r="K722" s="6" t="n">
        <s:f>IF(SUMIF(C722:I722,"&lt;&gt;",'Потребление (МВт·ч)'!C722:I722)&gt;0,SUMPRODUCT(C722:I722,'Потребление (МВт·ч)'!C722:I722)/SUMIF(C722:I722,"&lt;&gt;",'Потребление (МВт·ч)'!C722:I722),"")</s:f>
        <s:v>2050.5121649887533</s:v>
      </s:c>
      <s:c r="L722" s="6" t="n">
        <s:f>IF(COUNT(C722:I722)&gt;0,AVERAGE(C722:I722),"")</s:f>
        <s:v>2141.4806200000003</s:v>
      </s:c>
      <s:c r="M722" s="10" t="n">
        <s:f>COUNT(C722:I722)</s:f>
        <s:v>6</s:v>
      </s:c>
      <s:c r="N722" s="11" t="n">
        <s:f>IF(AND(COUNT('Потребление (МВт·ч)'!C722:I722)=7,SUM('Потребление (МВт·ч)'!C722:I722)&gt;0),SUMIF(C722:I722,"&lt;&gt;",'Потребление (МВт·ч)'!C722:I722)/SUM('Потребление (МВт·ч)'!C722:I722),"")</s:f>
        <s:v>0.9599319215234676</s:v>
      </s:c>
    </s:row>
    <s:row r="723">
      <s:c r="A723" s="5" t="n">
        <s:v>46295</s:v>
      </s:c>
      <s:c r="B723" s="2" t="n">
        <s:v>22</s:v>
      </s:c>
      <s:c r="C723" s="6" t="n">
        <s:v>1561.9707</s:v>
      </s:c>
      <s:c r="D723" s="6" t="n">
        <s:v>2035.81824</s:v>
      </s:c>
      <s:c r="E723" s="6" t="n">
        <s:v>2409.63159</s:v>
      </s:c>
      <s:c r="F723" s="6" t="n">
        <s:v>1940.58179</s:v>
      </s:c>
      <s:c r="G723" s="6" t="n">
        <s:v>1426.25684</s:v>
      </s:c>
      <s:c r="H723" s="6" t="n">
        <s:v>802.9573</s:v>
      </s:c>
      <s:c r="I723" s="6" t="n"/>
      <s:c r="J723" s="6" t="str">
        <s:f>IF(AND(COUNT(C723:I723)=7,COUNT('Потребление (МВт·ч)'!C723:I723)=7,SUM('Потребление (МВт·ч)'!C723:I723)&gt;0),SUMPRODUCT(C723:I723,'Потребление (МВт·ч)'!C723:I723)/SUM('Потребление (МВт·ч)'!C723:I723),"")</s:f>
      </s:c>
      <s:c r="K723" s="6" t="n">
        <s:f>IF(SUMIF(C723:I723,"&lt;&gt;",'Потребление (МВт·ч)'!C723:I723)&gt;0,SUMPRODUCT(C723:I723,'Потребление (МВт·ч)'!C723:I723)/SUMIF(C723:I723,"&lt;&gt;",'Потребление (МВт·ч)'!C723:I723),"")</s:f>
        <s:v>1616.1358916314314</s:v>
      </s:c>
      <s:c r="L723" s="6" t="n">
        <s:f>IF(COUNT(C723:I723)&gt;0,AVERAGE(C723:I723),"")</s:f>
        <s:v>1696.2027433333335</s:v>
      </s:c>
      <s:c r="M723" s="10" t="n">
        <s:f>COUNT(C723:I723)</s:f>
        <s:v>6</s:v>
      </s:c>
      <s:c r="N723" s="11" t="n">
        <s:f>IF(AND(COUNT('Потребление (МВт·ч)'!C723:I723)=7,SUM('Потребление (МВт·ч)'!C723:I723)&gt;0),SUMIF(C723:I723,"&lt;&gt;",'Потребление (МВт·ч)'!C723:I723)/SUM('Потребление (МВт·ч)'!C723:I723),"")</s:f>
        <s:v>0.956787996076456</s:v>
      </s:c>
    </s:row>
    <s:row r="724">
      <s:c r="A724" s="5" t="n">
        <s:v>46295</s:v>
      </s:c>
      <s:c r="B724" s="2" t="n">
        <s:v>23</s:v>
      </s:c>
      <s:c r="C724" s="6" t="n">
        <s:v>1797.9165</s:v>
      </s:c>
      <s:c r="D724" s="6" t="n">
        <s:v>2074.09961</s:v>
      </s:c>
      <s:c r="E724" s="6" t="n">
        <s:v>2081.78052</s:v>
      </s:c>
      <s:c r="F724" s="6" t="n">
        <s:v>1977.21729</s:v>
      </s:c>
      <s:c r="G724" s="6" t="n">
        <s:v>1597.29846</s:v>
      </s:c>
      <s:c r="H724" s="6" t="n">
        <s:v>822.1985</s:v>
      </s:c>
      <s:c r="I724" s="6" t="n"/>
      <s:c r="J724" s="6" t="str">
        <s:f>IF(AND(COUNT(C724:I724)=7,COUNT('Потребление (МВт·ч)'!C724:I724)=7,SUM('Потребление (МВт·ч)'!C724:I724)&gt;0),SUMPRODUCT(C724:I724,'Потребление (МВт·ч)'!C724:I724)/SUM('Потребление (МВт·ч)'!C724:I724),"")</s:f>
      </s:c>
      <s:c r="K724" s="6" t="n">
        <s:f>IF(SUMIF(C724:I724,"&lt;&gt;",'Потребление (МВт·ч)'!C724:I724)&gt;0,SUMPRODUCT(C724:I724,'Потребление (МВт·ч)'!C724:I724)/SUMIF(C724:I724,"&lt;&gt;",'Потребление (МВт·ч)'!C724:I724),"")</s:f>
        <s:v>1648.6577545878645</s:v>
      </s:c>
      <s:c r="L724" s="6" t="n">
        <s:f>IF(COUNT(C724:I724)&gt;0,AVERAGE(C724:I724),"")</s:f>
        <s:v>1725.085146666667</s:v>
      </s:c>
      <s:c r="M724" s="10" t="n">
        <s:f>COUNT(C724:I724)</s:f>
        <s:v>6</s:v>
      </s:c>
      <s:c r="N724" s="11" t="n">
        <s:f>IF(AND(COUNT('Потребление (МВт·ч)'!C724:I724)=7,SUM('Потребление (МВт·ч)'!C724:I724)&gt;0),SUMIF(C724:I724,"&lt;&gt;",'Потребление (МВт·ч)'!C724:I724)/SUM('Потребление (МВт·ч)'!C724:I724),"")</s:f>
        <s:v>0.9531390399085109</s:v>
      </s:c>
    </s:row>
    <s:row r="725" ht="26" customHeight="1">
      <s:c r="A725" s="7" t="inlineStr">
        <s:is>
          <s:t>Среднее за месяц</s:t>
        </s:is>
      </s:c>
      <s:c r="B725" s="8" t="n"/>
      <s:c r="C725" s="9" t="n">
        <s:f>IF(AND(COUNT(C5:C724)=720,COUNT('Потребление (МВт·ч)'!C5:C724)=720,SUM('Потребление (МВт·ч)'!C5:C724)&gt;0),SUMPRODUCT(C5:C724,'Потребление (МВт·ч)'!C5:C724)/SUM('Потребление (МВт·ч)'!C5:C724),"")</s:f>
        <s:v>1857.0713614097585</s:v>
      </s:c>
      <s:c r="D725" s="9" t="n">
        <s:f>IF(AND(COUNT(D5:D724)=720,COUNT('Потребление (МВт·ч)'!D5:D724)=720,SUM('Потребление (МВт·ч)'!D5:D724)&gt;0),SUMPRODUCT(D5:D724,'Потребление (МВт·ч)'!D5:D724)/SUM('Потребление (МВт·ч)'!D5:D724),"")</s:f>
        <s:v>2480.7137701545334</s:v>
      </s:c>
      <s:c r="E725" s="9" t="n">
        <s:f>IF(AND(COUNT(E5:E724)=720,COUNT('Потребление (МВт·ч)'!E5:E724)=720,SUM('Потребление (МВт·ч)'!E5:E724)&gt;0),SUMPRODUCT(E5:E724,'Потребление (МВт·ч)'!E5:E724)/SUM('Потребление (МВт·ч)'!E5:E724),"")</s:f>
        <s:v>2337.134300428845</s:v>
      </s:c>
      <s:c r="F725" s="9" t="n">
        <s:f>IF(AND(COUNT(F5:F724)=720,COUNT('Потребление (МВт·ч)'!F5:F724)=720,SUM('Потребление (МВт·ч)'!F5:F724)&gt;0),SUMPRODUCT(F5:F724,'Потребление (МВт·ч)'!F5:F724)/SUM('Потребление (МВт·ч)'!F5:F724),"")</s:f>
        <s:v>2403.447677000001</s:v>
      </s:c>
      <s:c r="G725" s="9" t="n">
        <s:f>IF(AND(COUNT(G5:G724)=720,COUNT('Потребление (МВт·ч)'!G5:G724)=720,SUM('Потребление (МВт·ч)'!G5:G724)&gt;0),SUMPRODUCT(G5:G724,'Потребление (МВт·ч)'!G5:G724)/SUM('Потребление (МВт·ч)'!G5:G724),"")</s:f>
        <s:v>2042.7938612510648</s:v>
      </s:c>
      <s:c r="H725" s="9" t="n">
        <s:f>IF(AND(COUNT(H5:H724)=720,COUNT('Потребление (МВт·ч)'!H5:H724)=720,SUM('Потребление (МВт·ч)'!H5:H724)&gt;0),SUMPRODUCT(H5:H724,'Потребление (МВт·ч)'!H5:H724)/SUM('Потребление (МВт·ч)'!H5:H724),"")</s:f>
        <s:v>1282.4176838117864</s:v>
      </s:c>
      <s:c r="I725" s="9" t="str">
        <s:f>IF(AND(COUNT(I5:I724)=720,COUNT('Потребление (МВт·ч)'!I5:I724)=720,SUM('Потребление (МВт·ч)'!I5:I724)&gt;0),SUMPRODUCT(I5:I724,'Потребление (МВт·ч)'!I5:I724)/SUM('Потребление (МВт·ч)'!I5:I724),"")</s:f>
      </s:c>
      <s:c r="J725" s="9" t="str">
        <s:f>IF(AND(COUNT(C5:I724)=5040,COUNT('Потребление (МВт·ч)'!C5:I724)=5040,SUM('Потребление (МВт·ч)'!C5:I724)&gt;0),SUMPRODUCT(C5:I724,'Потребление (МВт·ч)'!C5:I724)/SUM('Потребление (МВт·ч)'!C5:I724),"")</s:f>
      </s:c>
      <s:c r="K725" s="9" t="n">
        <s:f>IF(SUMIF(C5:I724,"&lt;&gt;",'Потребление (МВт·ч)'!C5:I724)&gt;0,SUMPRODUCT(C5:I724,'Потребление (МВт·ч)'!C5:I724)/SUMIF(C5:I724,"&lt;&gt;",'Потребление (МВт·ч)'!C5:I724),"")</s:f>
        <s:v>2038.077638628672</s:v>
      </s:c>
      <s:c r="L725" s="9" t="n">
        <s:f>IF(COUNT(C5:I724)&gt;0,AVERAGE(C5:I724),"")</s:f>
        <s:v>2028.9586253481737</s:v>
      </s:c>
      <s:c r="M725" s="12" t="n">
        <s:f>COUNT(C5:I724)</s:f>
        <s:v>4320</s:v>
      </s:c>
      <s:c r="N725" s="13" t="n">
        <s:f>IF(AND(COUNT('Потребление (МВт·ч)'!C5:I724)=5040,SUM('Потребление (МВт·ч)'!C5:I724)&gt;0),SUMIF(C5:I724,"&lt;&gt;",'Потребление (МВт·ч)'!C5:I724)/SUM('Потребление (МВт·ч)'!C5:I724),"")</s:f>
        <s:v>0.9571099775780182</s:v>
      </s:c>
    </s:row>
  </s:sheetData>
  <s:autoFilter ref="A4:N724"/>
  <s:mergeCells count="3">
    <s:mergeCell ref="A3:N3"/>
    <s:mergeCell ref="A2:N2"/>
    <s:mergeCell ref="A1:N1"/>
  </s:mergeCells>
  <s:conditionalFormatting sqref="C5:I724">
    <s:cfRule type="expression" priority="1" dxfId="0">
      <s:formula>ISBLANK(C5)</s:formula>
    </s:cfRule>
  </s:conditionalFormatting>
  <s:printOptions horizontalCentered="1"/>
  <s:pageMargins left="0.75" right="0.75" top="1" bottom="1" header="0.5" footer="0.5"/>
  <s:pageSetup orientation="landscape" paperSize="8" fitToHeight="0" fitToWidth="1"/>
  <s:legacyDrawing r:id="anysvml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2026-10-07T20:15:43Z</dcterms:created>
  <dcterms:modified xsi:type="dcterms:W3CDTF">2026-10-07T20:15:44Z</dcterms:modified>
</cp:coreProperties>
</file>